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BF625A10-DC0A-4A72-8697-4C5724A9C41E}" xr6:coauthVersionLast="47" xr6:coauthVersionMax="47" xr10:uidLastSave="{00000000-0000-0000-0000-000000000000}"/>
  <bookViews>
    <workbookView xWindow="-108" yWindow="-108" windowWidth="23256" windowHeight="12456" firstSheet="9" activeTab="12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85" i="7" l="1"/>
  <c r="A16" i="13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E329" i="15"/>
  <c r="D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185" i="7" l="1"/>
  <c r="B185" i="7"/>
  <c r="D77" i="13"/>
  <c r="A426" i="15"/>
  <c r="E426" i="15"/>
  <c r="F268" i="7"/>
  <c r="F242" i="7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E318" i="15"/>
  <c r="D318" i="15"/>
  <c r="A318" i="15"/>
  <c r="G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E332" i="15"/>
  <c r="D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B271" i="7"/>
  <c r="B62" i="7"/>
  <c r="C63" i="7" s="1"/>
  <c r="C124" i="15" s="1"/>
  <c r="G58" i="7"/>
  <c r="B58" i="7"/>
  <c r="E331" i="15"/>
  <c r="D331" i="15"/>
  <c r="B331" i="15"/>
  <c r="A331" i="15"/>
  <c r="E330" i="15"/>
  <c r="D330" i="15"/>
  <c r="A330" i="15"/>
  <c r="E328" i="15"/>
  <c r="D328" i="15"/>
  <c r="F186" i="7"/>
  <c r="H186" i="7" s="1"/>
  <c r="A328" i="15"/>
  <c r="E327" i="15"/>
  <c r="D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E317" i="15"/>
  <c r="D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E316" i="15"/>
  <c r="D316" i="15"/>
  <c r="A316" i="15"/>
  <c r="E315" i="15"/>
  <c r="D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B269" i="7"/>
  <c r="G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A308" i="15"/>
  <c r="E307" i="15"/>
  <c r="D307" i="15"/>
  <c r="B307" i="15"/>
  <c r="A307" i="15"/>
  <c r="E306" i="15"/>
  <c r="D306" i="15"/>
  <c r="A306" i="15"/>
  <c r="E305" i="15"/>
  <c r="D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B255" i="7"/>
  <c r="B316" i="15" s="1"/>
  <c r="G254" i="7"/>
  <c r="B254" i="7"/>
  <c r="B315" i="15" s="1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B308" i="15" s="1"/>
  <c r="G245" i="7"/>
  <c r="B245" i="7"/>
  <c r="B306" i="15" s="1"/>
  <c r="G244" i="7"/>
  <c r="B244" i="7"/>
  <c r="B305" i="15" s="1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E381" i="15"/>
  <c r="D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E340" i="15"/>
  <c r="D340" i="15"/>
  <c r="A340" i="15"/>
  <c r="E339" i="15"/>
  <c r="D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B32" i="13"/>
  <c r="B381" i="15" s="1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B279" i="7"/>
  <c r="G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E380" i="15"/>
  <c r="D380" i="15"/>
  <c r="A380" i="15"/>
  <c r="E379" i="15"/>
  <c r="D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B270" i="7"/>
  <c r="G267" i="7"/>
  <c r="B267" i="7"/>
  <c r="B328" i="15" s="1"/>
  <c r="G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D341" i="15"/>
  <c r="E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D343" i="15"/>
  <c r="E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D342" i="15"/>
  <c r="E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B31" i="13"/>
  <c r="G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G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343" i="15" l="1"/>
  <c r="F282" i="7"/>
  <c r="F32" i="13"/>
  <c r="C32" i="13"/>
  <c r="C381" i="15" s="1"/>
  <c r="B380" i="15"/>
  <c r="F31" i="13"/>
  <c r="C31" i="13"/>
  <c r="C380" i="15" s="1"/>
  <c r="B379" i="15"/>
  <c r="F30" i="13"/>
  <c r="C30" i="13"/>
  <c r="C379" i="15" s="1"/>
  <c r="B342" i="15"/>
  <c r="F281" i="7"/>
  <c r="B318" i="15"/>
  <c r="F257" i="7"/>
  <c r="C257" i="7"/>
  <c r="C318" i="15" s="1"/>
  <c r="B317" i="15"/>
  <c r="F256" i="7"/>
  <c r="C256" i="7"/>
  <c r="C317" i="15" s="1"/>
  <c r="F255" i="7"/>
  <c r="C255" i="7"/>
  <c r="C316" i="15" s="1"/>
  <c r="F254" i="7"/>
  <c r="D11" i="8" s="1"/>
  <c r="E11" i="8" s="1"/>
  <c r="C254" i="7"/>
  <c r="C315" i="15" s="1"/>
  <c r="C268" i="7"/>
  <c r="C329" i="15" s="1"/>
  <c r="B327" i="15"/>
  <c r="F329" i="15"/>
  <c r="H268" i="7"/>
  <c r="F271" i="7"/>
  <c r="C271" i="7"/>
  <c r="C332" i="15" s="1"/>
  <c r="B332" i="15"/>
  <c r="F269" i="7"/>
  <c r="C269" i="7"/>
  <c r="C330" i="15" s="1"/>
  <c r="B330" i="15"/>
  <c r="F270" i="7"/>
  <c r="C270" i="7"/>
  <c r="C331" i="15" s="1"/>
  <c r="F267" i="7"/>
  <c r="C267" i="7"/>
  <c r="C328" i="15" s="1"/>
  <c r="F266" i="7"/>
  <c r="D41" i="8" s="1"/>
  <c r="E41" i="8" s="1"/>
  <c r="C266" i="7"/>
  <c r="C327" i="15" s="1"/>
  <c r="F279" i="7"/>
  <c r="C279" i="7"/>
  <c r="C340" i="15" s="1"/>
  <c r="B340" i="15"/>
  <c r="C278" i="7"/>
  <c r="C339" i="15" s="1"/>
  <c r="F278" i="7"/>
  <c r="B339" i="15"/>
  <c r="C280" i="7"/>
  <c r="C341" i="15" s="1"/>
  <c r="C281" i="7"/>
  <c r="C342" i="15" s="1"/>
  <c r="C282" i="7"/>
  <c r="C343" i="15" s="1"/>
  <c r="B341" i="15"/>
  <c r="F280" i="7"/>
  <c r="H282" i="7"/>
  <c r="F343" i="15"/>
  <c r="H281" i="7"/>
  <c r="F342" i="15"/>
  <c r="F303" i="15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C194" i="7"/>
  <c r="C255" i="15" s="1"/>
  <c r="F172" i="7"/>
  <c r="B233" i="15"/>
  <c r="F173" i="7"/>
  <c r="D70" i="8" s="1"/>
  <c r="E70" i="8" s="1"/>
  <c r="B234" i="15"/>
  <c r="B232" i="15"/>
  <c r="F171" i="7"/>
  <c r="F170" i="7"/>
  <c r="C170" i="7"/>
  <c r="C231" i="15" s="1"/>
  <c r="C173" i="7"/>
  <c r="C234" i="15" s="1"/>
  <c r="C172" i="7"/>
  <c r="C233" i="15" s="1"/>
  <c r="C171" i="7"/>
  <c r="C232" i="15" s="1"/>
  <c r="B235" i="15"/>
  <c r="F174" i="7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D459" i="8" s="1"/>
  <c r="E459" i="8" s="1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D454" i="8" s="1"/>
  <c r="E454" i="8" s="1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D399" i="8" s="1"/>
  <c r="C40" i="13"/>
  <c r="C389" i="15" s="1"/>
  <c r="C39" i="13"/>
  <c r="C388" i="15" s="1"/>
  <c r="G38" i="13"/>
  <c r="F38" i="13"/>
  <c r="C38" i="13"/>
  <c r="C387" i="15" s="1"/>
  <c r="G29" i="13"/>
  <c r="F29" i="13"/>
  <c r="D247" i="8" s="1"/>
  <c r="E247" i="8" s="1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D398" i="8" l="1"/>
  <c r="F381" i="15"/>
  <c r="H32" i="13"/>
  <c r="F380" i="15"/>
  <c r="H31" i="13"/>
  <c r="F379" i="15"/>
  <c r="H30" i="13"/>
  <c r="D7" i="8"/>
  <c r="E7" i="8" s="1"/>
  <c r="D309" i="8"/>
  <c r="E309" i="8" s="1"/>
  <c r="D66" i="8"/>
  <c r="E66" i="8" s="1"/>
  <c r="H172" i="7"/>
  <c r="F233" i="15"/>
  <c r="F318" i="15"/>
  <c r="H257" i="7"/>
  <c r="F317" i="15"/>
  <c r="H256" i="7"/>
  <c r="F316" i="15"/>
  <c r="H255" i="7"/>
  <c r="F315" i="15"/>
  <c r="H254" i="7"/>
  <c r="F332" i="15"/>
  <c r="H271" i="7"/>
  <c r="F330" i="15"/>
  <c r="H269" i="7"/>
  <c r="F331" i="15"/>
  <c r="H270" i="7"/>
  <c r="F328" i="15"/>
  <c r="H267" i="7"/>
  <c r="F327" i="15"/>
  <c r="H266" i="7"/>
  <c r="D281" i="8"/>
  <c r="E281" i="8" s="1"/>
  <c r="D303" i="8"/>
  <c r="E303" i="8" s="1"/>
  <c r="F340" i="15"/>
  <c r="H279" i="7"/>
  <c r="F339" i="15"/>
  <c r="H278" i="7"/>
  <c r="F341" i="15"/>
  <c r="H280" i="7"/>
  <c r="D246" i="8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<sst xmlns="http://schemas.openxmlformats.org/spreadsheetml/2006/main" count="1045" uniqueCount="483">
  <si>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</si>
  <si>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</si>
  <si>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</si>
  <si>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</si>
  <si>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</si>
  <si>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</si>
  <si>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</si>
  <si>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</si>
  <si>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</si>
  <si>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</si>
  <si>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</si>
  <si>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</si>
  <si>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</si>
  <si>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</si>
  <si>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</si>
  <si>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</si>
  <si>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</si>
  <si>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</si>
  <si>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</si>
  <si>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</si>
  <si>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</si>
  <si>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</si>
  <si>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</si>
  <si>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</si>
  <si>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</si>
  <si>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</si>
  <si>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</si>
  <si>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</si>
  <si>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</si>
  <si>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</si>
  <si>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</si>
  <si>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</si>
  <si>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</si>
  <si>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</si>
  <si>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</si>
  <si>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</si>
  <si>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</si>
  <si>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</si>
  <si>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</si>
  <si>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</si>
  <si>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</si>
  <si>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</si>
  <si>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</si>
  <si>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</si>
  <si>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</si>
  <si>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</si>
  <si>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</si>
  <si>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</si>
  <si>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</si>
  <si>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</si>
  <si>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</si>
  <si>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</si>
  <si>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</si>
  <si>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</si>
  <si>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</si>
  <si>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</si>
  <si>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</si>
  <si>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</si>
  <si>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</si>
  <si>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</si>
  <si>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</si>
  <si>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</si>
  <si>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</si>
  <si>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</si>
  <si>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</si>
  <si>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</si>
  <si>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</si>
  <si>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</si>
  <si>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</si>
  <si>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</si>
  <si>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</si>
  <si>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</si>
  <si>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</si>
  <si>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</si>
  <si>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</si>
  <si>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</si>
  <si>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</si>
  <si>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</si>
  <si>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</si>
  <si>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</si>
  <si>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</si>
  <si>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</si>
  <si>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</si>
  <si>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</si>
  <si>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</si>
  <si>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</si>
  <si>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</si>
  <si>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</si>
  <si>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</si>
  <si>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</si>
  <si>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</si>
  <si>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</si>
  <si>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</si>
  <si>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</si>
  <si>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</si>
  <si>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</si>
  <si>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</si>
  <si>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</si>
  <si>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</si>
  <si>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</si>
  <si>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</si>
  <si>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</si>
  <si>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</si>
  <si>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</si>
  <si>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</si>
  <si>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</si>
  <si>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</si>
  <si>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</si>
  <si>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</si>
  <si>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</si>
  <si>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</si>
  <si>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</si>
  <si>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</si>
  <si>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</si>
  <si>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</si>
  <si>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</si>
  <si>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</si>
  <si>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</si>
  <si>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</si>
  <si>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</si>
  <si>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</si>
  <si>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</si>
  <si>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</si>
  <si>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</si>
  <si>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</si>
  <si>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</si>
  <si>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</si>
  <si>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</si>
  <si>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</si>
  <si>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</si>
  <si>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</si>
  <si>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</si>
  <si>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</si>
  <si>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</si>
  <si>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</si>
  <si>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</si>
  <si>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</si>
  <si>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</si>
  <si>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</si>
  <si>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</si>
  <si>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</si>
  <si>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</si>
  <si>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</si>
  <si>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</si>
  <si>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</si>
  <si>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</si>
  <si>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</si>
  <si>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</si>
  <si>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</si>
  <si>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</si>
  <si>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</si>
  <si>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</si>
  <si>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</si>
  <si>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</si>
  <si>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</si>
  <si>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</si>
  <si>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</si>
  <si>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</si>
  <si>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</si>
  <si>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</si>
  <si>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</si>
  <si>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</si>
  <si>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</si>
  <si>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</si>
  <si>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</si>
  <si>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</si>
  <si>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</si>
  <si>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</si>
  <si>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</si>
  <si>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</si>
  <si>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</si>
  <si>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</si>
  <si>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</si>
  <si>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</si>
  <si>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</si>
  <si>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</si>
  <si>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</si>
  <si>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</si>
  <si>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</si>
  <si>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</si>
  <si>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</si>
  <si>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</si>
  <si>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</si>
  <si>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</si>
  <si>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</si>
  <si>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</si>
  <si>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</si>
  <si>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</si>
  <si>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</si>
  <si>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</si>
  <si>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</si>
  <si>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</si>
  <si>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</si>
  <si>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</si>
  <si>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</si>
  <si>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</si>
  <si>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</si>
  <si>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</si>
  <si>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</si>
  <si>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</si>
  <si>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</si>
  <si>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</si>
  <si>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</si>
  <si>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</si>
  <si>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</si>
  <si>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</si>
  <si>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</si>
  <si>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</si>
  <si>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</si>
  <si>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</si>
  <si>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</si>
  <si>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</si>
  <si>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</si>
  <si>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</si>
  <si>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</si>
  <si>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</si>
  <si>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</si>
  <si>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</si>
  <si>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</si>
  <si>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</si>
  <si>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</si>
  <si>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</si>
  <si>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</si>
  <si>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</si>
  <si>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</si>
  <si>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</si>
  <si>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</si>
  <si>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</si>
  <si>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</si>
  <si>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</si>
  <si>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</si>
  <si>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</si>
  <si>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</si>
  <si>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</si>
  <si>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</si>
  <si>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</si>
  <si>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</si>
  <si>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</si>
  <si>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</si>
  <si>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</si>
  <si>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</si>
  <si>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</si>
  <si>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</si>
  <si>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</si>
  <si>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</si>
  <si>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</si>
  <si>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</si>
  <si>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</si>
  <si>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</si>
  <si>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</si>
  <si>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</si>
  <si>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</si>
  <si>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</si>
  <si>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</si>
  <si>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</si>
  <si>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</si>
  <si>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</si>
  <si>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</si>
  <si>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</si>
  <si>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</si>
  <si>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</si>
  <si>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</si>
  <si>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</si>
  <si>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</si>
  <si>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</si>
  <si>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</si>
  <si>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</si>
  <si>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</si>
  <si>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</si>
  <si>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</si>
  <si>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</si>
  <si>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</si>
  <si>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</si>
  <si>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</si>
  <si>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</si>
  <si>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</si>
  <si>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</si>
  <si>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</si>
  <si>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</si>
  <si>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</si>
  <si>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</si>
  <si>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</si>
  <si>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</si>
  <si>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</si>
  <si>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</si>
  <si>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</si>
  <si>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</si>
  <si>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</si>
  <si>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</si>
  <si>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</si>
  <si>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</si>
  <si>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</si>
  <si>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</si>
  <si>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</si>
  <si>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</si>
  <si>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</si>
  <si>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</si>
  <si>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</si>
  <si>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</si>
  <si>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</si>
  <si>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</si>
  <si>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</si>
  <si>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</si>
  <si>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</si>
  <si>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</si>
  <si>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</si>
  <si>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</si>
  <si>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</si>
  <si>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</si>
  <si>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</si>
  <si>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</si>
  <si>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</si>
  <si>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</si>
  <si>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</si>
  <si>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</si>
  <si>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</si>
  <si>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</si>
  <si>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</si>
  <si>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</si>
  <si>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</si>
  <si>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</si>
  <si>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</si>
  <si>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</si>
  <si>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</si>
  <si>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</si>
  <si>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</si>
  <si>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</si>
  <si>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</si>
  <si>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</si>
  <si>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</si>
  <si>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</si>
  <si>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</si>
  <si>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</si>
  <si>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</si>
  <si>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</si>
  <si>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</si>
  <si>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</si>
  <si>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</si>
  <si>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</si>
  <si>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</si>
  <si>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</si>
  <si>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</si>
  <si>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</si>
  <si>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</si>
  <si>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</si>
  <si>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</si>
  <si>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</si>
  <si>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</si>
  <si>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</si>
  <si>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</si>
  <si>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</si>
  <si>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</si>
  <si>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</si>
  <si>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</si>
  <si>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</si>
  <si>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</si>
  <si>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</si>
  <si>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</si>
  <si>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</si>
  <si>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</si>
  <si>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</si>
  <si>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</si>
  <si>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</si>
  <si>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</si>
  <si>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</si>
  <si>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</si>
  <si>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</si>
  <si>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</si>
  <si>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</si>
  <si>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</si>
  <si>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</si>
  <si>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</si>
  <si>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</si>
  <si>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</si>
  <si>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</si>
  <si>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</si>
  <si>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</si>
  <si>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</si>
  <si>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</si>
  <si>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</si>
  <si>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</si>
  <si>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</si>
  <si>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</si>
  <si>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</si>
  <si>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</si>
  <si>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</si>
  <si>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</si>
  <si>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</si>
  <si>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</si>
  <si>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</si>
  <si>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</si>
  <si>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</si>
  <si>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</si>
  <si>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</si>
  <si>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</si>
  <si>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</si>
  <si>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</si>
  <si>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</si>
  <si>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</si>
  <si>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</si>
  <si>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</si>
  <si>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</si>
  <si>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</si>
  <si>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</si>
  <si>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</si>
  <si>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</si>
  <si>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</si>
  <si>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</si>
  <si>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</si>
  <si>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</si>
  <si>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</si>
  <si>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</si>
  <si>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</si>
  <si>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</si>
  <si>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</si>
  <si>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</si>
  <si>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</si>
  <si>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</si>
  <si>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</si>
  <si>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</si>
  <si>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</si>
  <si>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</si>
  <si>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</si>
  <si>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</si>
  <si>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</si>
  <si>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</si>
  <si>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</si>
  <si>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</si>
  <si>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</si>
  <si>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</si>
  <si>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</si>
  <si>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</si>
  <si>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</si>
  <si>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</si>
  <si>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</si>
  <si>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</si>
  <si>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</si>
  <si>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</si>
  <si>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</si>
  <si>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</si>
  <si>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</si>
  <si>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</si>
  <si>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</si>
  <si>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</si>
  <si>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</si>
  <si>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</si>
  <si>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</si>
  <si>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</si>
  <si>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</si>
  <si>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</si>
  <si>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</si>
  <si>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</si>
  <si>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</si>
  <si>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</si>
  <si>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</si>
  <si>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</si>
  <si>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</si>
  <si>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</si>
  <si>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</si>
  <si>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</si>
  <si>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</si>
  <si>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</si>
  <si>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</si>
  <si>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</si>
  <si>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</si>
  <si>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</si>
  <si>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</si>
  <si>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</si>
  <si>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</si>
  <si>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</si>
  <si>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</si>
  <si>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</si>
  <si>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</si>
  <si>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</si>
  <si>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</si>
  <si>
    <t>2 - LUCA NONNATO</t>
  </si>
  <si>
    <t>4 - ABDESSAMAD BAGHROUCH</t>
  </si>
  <si>
    <t>90 - MATTEO COL</t>
  </si>
  <si>
    <t>3 - GABRIELE BARBIERATO</t>
  </si>
  <si>
    <t>10 - RAFFAELE GAROFALO</t>
  </si>
  <si>
    <t>9 - ANDREA BALDON</t>
  </si>
  <si>
    <t>8 - GIACOMO BORTOLIERO</t>
  </si>
  <si>
    <t>14 - FABIO FERRARI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</si>
</sst>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W1" workbookViewId="0">
      <pane ySplit="2" topLeftCell="A3" activePane="bottomLeft" state="frozen"/>
      <selection pane="bottomLeft" activeCell="Z13" sqref="Z1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K23" sqref="K23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>
        <v>4</v>
      </c>
      <c r="J23" s="2">
        <v>0</v>
      </c>
      <c r="K23" s="2"/>
      <c r="L23" t="str">
        <f t="shared" si="0"/>
        <v>Complete</v>
      </c>
      <c r="M23">
        <f>IF(OR(I23="",J23=""),"",IF(I23&gt;J23,Settings!$B$2,IF(I23&lt;J23,Settings!$B$5,IF(K23=G23,Settings!$B$3,IF(K23=H23,Settings!$B$4,"")))))</f>
        <v>3</v>
      </c>
      <c r="N23">
        <f>IF(OR(I23="",J23=""),"",IF(J23&gt;I23,Settings!$B$2,IF(J23&lt;I23,Settings!$B$5,IF(K23=H23,Settings!$B$3,IF(K23=G23,Settings!$B$4,"")))))</f>
        <v>0</v>
      </c>
      <c r="O23" t="str">
        <f t="shared" si="1"/>
        <v>Fatine FC</v>
      </c>
      <c r="P23" t="str">
        <f t="shared" si="2"/>
        <v>Fatine FC 4 - 0 Astolfi Impianti Elettrici</v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>
        <v>1</v>
      </c>
      <c r="J24" s="2">
        <v>1</v>
      </c>
      <c r="K24" s="2" t="s">
        <v>8</v>
      </c>
      <c r="L24" t="str">
        <f t="shared" si="0"/>
        <v>Complete</v>
      </c>
      <c r="M24">
        <f>IF(OR(I24="",J24=""),"",IF(I24&gt;J24,Settings!$B$2,IF(I24&lt;J24,Settings!$B$5,IF(K24=G24,Settings!$B$3,IF(K24=H24,Settings!$B$4,"")))))</f>
        <v>2</v>
      </c>
      <c r="N24">
        <f>IF(OR(I24="",J24=""),"",IF(J24&gt;I24,Settings!$B$2,IF(J24&lt;I24,Settings!$B$5,IF(K24=H24,Settings!$B$3,IF(K24=G24,Settings!$B$4,"")))))</f>
        <v>1</v>
      </c>
      <c r="O24" t="str">
        <f t="shared" si="1"/>
        <v>FC Internazionale Rovigo</v>
      </c>
      <c r="P24" t="str">
        <f t="shared" si="2"/>
        <v>FC Internazionale Rovigo 1 - 1 Moviola Utd (rigori: FC Internazionale Rovigo)</v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>
        <v>1</v>
      </c>
      <c r="J25" s="2">
        <v>4</v>
      </c>
      <c r="K25" s="2"/>
      <c r="L25" t="str">
        <f t="shared" si="0"/>
        <v>Complete</v>
      </c>
      <c r="M25">
        <f>IF(OR(I25="",J25=""),"",IF(I25&gt;J25,Settings!$B$2,IF(I25&lt;J25,Settings!$B$5,IF(K25=G25,Settings!$B$3,IF(K25=H25,Settings!$B$4,"")))))</f>
        <v>0</v>
      </c>
      <c r="N25">
        <f>IF(OR(I25="",J25=""),"",IF(J25&gt;I25,Settings!$B$2,IF(J25&lt;I25,Settings!$B$5,IF(K25=H25,Settings!$B$3,IF(K25=G25,Settings!$B$4,"")))))</f>
        <v>3</v>
      </c>
      <c r="O25" t="str">
        <f t="shared" si="1"/>
        <v>Barrio Boys</v>
      </c>
      <c r="P25" t="str">
        <f t="shared" si="2"/>
        <v>Pink 5ive 1 - 4 Barrio Boys</v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254" workbookViewId="0">
      <selection activeCell="E258" sqref="E25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>M22</v>
      </c>
      <c r="B254" t="str">
        <f>IF(A254="","",IF(J254&lt;=INDEX(Matches!$I$2:$I$25,I254-1),INDEX(Matches!$G$2:$G$25,I254-1),INDEX(Matches!$H$2:$H$25,I254-1)))</f>
        <v>Fatine FC</v>
      </c>
      <c r="C254">
        <f>IF(A254="","",COUNTIFS($A$2:A254,A254,$B$2:B254,B254))</f>
        <v>1</v>
      </c>
      <c r="D254" s="2" t="str">
        <f t="shared" si="9"/>
        <v>Goal</v>
      </c>
      <c r="E254" s="2" t="s">
        <v>477</v>
      </c>
      <c r="F254" t="str">
        <f t="shared" si="10"/>
        <v>Fatine FC</v>
      </c>
      <c r="G254" t="str">
        <f t="shared" si="11"/>
        <v>OK</v>
      </c>
      <c r="H254" t="str">
        <f>IF(F254="","",VLOOKUP(F254,Validation!$A$2:$B$17,2,FALSE))</f>
        <v>Validation!$C$2:$C$31</v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>M22</v>
      </c>
      <c r="B255" t="str">
        <f>IF(A255="","",IF(J255&lt;=INDEX(Matches!$I$2:$I$25,I255-1),INDEX(Matches!$G$2:$G$25,I255-1),INDEX(Matches!$H$2:$H$25,I255-1)))</f>
        <v>Fatine FC</v>
      </c>
      <c r="C255">
        <f>IF(A255="","",COUNTIFS($A$2:A255,A255,$B$2:B255,B255))</f>
        <v>2</v>
      </c>
      <c r="D255" s="2" t="str">
        <f t="shared" si="9"/>
        <v>Goal</v>
      </c>
      <c r="E255" s="2" t="s">
        <v>477</v>
      </c>
      <c r="F255" t="str">
        <f t="shared" si="10"/>
        <v>Fatine FC</v>
      </c>
      <c r="G255" t="str">
        <f t="shared" si="11"/>
        <v>OK</v>
      </c>
      <c r="H255" t="str">
        <f>IF(F255="","",VLOOKUP(F255,Validation!$A$2:$B$17,2,FALSE))</f>
        <v>Validation!$C$2:$C$31</v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>M22</v>
      </c>
      <c r="B256" t="str">
        <f>IF(A256="","",IF(J256&lt;=INDEX(Matches!$I$2:$I$25,I256-1),INDEX(Matches!$G$2:$G$25,I256-1),INDEX(Matches!$H$2:$H$25,I256-1)))</f>
        <v>Fatine FC</v>
      </c>
      <c r="C256">
        <f>IF(A256="","",COUNTIFS($A$2:A256,A256,$B$2:B256,B256))</f>
        <v>3</v>
      </c>
      <c r="D256" s="2" t="str">
        <f t="shared" si="9"/>
        <v>Goal</v>
      </c>
      <c r="E256" s="2" t="s">
        <v>462</v>
      </c>
      <c r="F256" t="str">
        <f t="shared" si="10"/>
        <v>Fatine FC</v>
      </c>
      <c r="G256" t="str">
        <f t="shared" si="11"/>
        <v>OK</v>
      </c>
      <c r="H256" t="str">
        <f>IF(F256="","",VLOOKUP(F256,Validation!$A$2:$B$17,2,FALSE))</f>
        <v>Validation!$C$2:$C$31</v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>M22</v>
      </c>
      <c r="B257" t="str">
        <f>IF(A257="","",IF(J257&lt;=INDEX(Matches!$I$2:$I$25,I257-1),INDEX(Matches!$G$2:$G$25,I257-1),INDEX(Matches!$H$2:$H$25,I257-1)))</f>
        <v>Fatine FC</v>
      </c>
      <c r="C257">
        <f>IF(A257="","",COUNTIFS($A$2:A257,A257,$B$2:B257,B257))</f>
        <v>4</v>
      </c>
      <c r="D257" s="2" t="str">
        <f t="shared" si="9"/>
        <v>Goal</v>
      </c>
      <c r="E257" s="2" t="s">
        <v>431</v>
      </c>
      <c r="F257" t="str">
        <f t="shared" si="10"/>
        <v>Fatine FC</v>
      </c>
      <c r="G257" t="str">
        <f t="shared" si="11"/>
        <v>OK</v>
      </c>
      <c r="H257" t="str">
        <f>IF(F257="","",VLOOKUP(F257,Validation!$A$2:$B$17,2,FALSE))</f>
        <v>Validation!$C$2:$C$31</v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>M23</v>
      </c>
      <c r="B266" t="str">
        <f>IF(A266="","",IF(J266&lt;=INDEX(Matches!$I$2:$I$25,I266-1),INDEX(Matches!$G$2:$G$25,I266-1),INDEX(Matches!$H$2:$H$25,I266-1)))</f>
        <v>FC Internazionale Rovigo</v>
      </c>
      <c r="C266">
        <f>IF(A266="","",COUNTIFS($A$2:A266,A266,$B$2:B266,B266))</f>
        <v>1</v>
      </c>
      <c r="D266" s="2" t="str">
        <f t="shared" si="12"/>
        <v>Goal</v>
      </c>
      <c r="E266" s="2" t="s">
        <v>476</v>
      </c>
      <c r="F266" t="str">
        <f t="shared" si="13"/>
        <v>FC Internazionale Rovigo</v>
      </c>
      <c r="G266" t="str">
        <f t="shared" si="14"/>
        <v>OK</v>
      </c>
      <c r="H266" t="str">
        <f>IF(F266="","",VLOOKUP(F266,Validation!$A$2:$B$17,2,FALSE))</f>
        <v>Validation!$D$2:$D$31</v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>M23</v>
      </c>
      <c r="B267" t="str">
        <f>IF(A267="","",IF(J267&lt;=INDEX(Matches!$I$2:$I$25,I267-1),INDEX(Matches!$G$2:$G$25,I267-1),INDEX(Matches!$H$2:$H$25,I267-1)))</f>
        <v>Moviola Utd</v>
      </c>
      <c r="C267">
        <f>IF(A267="","",COUNTIFS($A$2:A267,A267,$B$2:B267,B267))</f>
        <v>1</v>
      </c>
      <c r="D267" s="2" t="str">
        <f t="shared" si="12"/>
        <v>Goal</v>
      </c>
      <c r="E267" s="2" t="s">
        <v>461</v>
      </c>
      <c r="F267" t="str">
        <f t="shared" si="13"/>
        <v>Moviola Utd</v>
      </c>
      <c r="G267" t="str">
        <f t="shared" si="14"/>
        <v>OK</v>
      </c>
      <c r="H267" t="str">
        <f>IF(F267="","",VLOOKUP(F267,Validation!$A$2:$B$17,2,FALSE))</f>
        <v>Validation!$E$2:$E$31</v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>M24</v>
      </c>
      <c r="B278" t="str">
        <f>IF(A278="","",IF(J278&lt;=INDEX(Matches!$I$2:$I$25,I278-1),INDEX(Matches!$G$2:$G$25,I278-1),INDEX(Matches!$H$2:$H$25,I278-1)))</f>
        <v>Pink 5ive</v>
      </c>
      <c r="C278">
        <f>IF(A278="","",COUNTIFS($A$2:A278,A278,$B$2:B278,B278))</f>
        <v>1</v>
      </c>
      <c r="D278" s="2" t="str">
        <f t="shared" si="12"/>
        <v>Goal</v>
      </c>
      <c r="E278" s="2" t="s">
        <v>455</v>
      </c>
      <c r="F278" t="str">
        <f t="shared" si="13"/>
        <v>Pink 5ive</v>
      </c>
      <c r="G278" t="str">
        <f t="shared" si="14"/>
        <v>OK</v>
      </c>
      <c r="H278" t="str">
        <f>IF(F278="","",VLOOKUP(F278,Validation!$A$2:$B$17,2,FALSE))</f>
        <v>Validation!$L$2:$L$31</v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>M24</v>
      </c>
      <c r="B279" t="str">
        <f>IF(A279="","",IF(J279&lt;=INDEX(Matches!$I$2:$I$25,I279-1),INDEX(Matches!$G$2:$G$25,I279-1),INDEX(Matches!$H$2:$H$25,I279-1)))</f>
        <v>Barrio Boys</v>
      </c>
      <c r="C279">
        <f>IF(A279="","",COUNTIFS($A$2:A279,A279,$B$2:B279,B279))</f>
        <v>1</v>
      </c>
      <c r="D279" s="2" t="str">
        <f t="shared" si="12"/>
        <v>Goal</v>
      </c>
      <c r="E279" s="2" t="s">
        <v>475</v>
      </c>
      <c r="F279" t="str">
        <f t="shared" si="13"/>
        <v>Barrio Boys</v>
      </c>
      <c r="G279" t="str">
        <f t="shared" si="14"/>
        <v>OK</v>
      </c>
      <c r="H279" t="str">
        <f>IF(F279="","",VLOOKUP(F279,Validation!$A$2:$B$17,2,FALSE))</f>
        <v>Validation!$M$2:$M$31</v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>M24</v>
      </c>
      <c r="B280" t="str">
        <f>IF(A280="","",IF(J280&lt;=INDEX(Matches!$I$2:$I$25,I280-1),INDEX(Matches!$G$2:$G$25,I280-1),INDEX(Matches!$H$2:$H$25,I280-1)))</f>
        <v>Barrio Boys</v>
      </c>
      <c r="C280">
        <f>IF(A280="","",COUNTIFS($A$2:A280,A280,$B$2:B280,B280))</f>
        <v>2</v>
      </c>
      <c r="D280" s="2" t="str">
        <f t="shared" si="12"/>
        <v>Goal</v>
      </c>
      <c r="E280" s="2" t="s">
        <v>475</v>
      </c>
      <c r="F280" t="str">
        <f t="shared" si="13"/>
        <v>Barrio Boys</v>
      </c>
      <c r="G280" t="str">
        <f t="shared" si="14"/>
        <v>OK</v>
      </c>
      <c r="H280" t="str">
        <f>IF(F280="","",VLOOKUP(F280,Validation!$A$2:$B$17,2,FALSE))</f>
        <v>Validation!$M$2:$M$31</v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>M24</v>
      </c>
      <c r="B281" t="str">
        <f>IF(A281="","",IF(J281&lt;=INDEX(Matches!$I$2:$I$25,I281-1),INDEX(Matches!$G$2:$G$25,I281-1),INDEX(Matches!$H$2:$H$25,I281-1)))</f>
        <v>Barrio Boys</v>
      </c>
      <c r="C281">
        <f>IF(A281="","",COUNTIFS($A$2:A281,A281,$B$2:B281,B281))</f>
        <v>3</v>
      </c>
      <c r="D281" s="2" t="str">
        <f t="shared" si="12"/>
        <v>Goal</v>
      </c>
      <c r="E281" s="2" t="s">
        <v>416</v>
      </c>
      <c r="F281" t="str">
        <f t="shared" si="13"/>
        <v>Barrio Boys</v>
      </c>
      <c r="G281" t="str">
        <f t="shared" si="14"/>
        <v>OK</v>
      </c>
      <c r="H281" t="str">
        <f>IF(F281="","",VLOOKUP(F281,Validation!$A$2:$B$17,2,FALSE))</f>
        <v>Validation!$M$2:$M$31</v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>M24</v>
      </c>
      <c r="B282" t="str">
        <f>IF(A282="","",IF(J282&lt;=INDEX(Matches!$I$2:$I$25,I282-1),INDEX(Matches!$G$2:$G$25,I282-1),INDEX(Matches!$H$2:$H$25,I282-1)))</f>
        <v>Barrio Boys</v>
      </c>
      <c r="C282">
        <f>IF(A282="","",COUNTIFS($A$2:A282,A282,$B$2:B282,B282))</f>
        <v>4</v>
      </c>
      <c r="D282" s="2" t="str">
        <f t="shared" si="12"/>
        <v>Goal</v>
      </c>
      <c r="E282" s="2" t="s">
        <v>417</v>
      </c>
      <c r="F282" t="str">
        <f t="shared" si="13"/>
        <v>Barrio Boys</v>
      </c>
      <c r="G282" t="str">
        <f t="shared" si="14"/>
        <v>OK</v>
      </c>
      <c r="H282" t="str">
        <f>IF(F282="","",VLOOKUP(F282,Validation!$A$2:$B$17,2,FALSE))</f>
        <v>Validation!$M$2:$M$31</v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2</v>
      </c>
      <c r="E5">
        <f t="shared" si="0"/>
        <v>199999.995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3</v>
      </c>
      <c r="E7">
        <f t="shared" si="0"/>
        <v>299999.99300000002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2</v>
      </c>
      <c r="E11">
        <f t="shared" si="0"/>
        <v>199999.989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1</v>
      </c>
      <c r="E41">
        <f t="shared" si="0"/>
        <v>99999.959000000003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3</v>
      </c>
      <c r="E65">
        <f t="shared" si="0"/>
        <v>299999.935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2</v>
      </c>
      <c r="E66">
        <f t="shared" ref="E66:E129" si="1">IF(A66="",0,D66*100000-ROW()/1000)</f>
        <v>199999.93400000001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2</v>
      </c>
      <c r="E157">
        <f t="shared" si="2"/>
        <v>199999.84299999999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2</v>
      </c>
      <c r="E184">
        <f t="shared" si="2"/>
        <v>199999.81599999999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7</v>
      </c>
      <c r="E187">
        <f t="shared" si="2"/>
        <v>699999.81299999997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2</v>
      </c>
      <c r="E188">
        <f t="shared" si="2"/>
        <v>199999.81200000001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6</v>
      </c>
      <c r="E243">
        <f t="shared" si="3"/>
        <v>599999.75699999998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2</v>
      </c>
      <c r="E244">
        <f t="shared" si="3"/>
        <v>199999.75599999999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3</v>
      </c>
      <c r="E246">
        <f t="shared" si="3"/>
        <v>299999.75400000002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1</v>
      </c>
      <c r="E247">
        <f t="shared" si="3"/>
        <v>99999.752999999997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2</v>
      </c>
      <c r="E281">
        <f t="shared" si="4"/>
        <v>199999.71900000001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2</v>
      </c>
      <c r="E303">
        <f t="shared" si="4"/>
        <v>199999.69699999999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1</v>
      </c>
      <c r="E304">
        <f t="shared" si="4"/>
        <v>99999.695999999996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3</v>
      </c>
      <c r="E309">
        <f t="shared" si="4"/>
        <v>299999.69099999999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3</v>
      </c>
      <c r="E310">
        <f t="shared" si="4"/>
        <v>299999.69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2</v>
      </c>
      <c r="E398">
        <f t="shared" si="6"/>
        <v>199999.60200000001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1</v>
      </c>
      <c r="E399">
        <f t="shared" si="6"/>
        <v>99999.600999999995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1</v>
      </c>
      <c r="E454">
        <f t="shared" si="7"/>
        <v>99999.546000000002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1</v>
      </c>
      <c r="E459">
        <f t="shared" si="7"/>
        <v>99999.540999999997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1</v>
      </c>
      <c r="E460">
        <f t="shared" si="7"/>
        <v>99999.54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7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LEONARDO MAGGIO</v>
      </c>
      <c r="C3" t="str">
        <f>IF($A3="","",INDEX(ScorerData!$B$2:$B$481,MATCH(LARGE(ScorerData!$E$2:$E$481,$A3),ScorerData!$E$2:$E$481,0)))</f>
        <v>Leoni di Ricky</v>
      </c>
      <c r="D3">
        <f>IF($A3="","",INDEX(ScorerData!$D$2:$D$481,MATCH(LARGE(ScorerData!$E$2:$E$481,$A3),ScorerData!$E$2:$E$481,0)))</f>
        <v>6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NICOLA BRESCIANI</v>
      </c>
      <c r="C4" t="str">
        <f>IF($A4="","",INDEX(ScorerData!$B$2:$B$481,MATCH(LARGE(ScorerData!$E$2:$E$481,$A4),ScorerData!$E$2:$E$481,0)))</f>
        <v>All Blacks</v>
      </c>
      <c r="D4">
        <f>IF($A4="","",INDEX(ScorerData!$D$2:$D$481,MATCH(LARGE(ScorerData!$E$2:$E$481,$A4),ScorerData!$E$2:$E$481,0)))</f>
        <v>4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LUCA MARINI</v>
      </c>
      <c r="C5" t="str">
        <f>IF($A5="","",INDEX(ScorerData!$B$2:$B$481,MATCH(LARGE(ScorerData!$E$2:$E$481,$A5),ScorerData!$E$2:$E$481,0)))</f>
        <v>Fatine FC</v>
      </c>
      <c r="D5">
        <f>IF($A5="","",INDEX(ScorerData!$D$2:$D$481,MATCH(LARGE(ScorerData!$E$2:$E$481,$A5),ScorerData!$E$2:$E$481,0)))</f>
        <v>3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FILIPPO SCARANELLO</v>
      </c>
      <c r="C6" t="str">
        <f>IF($A6="","",INDEX(ScorerData!$B$2:$B$481,MATCH(LARGE(ScorerData!$E$2:$E$481,$A6),ScorerData!$E$2:$E$481,0)))</f>
        <v>Moviola Utd</v>
      </c>
      <c r="D6">
        <f>IF($A6="","",INDEX(ScorerData!$D$2:$D$481,MATCH(LARGE(ScorerData!$E$2:$E$481,$A6),ScorerData!$E$2:$E$481,0)))</f>
        <v>3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DAVIDE ZAGHI</v>
      </c>
      <c r="C7" t="str">
        <f>IF($A7="","",INDEX(ScorerData!$B$2:$B$481,MATCH(LARGE(ScorerData!$E$2:$E$481,$A7),ScorerData!$E$2:$E$481,0)))</f>
        <v>Vecchie Glorie Rovigo</v>
      </c>
      <c r="D7">
        <f>IF($A7="","",INDEX(ScorerData!$D$2:$D$481,MATCH(LARGE(ScorerData!$E$2:$E$481,$A7),ScorerData!$E$2:$E$481,0)))</f>
        <v>3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MATTEO ZAMBERLAN</v>
      </c>
      <c r="C8" t="str">
        <f>IF($A8="","",INDEX(ScorerData!$B$2:$B$481,MATCH(LARGE(ScorerData!$E$2:$E$481,$A8),ScorerData!$E$2:$E$481,0)))</f>
        <v>Vecchie Glorie Rovigo</v>
      </c>
      <c r="D8">
        <f>IF($A8="","",INDEX(ScorerData!$D$2:$D$481,MATCH(LARGE(ScorerData!$E$2:$E$481,$A8),ScorerData!$E$2:$E$481,0)))</f>
        <v>3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NICOLA BARONI</v>
      </c>
      <c r="C9" t="str">
        <f>IF($A9="","",INDEX(ScorerData!$B$2:$B$481,MATCH(LARGE(ScorerData!$E$2:$E$481,$A9),ScorerData!$E$2:$E$481,0)))</f>
        <v>AS Bancatore</v>
      </c>
      <c r="D9">
        <f>IF($A9="","",INDEX(ScorerData!$D$2:$D$481,MATCH(LARGE(ScorerData!$E$2:$E$481,$A9),ScorerData!$E$2:$E$481,0)))</f>
        <v>3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MARCO THOMPSON</v>
      </c>
      <c r="C10" t="str">
        <f>IF($A10="","",INDEX(ScorerData!$B$2:$B$481,MATCH(LARGE(ScorerData!$E$2:$E$481,$A10),ScorerData!$E$2:$E$481,0)))</f>
        <v>Leoni di Ricky</v>
      </c>
      <c r="D10">
        <f>IF($A10="","",INDEX(ScorerData!$D$2:$D$481,MATCH(LARGE(ScorerData!$E$2:$E$481,$A10),ScorerData!$E$2:$E$481,0)))</f>
        <v>3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EDOARDO CAVALLARI</v>
      </c>
      <c r="C11" t="str">
        <f>IF($A11="","",INDEX(ScorerData!$B$2:$B$481,MATCH(LARGE(ScorerData!$E$2:$E$481,$A11),ScorerData!$E$2:$E$481,0)))</f>
        <v>Barrio Boys</v>
      </c>
      <c r="D11">
        <f>IF($A11="","",INDEX(ScorerData!$D$2:$D$481,MATCH(LARGE(ScorerData!$E$2:$E$481,$A11),ScorerData!$E$2:$E$481,0)))</f>
        <v>3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MATTEO FERRO</v>
      </c>
      <c r="C12" t="str">
        <f>IF($A12="","",INDEX(ScorerData!$B$2:$B$481,MATCH(LARGE(ScorerData!$E$2:$E$481,$A12),ScorerData!$E$2:$E$481,0)))</f>
        <v>Barrio Boys</v>
      </c>
      <c r="D12">
        <f>IF($A12="","",INDEX(ScorerData!$D$2:$D$481,MATCH(LARGE(ScorerData!$E$2:$E$481,$A12),ScorerData!$E$2:$E$481,0)))</f>
        <v>3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NICHOLAS MILAN</v>
      </c>
      <c r="C13" t="str">
        <f>IF($A13="","",INDEX(ScorerData!$B$2:$B$481,MATCH(LARGE(ScorerData!$E$2:$E$481,$A13),ScorerData!$E$2:$E$481,0)))</f>
        <v>Fatine FC</v>
      </c>
      <c r="D13">
        <f>IF($A13="","",INDEX(ScorerData!$D$2:$D$481,MATCH(LARGE(ScorerData!$E$2:$E$481,$A13),ScorerData!$E$2:$E$481,0)))</f>
        <v>2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MATTEO COL</v>
      </c>
      <c r="C14" t="str">
        <f>IF($A14="","",INDEX(ScorerData!$B$2:$B$481,MATCH(LARGE(ScorerData!$E$2:$E$481,$A14),ScorerData!$E$2:$E$481,0)))</f>
        <v>Fatine FC</v>
      </c>
      <c r="D14">
        <f>IF($A14="","",INDEX(ScorerData!$D$2:$D$481,MATCH(LARGE(ScorerData!$E$2:$E$481,$A14),ScorerData!$E$2:$E$481,0)))</f>
        <v>2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IVAN DENIS SHEVERAK</v>
      </c>
      <c r="C15" t="str">
        <f>IF($A15="","",INDEX(ScorerData!$B$2:$B$481,MATCH(LARGE(ScorerData!$E$2:$E$481,$A15),ScorerData!$E$2:$E$481,0)))</f>
        <v>FC Internazionale Rovigo</v>
      </c>
      <c r="D15">
        <f>IF($A15="","",INDEX(ScorerData!$D$2:$D$481,MATCH(LARGE(ScorerData!$E$2:$E$481,$A15),ScorerData!$E$2:$E$481,0)))</f>
        <v>2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AHMED ZOUZAF</v>
      </c>
      <c r="C16" t="str">
        <f>IF($A16="","",INDEX(ScorerData!$B$2:$B$481,MATCH(LARGE(ScorerData!$E$2:$E$481,$A16),ScorerData!$E$2:$E$481,0)))</f>
        <v>FC Internazionale Rovigo</v>
      </c>
      <c r="D16">
        <f>IF($A16="","",INDEX(ScorerData!$D$2:$D$481,MATCH(LARGE(ScorerData!$E$2:$E$481,$A16),ScorerData!$E$2:$E$481,0)))</f>
        <v>2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EDDY MAZZETTO</v>
      </c>
      <c r="C17" t="str">
        <f>IF($A17="","",INDEX(ScorerData!$B$2:$B$481,MATCH(LARGE(ScorerData!$E$2:$E$481,$A17),ScorerData!$E$2:$E$481,0)))</f>
        <v>Moviola Utd</v>
      </c>
      <c r="D17">
        <f>IF($A17="","",INDEX(ScorerData!$D$2:$D$481,MATCH(LARGE(ScorerData!$E$2:$E$481,$A17),ScorerData!$E$2:$E$481,0)))</f>
        <v>2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DENIS TIMPANARO</v>
      </c>
      <c r="C18" t="str">
        <f>IF($A18="","",INDEX(ScorerData!$B$2:$B$481,MATCH(LARGE(ScorerData!$E$2:$E$481,$A18),ScorerData!$E$2:$E$481,0)))</f>
        <v>Vecchie Glorie Rovigo</v>
      </c>
      <c r="D18">
        <f>IF($A18="","",INDEX(ScorerData!$D$2:$D$481,MATCH(LARGE(ScorerData!$E$2:$E$481,$A18),ScorerData!$E$2:$E$481,0)))</f>
        <v>2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MATTEO LONGO</v>
      </c>
      <c r="C19" t="str">
        <f>IF($A19="","",INDEX(ScorerData!$B$2:$B$481,MATCH(LARGE(ScorerData!$E$2:$E$481,$A19),ScorerData!$E$2:$E$481,0)))</f>
        <v>AS Bancatore</v>
      </c>
      <c r="D19">
        <f>IF($A19="","",INDEX(ScorerData!$D$2:$D$481,MATCH(LARGE(ScorerData!$E$2:$E$481,$A19),ScorerData!$E$2:$E$481,0)))</f>
        <v>2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GIANLUCA FREZZATI</v>
      </c>
      <c r="C20" t="str">
        <f>IF($A20="","",INDEX(ScorerData!$B$2:$B$481,MATCH(LARGE(ScorerData!$E$2:$E$481,$A20),ScorerData!$E$2:$E$481,0)))</f>
        <v>AS Bancatore</v>
      </c>
      <c r="D20">
        <f>IF($A20="","",INDEX(ScorerData!$D$2:$D$481,MATCH(LARGE(ScorerData!$E$2:$E$481,$A20),ScorerData!$E$2:$E$481,0)))</f>
        <v>2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SAMUEL BONSU</v>
      </c>
      <c r="C21" t="str">
        <f>IF($A21="","",INDEX(ScorerData!$B$2:$B$481,MATCH(LARGE(ScorerData!$E$2:$E$481,$A21),ScorerData!$E$2:$E$481,0)))</f>
        <v>Beverton</v>
      </c>
      <c r="D21">
        <f>IF($A21="","",INDEX(ScorerData!$D$2:$D$481,MATCH(LARGE(ScorerData!$E$2:$E$481,$A21),ScorerData!$E$2:$E$481,0)))</f>
        <v>2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AMIN MASSAGHRI</v>
      </c>
      <c r="C22" t="str">
        <f>IF($A22="","",INDEX(ScorerData!$B$2:$B$481,MATCH(LARGE(ScorerData!$E$2:$E$481,$A22),ScorerData!$E$2:$E$481,0)))</f>
        <v>Leoni di Ricky</v>
      </c>
      <c r="D22">
        <f>IF($A22="","",INDEX(ScorerData!$D$2:$D$481,MATCH(LARGE(ScorerData!$E$2:$E$481,$A22),ScorerData!$E$2:$E$481,0)))</f>
        <v>2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VLAD GABRIEL DUMINICA</v>
      </c>
      <c r="C23" t="str">
        <f>IF($A23="","",INDEX(ScorerData!$B$2:$B$481,MATCH(LARGE(ScorerData!$E$2:$E$481,$A23),ScorerData!$E$2:$E$481,0)))</f>
        <v>Leoni di Ricky</v>
      </c>
      <c r="D23">
        <f>IF($A23="","",INDEX(ScorerData!$D$2:$D$481,MATCH(LARGE(ScorerData!$E$2:$E$481,$A23),ScorerData!$E$2:$E$481,0)))</f>
        <v>2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TOMMASO ZANGIROLAMI</v>
      </c>
      <c r="C24" t="str">
        <f>IF($A24="","",INDEX(ScorerData!$B$2:$B$481,MATCH(LARGE(ScorerData!$E$2:$E$481,$A24),ScorerData!$E$2:$E$481,0)))</f>
        <v>Leoni di Ricky</v>
      </c>
      <c r="D24">
        <f>IF($A24="","",INDEX(ScorerData!$D$2:$D$481,MATCH(LARGE(ScorerData!$E$2:$E$481,$A24),ScorerData!$E$2:$E$481,0)))</f>
        <v>2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MATTIA COLTRO</v>
      </c>
      <c r="C25" t="str">
        <f>IF($A25="","",INDEX(ScorerData!$B$2:$B$481,MATCH(LARGE(ScorerData!$E$2:$E$481,$A25),ScorerData!$E$2:$E$481,0)))</f>
        <v>Pink 5ive</v>
      </c>
      <c r="D25">
        <f>IF($A25="","",INDEX(ScorerData!$D$2:$D$481,MATCH(LARGE(ScorerData!$E$2:$E$481,$A25),ScorerData!$E$2:$E$481,0)))</f>
        <v>2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LUCA NONNATO</v>
      </c>
      <c r="C26" t="str">
        <f>IF($A26="","",INDEX(ScorerData!$B$2:$B$481,MATCH(LARGE(ScorerData!$E$2:$E$481,$A26),ScorerData!$E$2:$E$481,0)))</f>
        <v>Barrio Boys</v>
      </c>
      <c r="D26">
        <f>IF($A26="","",INDEX(ScorerData!$D$2:$D$481,MATCH(LARGE(ScorerData!$E$2:$E$481,$A26),ScorerData!$E$2:$E$481,0)))</f>
        <v>2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NICHOLAS MOSCHINI</v>
      </c>
      <c r="C27" t="str">
        <f>IF($A27="","",INDEX(ScorerData!$B$2:$B$481,MATCH(LARGE(ScorerData!$E$2:$E$481,$A27),ScorerData!$E$2:$E$481,0)))</f>
        <v>All Blacks</v>
      </c>
      <c r="D27">
        <f>IF($A27="","",INDEX(ScorerData!$D$2:$D$481,MATCH(LARGE(ScorerData!$E$2:$E$481,$A27),ScorerData!$E$2:$E$481,0)))</f>
        <v>2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ALEX BERTIPAGLIA</v>
      </c>
      <c r="C28" t="str">
        <f>IF($A28="","",INDEX(ScorerData!$B$2:$B$481,MATCH(LARGE(ScorerData!$E$2:$E$481,$A28),ScorerData!$E$2:$E$481,0)))</f>
        <v>Boldò Glimt</v>
      </c>
      <c r="D28">
        <f>IF($A28="","",INDEX(ScorerData!$D$2:$D$481,MATCH(LARGE(ScorerData!$E$2:$E$481,$A28),ScorerData!$E$2:$E$481,0)))</f>
        <v>2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LUCA CECCONELLO</v>
      </c>
      <c r="C29" t="str">
        <f>IF($A29="","",INDEX(ScorerData!$B$2:$B$481,MATCH(LARGE(ScorerData!$E$2:$E$481,$A29),ScorerData!$E$2:$E$481,0)))</f>
        <v>Boldò Glimt</v>
      </c>
      <c r="D29">
        <f>IF($A29="","",INDEX(ScorerData!$D$2:$D$481,MATCH(LARGE(ScorerData!$E$2:$E$481,$A29),ScorerData!$E$2:$E$481,0)))</f>
        <v>2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GIOVANNI BALLO</v>
      </c>
      <c r="C30" t="str">
        <f>IF($A30="","",INDEX(ScorerData!$B$2:$B$481,MATCH(LARGE(ScorerData!$E$2:$E$481,$A30),ScorerData!$E$2:$E$481,0)))</f>
        <v>Fatine FC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ABDESSAMAD BAGHROUCH</v>
      </c>
      <c r="C31" t="str">
        <f>IF($A31="","",INDEX(ScorerData!$B$2:$B$481,MATCH(LARGE(ScorerData!$E$2:$E$481,$A31),ScorerData!$E$2:$E$481,0)))</f>
        <v>FC Internazionale Rovigo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LUCA BACCO</v>
      </c>
      <c r="C32" t="str">
        <f>IF($A32="","",INDEX(ScorerData!$B$2:$B$481,MATCH(LARGE(ScorerData!$E$2:$E$481,$A32),ScorerData!$E$2:$E$481,0)))</f>
        <v>Moviola Utd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MATTEO NATALI</v>
      </c>
      <c r="C33" t="str">
        <f>IF($A33="","",INDEX(ScorerData!$B$2:$B$481,MATCH(LARGE(ScorerData!$E$2:$E$481,$A33),ScorerData!$E$2:$E$481,0)))</f>
        <v>Moviola Utd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FRANCESCO DADDATO</v>
      </c>
      <c r="C34" t="str">
        <f>IF($A34="","",INDEX(ScorerData!$B$2:$B$481,MATCH(LARGE(ScorerData!$E$2:$E$481,$A34),ScorerData!$E$2:$E$481,0)))</f>
        <v>Moviola Utd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NICO PAVANI</v>
      </c>
      <c r="C35" t="str">
        <f>IF($A35="","",INDEX(ScorerData!$B$2:$B$481,MATCH(LARGE(ScorerData!$E$2:$E$481,$A35),ScorerData!$E$2:$E$481,0)))</f>
        <v>Moviola Utd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LUCA CHERUBIN</v>
      </c>
      <c r="C36" t="str">
        <f>IF($A36="","",INDEX(ScorerData!$B$2:$B$481,MATCH(LARGE(ScorerData!$E$2:$E$481,$A36),ScorerData!$E$2:$E$481,0)))</f>
        <v>Totani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JACOPO VOLTOLINA</v>
      </c>
      <c r="C37" t="str">
        <f>IF($A37="","",INDEX(ScorerData!$B$2:$B$481,MATCH(LARGE(ScorerData!$E$2:$E$481,$A37),ScorerData!$E$2:$E$481,0)))</f>
        <v>Vecchie Glorie Rovigo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MATTEO DALL'ARA</v>
      </c>
      <c r="C38" t="str">
        <f>IF($A38="","",INDEX(ScorerData!$B$2:$B$481,MATCH(LARGE(ScorerData!$E$2:$E$481,$A38),ScorerData!$E$2:$E$481,0)))</f>
        <v>Vecchie Glorie Rovigo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LEONARDO FUSCO</v>
      </c>
      <c r="C39" t="str">
        <f>IF($A39="","",INDEX(ScorerData!$B$2:$B$481,MATCH(LARGE(ScorerData!$E$2:$E$481,$A39),ScorerData!$E$2:$E$481,0)))</f>
        <v>Vecchie Glorie Rovigo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DOMENICO IACOVINO</v>
      </c>
      <c r="C40" t="str">
        <f>IF($A40="","",INDEX(ScorerData!$B$2:$B$481,MATCH(LARGE(ScorerData!$E$2:$E$481,$A40),ScorerData!$E$2:$E$481,0)))</f>
        <v>Vecchie Glorie Rovigo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MATTIA ZAGO</v>
      </c>
      <c r="C41" t="str">
        <f>IF($A41="","",INDEX(ScorerData!$B$2:$B$481,MATCH(LARGE(ScorerData!$E$2:$E$481,$A41),ScorerData!$E$2:$E$481,0)))</f>
        <v>AS Bancatore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MATTEO SAVIOLI</v>
      </c>
      <c r="C42" t="str">
        <f>IF($A42="","",INDEX(ScorerData!$B$2:$B$481,MATCH(LARGE(ScorerData!$E$2:$E$481,$A42),ScorerData!$E$2:$E$481,0)))</f>
        <v>AS Bancatore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FILIPPO VENDRAMIN</v>
      </c>
      <c r="C43" t="str">
        <f>IF($A43="","",INDEX(ScorerData!$B$2:$B$481,MATCH(LARGE(ScorerData!$E$2:$E$481,$A43),ScorerData!$E$2:$E$481,0)))</f>
        <v>Beverton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POKOU ANTHONY</v>
      </c>
      <c r="C44" t="str">
        <f>IF($A44="","",INDEX(ScorerData!$B$2:$B$481,MATCH(LARGE(ScorerData!$E$2:$E$481,$A44),ScorerData!$E$2:$E$481,0)))</f>
        <v>Beverton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GIACOMO BORTOLIERO</v>
      </c>
      <c r="C45" t="str">
        <f>IF($A45="","",INDEX(ScorerData!$B$2:$B$481,MATCH(LARGE(ScorerData!$E$2:$E$481,$A45),ScorerData!$E$2:$E$481,0)))</f>
        <v>Leoni di Ricky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ANDREI BARZAGHIDEANU</v>
      </c>
      <c r="C46" t="str">
        <f>IF($A46="","",INDEX(ScorerData!$B$2:$B$481,MATCH(LARGE(ScorerData!$E$2:$E$481,$A46),ScorerData!$E$2:$E$481,0)))</f>
        <v>Leoni di Ricky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NICCOLO' PALTANIN</v>
      </c>
      <c r="C47" t="str">
        <f>IF($A47="","",INDEX(ScorerData!$B$2:$B$481,MATCH(LARGE(ScorerData!$E$2:$E$481,$A47),ScorerData!$E$2:$E$481,0)))</f>
        <v>Pink 5ive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MATTEO CAMPION</v>
      </c>
      <c r="C48" t="str">
        <f>IF($A48="","",INDEX(ScorerData!$B$2:$B$481,MATCH(LARGE(ScorerData!$E$2:$E$481,$A48),ScorerData!$E$2:$E$481,0)))</f>
        <v>Pink 5ive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LUCA BERNARDINELLO</v>
      </c>
      <c r="C49" t="str">
        <f>IF($A49="","",INDEX(ScorerData!$B$2:$B$481,MATCH(LARGE(ScorerData!$E$2:$E$481,$A49),ScorerData!$E$2:$E$481,0)))</f>
        <v>Pink 5ive</v>
      </c>
      <c r="D49">
        <f>IF($A49="","",INDEX(ScorerData!$D$2:$D$481,MATCH(LARGE(ScorerData!$E$2:$E$481,$A49),ScorerData!$E$2:$E$481,0)))</f>
        <v>1</v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FRANCESCO BERARDI</v>
      </c>
      <c r="C50" t="str">
        <f>IF($A50="","",INDEX(ScorerData!$B$2:$B$481,MATCH(LARGE(ScorerData!$E$2:$E$481,$A50),ScorerData!$E$2:$E$481,0)))</f>
        <v>Barrio Boys</v>
      </c>
      <c r="D50">
        <f>IF($A50="","",INDEX(ScorerData!$D$2:$D$481,MATCH(LARGE(ScorerData!$E$2:$E$481,$A50),ScorerData!$E$2:$E$481,0)))</f>
        <v>1</v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OTMAN SOUATI</v>
      </c>
      <c r="C51" t="str">
        <f>IF($A51="","",INDEX(ScorerData!$B$2:$B$481,MATCH(LARGE(ScorerData!$E$2:$E$481,$A51),ScorerData!$E$2:$E$481,0)))</f>
        <v>Cani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3</v>
      </c>
      <c r="D2">
        <f>COUNTIFS(Matches!$G$2:$G$25,$B2,Matches!$L$2:$L$25,"Complete",Matches!$M$2:$M$25,3)+COUNTIFS(Matches!$H$2:$H$25,$B2,Matches!$L$2:$L$25,"Complete",Matches!$N$2:$N$25,3)</f>
        <v>2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7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2</v>
      </c>
      <c r="K2">
        <f>SUMIFS(Matches!$M$2:$M$25,Matches!$G$2:$G$25,$B2,Matches!$L$2:$L$25,"Complete")+SUMIFS(Matches!$N$2:$N$25,Matches!$H$2:$H$25,$B2,Matches!$L$2:$L$25,"Complete")</f>
        <v>6</v>
      </c>
      <c r="L2" s="2">
        <v>0</v>
      </c>
      <c r="M2">
        <f t="shared" ref="M2:M17" si="1">K2*1000000+L2*10000+J2*100+H2-ROW()/1000</f>
        <v>6000206.9979999997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3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1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6</v>
      </c>
      <c r="I3">
        <f>SUMIFS(Matches!$J$2:$J$25,Matches!$G$2:$G$25,$B3,Matches!$L$2:$L$25,"Complete")+SUMIFS(Matches!$I$2:$I$25,Matches!$H$2:$H$25,$B3,Matches!$L$2:$L$25,"Complete")</f>
        <v>3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5</v>
      </c>
      <c r="L3" s="2">
        <f>0</f>
        <v>0</v>
      </c>
      <c r="M3">
        <f t="shared" si="1"/>
        <v>5000305.9970000004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3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1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8</v>
      </c>
      <c r="I4">
        <f>SUMIFS(Matches!$J$2:$J$25,Matches!$G$2:$G$25,$B4,Matches!$L$2:$L$25,"Complete")+SUMIFS(Matches!$I$2:$I$25,Matches!$H$2:$H$25,$B4,Matches!$L$2:$L$25,"Complete")</f>
        <v>2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7</v>
      </c>
      <c r="L4" s="2">
        <f>0</f>
        <v>0</v>
      </c>
      <c r="M4">
        <f t="shared" si="1"/>
        <v>7000607.9960000003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3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3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11</v>
      </c>
      <c r="J5">
        <f t="shared" si="0"/>
        <v>-11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-1100.0050000000001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3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2</v>
      </c>
      <c r="H11">
        <f>SUMIFS(Matches!$I$2:$I$25,Matches!$G$2:$G$25,$B11,Matches!$L$2:$L$25,"Complete")+SUMIFS(Matches!$J$2:$J$25,Matches!$H$2:$H$25,$B11,Matches!$L$2:$L$25,"Complete")</f>
        <v>5</v>
      </c>
      <c r="I11">
        <f>SUMIFS(Matches!$J$2:$J$25,Matches!$G$2:$G$25,$B11,Matches!$L$2:$L$25,"Complete")+SUMIFS(Matches!$I$2:$I$25,Matches!$H$2:$H$25,$B11,Matches!$L$2:$L$25,"Complete")</f>
        <v>11</v>
      </c>
      <c r="J11">
        <f t="shared" si="0"/>
        <v>-6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2999404.9890000001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3</v>
      </c>
      <c r="D12">
        <f>COUNTIFS(Matches!$G$2:$G$25,$B12,Matches!$L$2:$L$25,"Complete",Matches!$M$2:$M$25,3)+COUNTIFS(Matches!$H$2:$H$25,$B12,Matches!$L$2:$L$25,"Complete",Matches!$N$2:$N$25,3)</f>
        <v>2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7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5</v>
      </c>
      <c r="K12">
        <f>SUMIFS(Matches!$M$2:$M$25,Matches!$G$2:$G$25,$B12,Matches!$L$2:$L$25,"Complete")+SUMIFS(Matches!$N$2:$N$25,Matches!$H$2:$H$25,$B12,Matches!$L$2:$L$25,"Complete")</f>
        <v>8</v>
      </c>
      <c r="L12" s="2">
        <f>0</f>
        <v>0</v>
      </c>
      <c r="M12">
        <f t="shared" si="1"/>
        <v>8000506.9879999999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7</v>
      </c>
      <c r="E2">
        <f>INDEX(StandingsData!$C$2:$C$5,MATCH(LARGE(StandingsData!$M$2:$M$5,1),StandingsData!$M$2:$M$5,0))</f>
        <v>3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1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8</v>
      </c>
      <c r="K2">
        <f>INDEX(StandingsData!$I$2:$I$5,MATCH(LARGE(StandingsData!$M$2:$M$5,1),StandingsData!$M$2:$M$5,0))</f>
        <v>2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6</v>
      </c>
      <c r="E3">
        <f>INDEX(StandingsData!$C$2:$C$5,MATCH(LARGE(StandingsData!$M$2:$M$5,2),StandingsData!$M$2:$M$5,0))</f>
        <v>3</v>
      </c>
      <c r="F3">
        <f>INDEX(StandingsData!$D$2:$D$5,MATCH(LARGE(StandingsData!$M$2:$M$5,2),StandingsData!$M$2:$M$5,0))</f>
        <v>2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7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2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5</v>
      </c>
      <c r="E4">
        <f>INDEX(StandingsData!$C$2:$C$5,MATCH(LARGE(StandingsData!$M$2:$M$5,3),StandingsData!$M$2:$M$5,0))</f>
        <v>3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1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6</v>
      </c>
      <c r="K4">
        <f>INDEX(StandingsData!$I$2:$I$5,MATCH(LARGE(StandingsData!$M$2:$M$5,3),StandingsData!$M$2:$M$5,0))</f>
        <v>3</v>
      </c>
      <c r="L4">
        <f>INDEX(StandingsData!$J$2:$J$5,MATCH(LARGE(StandingsData!$M$2:$M$5,3),StandingsData!$M$2:$M$5,0))</f>
        <v>3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3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3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11</v>
      </c>
      <c r="L5">
        <f>INDEX(StandingsData!$J$2:$J$5,MATCH(LARGE(StandingsData!$M$2:$M$5,4),StandingsData!$M$2:$M$5,0))</f>
        <v>-11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8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7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7</v>
      </c>
      <c r="E11">
        <f>INDEX(StandingsData!$C$10:$C$13,MATCH(LARGE(StandingsData!$M$10:$M$13,2),StandingsData!$M$10:$M$13,0))</f>
        <v>3</v>
      </c>
      <c r="F11">
        <f>INDEX(StandingsData!$D$10:$D$13,MATCH(LARGE(StandingsData!$M$10:$M$13,2),StandingsData!$M$10:$M$13,0))</f>
        <v>2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12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11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3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2</v>
      </c>
      <c r="J12">
        <f>INDEX(StandingsData!$H$10:$H$13,MATCH(LARGE(StandingsData!$M$10:$M$13,3),StandingsData!$M$10:$M$13,0))</f>
        <v>5</v>
      </c>
      <c r="K12">
        <f>INDEX(StandingsData!$I$10:$I$13,MATCH(LARGE(StandingsData!$M$10:$M$13,3),StandingsData!$M$10:$M$13,0))</f>
        <v>11</v>
      </c>
      <c r="L12">
        <f>INDEX(StandingsData!$J$10:$J$13,MATCH(LARGE(StandingsData!$M$10:$M$13,3),StandingsData!$M$10:$M$13,0))</f>
        <v>-6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C1" workbookViewId="0">
      <selection activeCell="K5" sqref="K5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0.83333333333333337</v>
      </c>
      <c r="G2" s="2" t="s">
        <v>6</v>
      </c>
      <c r="H2" s="2" t="s">
        <v>28</v>
      </c>
      <c r="I2" s="2">
        <v>1</v>
      </c>
      <c r="J2" s="2">
        <v>2</v>
      </c>
      <c r="K2" s="2"/>
      <c r="L2" t="str">
        <f t="shared" ref="L2:L8" si="0">IF(OR(I2="",J2=""),"",IF(I2&gt;J2,G2,IF(J2&gt;I2,H2,K2)))</f>
        <v>Barrio Boys</v>
      </c>
      <c r="M2" t="str">
        <f t="shared" ref="M2:M8" si="1">IF(OR(I2="",J2=""),"",G2&amp;" "&amp;I2&amp;" - "&amp;J2&amp;" "&amp;H2&amp;IF(K2&lt;&gt;""," (rigori: "&amp;K2&amp;")",""))</f>
        <v>Fatine FC 1 - 2 Barrio Boys</v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 t="s">
        <v>19</v>
      </c>
      <c r="H3" s="2" t="s">
        <v>39</v>
      </c>
      <c r="I3" s="2">
        <v>3</v>
      </c>
      <c r="J3" s="2">
        <v>3</v>
      </c>
      <c r="K3" s="2" t="s">
        <v>19</v>
      </c>
      <c r="L3" t="str">
        <f t="shared" si="0"/>
        <v>AS Bancatore</v>
      </c>
      <c r="M3" t="str">
        <f t="shared" si="1"/>
        <v>AS Bancatore 3 - 3 Piadineria la Salsiccia (rigori: AS Bancatore)</v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 t="s">
        <v>10</v>
      </c>
      <c r="H4" s="2" t="s">
        <v>24</v>
      </c>
      <c r="I4" s="2">
        <v>1</v>
      </c>
      <c r="J4" s="2">
        <v>6</v>
      </c>
      <c r="K4" s="2"/>
      <c r="L4" t="str">
        <f t="shared" si="0"/>
        <v>Leoni di Ricky</v>
      </c>
      <c r="M4" t="str">
        <f t="shared" si="1"/>
        <v>Moviola Utd 1 - 6 Leoni di Ricky</v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 t="s">
        <v>17</v>
      </c>
      <c r="H5" s="2" t="s">
        <v>35</v>
      </c>
      <c r="I5" s="2">
        <v>1</v>
      </c>
      <c r="J5" s="2">
        <v>2</v>
      </c>
      <c r="K5" s="2"/>
      <c r="L5" t="str">
        <f t="shared" si="0"/>
        <v>Boldò Glimt</v>
      </c>
      <c r="M5" t="str">
        <f t="shared" si="1"/>
        <v>Vecchie Glorie Rovigo 1 - 2 Boldò Glimt</v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 t="s">
        <v>28</v>
      </c>
      <c r="H6" s="2" t="s">
        <v>19</v>
      </c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 t="s">
        <v>24</v>
      </c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tabSelected="1" workbookViewId="0">
      <pane ySplit="1" topLeftCell="A29" activePane="bottomLeft" state="frozenSplit"/>
      <selection pane="bottomLeft" activeCell="E41" sqref="E41"/>
    </sheetView>
  </sheetViews>
  <sheetFormatPr defaultRowHeight="14.4" x14ac:dyDescent="0.3"/>
  <cols>
    <col min="1" max="4" width="18.77734375" customWidth="1"/>
    <col min="5" max="5" width="34.77734375" customWidth="1"/>
    <col min="6" max="10" width="18.77734375" customWidth="1"/>
    <col min="11" max="11" width="42.77734375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>QF1</v>
      </c>
      <c r="B2" t="str">
        <f>IF(A2="","",IF(J2&lt;=INDEX(Knockout!$I$2:$I$8,I2-1),INDEX(Knockout!$G$2:$G$8,I2-1),INDEX(Knockout!$H$2:$H$8,I2-1)))</f>
        <v>Fatine FC</v>
      </c>
      <c r="C2">
        <f>IF(A2="","",COUNTIFS($A$2:A2,A2,$B$2:B2,B2))</f>
        <v>1</v>
      </c>
      <c r="D2" s="2" t="str">
        <f t="shared" ref="D2:D33" si="0">IF(A2="","","Goal")</f>
        <v>Goal</v>
      </c>
      <c r="E2" s="2" t="s">
        <v>462</v>
      </c>
      <c r="F2" t="str">
        <f t="shared" ref="F2:F33" si="1">IF(A2="","",IF(D2="Autogol","",IF(D2="Goal",B2,"")))</f>
        <v>Fatine FC</v>
      </c>
      <c r="G2" t="str">
        <f t="shared" ref="G2:G33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Validation!$C$2:$C$31</v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>QF1</v>
      </c>
      <c r="B3" t="str">
        <f>IF(A3="","",IF(J3&lt;=INDEX(Knockout!$I$2:$I$8,I3-1),INDEX(Knockout!$G$2:$G$8,I3-1),INDEX(Knockout!$H$2:$H$8,I3-1)))</f>
        <v>Barrio Boys</v>
      </c>
      <c r="C3">
        <f>IF(A3="","",COUNTIFS($A$2:A3,A3,$B$2:B3,B3))</f>
        <v>1</v>
      </c>
      <c r="D3" s="2" t="str">
        <f t="shared" si="0"/>
        <v>Goal</v>
      </c>
      <c r="E3" s="2" t="s">
        <v>416</v>
      </c>
      <c r="F3" t="str">
        <f t="shared" si="1"/>
        <v>Barrio Boys</v>
      </c>
      <c r="G3" t="str">
        <f t="shared" si="2"/>
        <v>OK</v>
      </c>
      <c r="H3" t="str">
        <f>IF(F3="","",VLOOKUP(F3,Validation!$A$2:$B$17,2,FALSE))</f>
        <v>Validation!$M$2:$M$31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>QF1</v>
      </c>
      <c r="B4" t="str">
        <f>IF(A4="","",IF(J4&lt;=INDEX(Knockout!$I$2:$I$8,I4-1),INDEX(Knockout!$G$2:$G$8,I4-1),INDEX(Knockout!$H$2:$H$8,I4-1)))</f>
        <v>Barrio Boys</v>
      </c>
      <c r="C4">
        <f>IF(A4="","",COUNTIFS($A$2:A4,A4,$B$2:B4,B4))</f>
        <v>2</v>
      </c>
      <c r="D4" s="2" t="str">
        <f t="shared" si="0"/>
        <v>Goal</v>
      </c>
      <c r="E4" s="2" t="s">
        <v>417</v>
      </c>
      <c r="F4" t="str">
        <f t="shared" si="1"/>
        <v>Barrio Boys</v>
      </c>
      <c r="G4" t="str">
        <f t="shared" si="2"/>
        <v>OK</v>
      </c>
      <c r="H4" t="str">
        <f>IF(F4="","",VLOOKUP(F4,Validation!$A$2:$B$17,2,FALSE))</f>
        <v>Validation!$M$2:$M$31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>QF2</v>
      </c>
      <c r="B14" t="str">
        <f>IF(A14="","",IF(J14&lt;=INDEX(Knockout!$I$2:$I$8,I14-1),INDEX(Knockout!$G$2:$G$8,I14-1),INDEX(Knockout!$H$2:$H$8,I14-1)))</f>
        <v>AS Bancatore</v>
      </c>
      <c r="C14">
        <f>IF(A14="","",COUNTIFS($A$2:A14,A14,$B$2:B14,B14))</f>
        <v>1</v>
      </c>
      <c r="D14" s="2" t="str">
        <f t="shared" si="0"/>
        <v>Goal</v>
      </c>
      <c r="E14" s="2" t="s">
        <v>420</v>
      </c>
      <c r="F14" t="str">
        <f t="shared" si="1"/>
        <v>AS Bancatore</v>
      </c>
      <c r="G14" t="str">
        <f t="shared" si="2"/>
        <v>OK</v>
      </c>
      <c r="H14" t="str">
        <f>IF(F14="","",VLOOKUP(F14,Validation!$A$2:$B$17,2,FALSE))</f>
        <v>Validation!$I$2:$I$31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>QF2</v>
      </c>
      <c r="B15" t="str">
        <f>IF(A15="","",IF(J15&lt;=INDEX(Knockout!$I$2:$I$8,I15-1),INDEX(Knockout!$G$2:$G$8,I15-1),INDEX(Knockout!$H$2:$H$8,I15-1)))</f>
        <v>AS Bancatore</v>
      </c>
      <c r="C15">
        <f>IF(A15="","",COUNTIFS($A$2:A15,A15,$B$2:B15,B15))</f>
        <v>2</v>
      </c>
      <c r="D15" s="2" t="str">
        <f t="shared" si="0"/>
        <v>Goal</v>
      </c>
      <c r="E15" s="2" t="s">
        <v>419</v>
      </c>
      <c r="F15" t="str">
        <f t="shared" si="1"/>
        <v>AS Bancatore</v>
      </c>
      <c r="G15" t="str">
        <f t="shared" si="2"/>
        <v>OK</v>
      </c>
      <c r="H15" t="str">
        <f>IF(F15="","",VLOOKUP(F15,Validation!$A$2:$B$17,2,FALSE))</f>
        <v>Validation!$I$2:$I$31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>QF2</v>
      </c>
      <c r="B16" t="str">
        <f>IF(A16="","",IF(J16&lt;=INDEX(Knockout!$I$2:$I$8,I16-1),INDEX(Knockout!$G$2:$G$8,I16-1),INDEX(Knockout!$H$2:$H$8,I16-1)))</f>
        <v>AS Bancatore</v>
      </c>
      <c r="C16">
        <f>IF(A16="","",COUNTIFS($A$2:A16,A16,$B$2:B16,B16))</f>
        <v>3</v>
      </c>
      <c r="D16" s="2" t="str">
        <f t="shared" si="0"/>
        <v>Goal</v>
      </c>
      <c r="E16" s="2" t="s">
        <v>418</v>
      </c>
      <c r="F16" t="str">
        <f t="shared" si="1"/>
        <v>AS Bancatore</v>
      </c>
      <c r="G16" t="str">
        <f t="shared" si="2"/>
        <v>OK</v>
      </c>
      <c r="H16" t="str">
        <f>IF(F16="","",VLOOKUP(F16,Validation!$A$2:$B$17,2,FALSE))</f>
        <v>Validation!$I$2:$I$31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>QF2</v>
      </c>
      <c r="B17" t="str">
        <f>IF(A17="","",IF(J17&lt;=INDEX(Knockout!$I$2:$I$8,I17-1),INDEX(Knockout!$G$2:$G$8,I17-1),INDEX(Knockout!$H$2:$H$8,I17-1)))</f>
        <v>Piadineria la Salsiccia</v>
      </c>
      <c r="C17">
        <f>IF(A17="","",COUNTIFS($A$2:A17,A17,$B$2:B17,B17))</f>
        <v>1</v>
      </c>
      <c r="D17" s="2" t="str">
        <f t="shared" si="0"/>
        <v>Goal</v>
      </c>
      <c r="E17" s="2" t="s">
        <v>478</v>
      </c>
      <c r="F17" t="str">
        <f t="shared" si="1"/>
        <v>Piadineria la Salsiccia</v>
      </c>
      <c r="G17" t="str">
        <f t="shared" si="2"/>
        <v>OK</v>
      </c>
      <c r="H17" t="str">
        <f>IF(F17="","",VLOOKUP(F17,Validation!$A$2:$B$17,2,FALSE))</f>
        <v>Validation!$R$2:$R$31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>QF2</v>
      </c>
      <c r="B18" t="str">
        <f>IF(A18="","",IF(J18&lt;=INDEX(Knockout!$I$2:$I$8,I18-1),INDEX(Knockout!$G$2:$G$8,I18-1),INDEX(Knockout!$H$2:$H$8,I18-1)))</f>
        <v>Piadineria la Salsiccia</v>
      </c>
      <c r="C18">
        <f>IF(A18="","",COUNTIFS($A$2:A18,A18,$B$2:B18,B18))</f>
        <v>2</v>
      </c>
      <c r="D18" s="2" t="str">
        <f t="shared" si="0"/>
        <v>Goal</v>
      </c>
      <c r="E18" s="2" t="s">
        <v>479</v>
      </c>
      <c r="F18" t="str">
        <f t="shared" si="1"/>
        <v>Piadineria la Salsiccia</v>
      </c>
      <c r="G18" t="str">
        <f t="shared" si="2"/>
        <v>OK</v>
      </c>
      <c r="H18" t="str">
        <f>IF(F18="","",VLOOKUP(F18,Validation!$A$2:$B$17,2,FALSE))</f>
        <v>Validation!$R$2:$R$31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>QF2</v>
      </c>
      <c r="B19" t="str">
        <f>IF(A19="","",IF(J19&lt;=INDEX(Knockout!$I$2:$I$8,I19-1),INDEX(Knockout!$G$2:$G$8,I19-1),INDEX(Knockout!$H$2:$H$8,I19-1)))</f>
        <v>Piadineria la Salsiccia</v>
      </c>
      <c r="C19">
        <f>IF(A19="","",COUNTIFS($A$2:A19,A19,$B$2:B19,B19))</f>
        <v>3</v>
      </c>
      <c r="D19" s="2" t="str">
        <f t="shared" si="0"/>
        <v>Goal</v>
      </c>
      <c r="E19" s="2" t="s">
        <v>480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Validation!$R$2:$R$31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>QF3</v>
      </c>
      <c r="B26" t="str">
        <f>IF(A26="","",IF(J26&lt;=INDEX(Knockout!$I$2:$I$8,I26-1),INDEX(Knockout!$G$2:$G$8,I26-1),INDEX(Knockout!$H$2:$H$8,I26-1)))</f>
        <v>Moviola Utd</v>
      </c>
      <c r="C26">
        <f>IF(A26="","",COUNTIFS($A$2:A26,A26,$B$2:B26,B26))</f>
        <v>1</v>
      </c>
      <c r="D26" s="2" t="str">
        <f t="shared" si="0"/>
        <v>Goal</v>
      </c>
      <c r="E26" s="2" t="s">
        <v>438</v>
      </c>
      <c r="F26" t="str">
        <f t="shared" si="1"/>
        <v>Moviola Utd</v>
      </c>
      <c r="G26" t="str">
        <f t="shared" si="2"/>
        <v>OK</v>
      </c>
      <c r="H26" t="str">
        <f>IF(F26="","",VLOOKUP(F26,Validation!$A$2:$B$17,2,FALSE))</f>
        <v>Validation!$E$2:$E$31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>QF3</v>
      </c>
      <c r="B27" t="str">
        <f>IF(A27="","",IF(J27&lt;=INDEX(Knockout!$I$2:$I$8,I27-1),INDEX(Knockout!$G$2:$G$8,I27-1),INDEX(Knockout!$H$2:$H$8,I27-1)))</f>
        <v>Leoni di Ricky</v>
      </c>
      <c r="C27">
        <f>IF(A27="","",COUNTIFS($A$2:A27,A27,$B$2:B27,B27))</f>
        <v>1</v>
      </c>
      <c r="D27" s="2" t="str">
        <f t="shared" si="0"/>
        <v>Goal</v>
      </c>
      <c r="E27" s="2" t="s">
        <v>413</v>
      </c>
      <c r="F27" t="str">
        <f t="shared" si="1"/>
        <v>Leoni di Ricky</v>
      </c>
      <c r="G27" t="str">
        <f t="shared" si="2"/>
        <v>OK</v>
      </c>
      <c r="H27" t="str">
        <f>IF(F27="","",VLOOKUP(F27,Validation!$A$2:$B$17,2,FALSE))</f>
        <v>Validation!$K$2:$K$31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>QF3</v>
      </c>
      <c r="B28" t="str">
        <f>IF(A28="","",IF(J28&lt;=INDEX(Knockout!$I$2:$I$8,I28-1),INDEX(Knockout!$G$2:$G$8,I28-1),INDEX(Knockout!$H$2:$H$8,I28-1)))</f>
        <v>Leoni di Ricky</v>
      </c>
      <c r="C28">
        <f>IF(A28="","",COUNTIFS($A$2:A28,A28,$B$2:B28,B28))</f>
        <v>2</v>
      </c>
      <c r="D28" s="2" t="str">
        <f t="shared" si="0"/>
        <v>Goal</v>
      </c>
      <c r="E28" s="2" t="s">
        <v>413</v>
      </c>
      <c r="F28" t="str">
        <f t="shared" si="1"/>
        <v>Leoni di Ricky</v>
      </c>
      <c r="G28" t="str">
        <f t="shared" si="2"/>
        <v>OK</v>
      </c>
      <c r="H28" t="str">
        <f>IF(F28="","",VLOOKUP(F28,Validation!$A$2:$B$17,2,FALSE))</f>
        <v>Validation!$K$2:$K$31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>QF3</v>
      </c>
      <c r="B29" t="str">
        <f>IF(A29="","",IF(J29&lt;=INDEX(Knockout!$I$2:$I$8,I29-1),INDEX(Knockout!$G$2:$G$8,I29-1),INDEX(Knockout!$H$2:$H$8,I29-1)))</f>
        <v>Leoni di Ricky</v>
      </c>
      <c r="C29">
        <f>IF(A29="","",COUNTIFS($A$2:A29,A29,$B$2:B29,B29))</f>
        <v>3</v>
      </c>
      <c r="D29" s="2" t="str">
        <f t="shared" si="0"/>
        <v>Goal</v>
      </c>
      <c r="E29" s="2" t="s">
        <v>481</v>
      </c>
      <c r="F29" t="str">
        <f t="shared" si="1"/>
        <v>Leoni di Ricky</v>
      </c>
      <c r="G29" t="str">
        <f t="shared" si="2"/>
        <v>OK</v>
      </c>
      <c r="H29" t="str">
        <f>IF(F29="","",VLOOKUP(F29,Validation!$A$2:$B$17,2,FALSE))</f>
        <v>Validation!$K$2:$K$31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>QF3</v>
      </c>
      <c r="B30" t="str">
        <f>IF(A30="","",IF(J30&lt;=INDEX(Knockout!$I$2:$I$8,I30-1),INDEX(Knockout!$G$2:$G$8,I30-1),INDEX(Knockout!$H$2:$H$8,I30-1)))</f>
        <v>Leoni di Ricky</v>
      </c>
      <c r="C30">
        <f>IF(A30="","",COUNTIFS($A$2:A30,A30,$B$2:B30,B30))</f>
        <v>4</v>
      </c>
      <c r="D30" s="2" t="str">
        <f t="shared" si="0"/>
        <v>Goal</v>
      </c>
      <c r="E30" s="2" t="s">
        <v>472</v>
      </c>
      <c r="F30" t="str">
        <f t="shared" si="1"/>
        <v>Leoni di Ricky</v>
      </c>
      <c r="G30" t="str">
        <f t="shared" si="2"/>
        <v>OK</v>
      </c>
      <c r="H30" t="str">
        <f>IF(F30="","",VLOOKUP(F30,Validation!$A$2:$B$17,2,FALSE))</f>
        <v>Validation!$K$2:$K$31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>QF3</v>
      </c>
      <c r="B31" t="str">
        <f>IF(A31="","",IF(J31&lt;=INDEX(Knockout!$I$2:$I$8,I31-1),INDEX(Knockout!$G$2:$G$8,I31-1),INDEX(Knockout!$H$2:$H$8,I31-1)))</f>
        <v>Leoni di Ricky</v>
      </c>
      <c r="C31">
        <f>IF(A31="","",COUNTIFS($A$2:A31,A31,$B$2:B31,B31))</f>
        <v>5</v>
      </c>
      <c r="D31" s="2" t="str">
        <f t="shared" si="0"/>
        <v>Goal</v>
      </c>
      <c r="E31" s="2" t="s">
        <v>473</v>
      </c>
      <c r="F31" t="str">
        <f t="shared" si="1"/>
        <v>Leoni di Ricky</v>
      </c>
      <c r="G31" t="str">
        <f t="shared" si="2"/>
        <v>OK</v>
      </c>
      <c r="H31" t="str">
        <f>IF(F31="","",VLOOKUP(F31,Validation!$A$2:$B$17,2,FALSE))</f>
        <v>Validation!$K$2:$K$31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>QF3</v>
      </c>
      <c r="B32" t="str">
        <f>IF(A32="","",IF(J32&lt;=INDEX(Knockout!$I$2:$I$8,I32-1),INDEX(Knockout!$G$2:$G$8,I32-1),INDEX(Knockout!$H$2:$H$8,I32-1)))</f>
        <v>Leoni di Ricky</v>
      </c>
      <c r="C32">
        <f>IF(A32="","",COUNTIFS($A$2:A32,A32,$B$2:B32,B32))</f>
        <v>6</v>
      </c>
      <c r="D32" s="2" t="str">
        <f t="shared" si="0"/>
        <v>Goal</v>
      </c>
      <c r="E32" s="2" t="s">
        <v>473</v>
      </c>
      <c r="F32" t="str">
        <f t="shared" si="1"/>
        <v>Leoni di Ricky</v>
      </c>
      <c r="G32" t="str">
        <f t="shared" si="2"/>
        <v>OK</v>
      </c>
      <c r="H32" t="str">
        <f>IF(F32="","",VLOOKUP(F32,Validation!$A$2:$B$17,2,FALSE))</f>
        <v>Validation!$K$2:$K$31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>QF4</v>
      </c>
      <c r="B38" t="str">
        <f>IF(A38="","",IF(J38&lt;=INDEX(Knockout!$I$2:$I$8,I38-1),INDEX(Knockout!$G$2:$G$8,I38-1),INDEX(Knockout!$H$2:$H$8,I38-1)))</f>
        <v>Vecchie Glorie Rovigo</v>
      </c>
      <c r="C38">
        <f>IF(A38="","",COUNTIFS($A$2:A38,A38,$B$2:B38,B38))</f>
        <v>1</v>
      </c>
      <c r="D38" s="2" t="str">
        <f t="shared" si="3"/>
        <v>Goal</v>
      </c>
      <c r="E38" s="2" t="s">
        <v>406</v>
      </c>
      <c r="F38" t="str">
        <f t="shared" si="4"/>
        <v>Vecchie Glorie Rovigo</v>
      </c>
      <c r="G38" t="str">
        <f t="shared" si="5"/>
        <v>OK</v>
      </c>
      <c r="H38" t="str">
        <f>IF(F38="","",VLOOKUP(F38,Validation!$A$2:$B$17,2,FALSE))</f>
        <v>Validation!$H$2:$H$31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>QF4</v>
      </c>
      <c r="B39" t="str">
        <f>IF(A39="","",IF(J39&lt;=INDEX(Knockout!$I$2:$I$8,I39-1),INDEX(Knockout!$G$2:$G$8,I39-1),INDEX(Knockout!$H$2:$H$8,I39-1)))</f>
        <v>Boldò Glimt</v>
      </c>
      <c r="C39">
        <f>IF(A39="","",COUNTIFS($A$2:A39,A39,$B$2:B39,B39))</f>
        <v>1</v>
      </c>
      <c r="D39" s="2" t="str">
        <f t="shared" si="3"/>
        <v>Goal</v>
      </c>
      <c r="E39" s="2" t="s">
        <v>465</v>
      </c>
      <c r="F39" t="str">
        <f t="shared" si="4"/>
        <v>Boldò Glimt</v>
      </c>
      <c r="G39" t="str">
        <f t="shared" si="5"/>
        <v>OK</v>
      </c>
      <c r="H39" t="str">
        <f>IF(F39="","",VLOOKUP(F39,Validation!$A$2:$B$17,2,FALSE))</f>
        <v>Validation!$P$2:$P$31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>QF4</v>
      </c>
      <c r="B40" t="str">
        <f>IF(A40="","",IF(J40&lt;=INDEX(Knockout!$I$2:$I$8,I40-1),INDEX(Knockout!$G$2:$G$8,I40-1),INDEX(Knockout!$H$2:$H$8,I40-1)))</f>
        <v>Boldò Glimt</v>
      </c>
      <c r="C40">
        <f>IF(A40="","",COUNTIFS($A$2:A40,A40,$B$2:B40,B40))</f>
        <v>2</v>
      </c>
      <c r="D40" s="2" t="str">
        <f t="shared" si="3"/>
        <v>Goal</v>
      </c>
      <c r="E40" s="2" t="s">
        <v>482</v>
      </c>
      <c r="F40" t="str">
        <f t="shared" si="4"/>
        <v>Boldò Glimt</v>
      </c>
      <c r="G40" t="str">
        <f t="shared" si="5"/>
        <v>OK</v>
      </c>
      <c r="H40" t="str">
        <f>IF(F40="","",VLOOKUP(F40,Validation!$A$2:$B$17,2,FALSE))</f>
        <v>Validation!$P$2:$P$31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10" sqref="A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H8" zoomScale="85" zoomScaleNormal="85" workbookViewId="0">
      <selection activeCell="N15" sqref="N15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7</v>
      </c>
      <c r="E5" s="1">
        <f>Standings!E2</f>
        <v>3</v>
      </c>
      <c r="F5" s="1">
        <f>Standings!F2</f>
        <v>2</v>
      </c>
      <c r="G5" s="1">
        <f>Standings!G2</f>
        <v>0</v>
      </c>
      <c r="H5" s="1">
        <f>Standings!H2</f>
        <v>1</v>
      </c>
      <c r="I5" s="1">
        <f>Standings!I2</f>
        <v>0</v>
      </c>
      <c r="J5" s="1">
        <f>Standings!J2</f>
        <v>8</v>
      </c>
      <c r="K5" s="1">
        <f>Standings!K2</f>
        <v>2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7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6</v>
      </c>
      <c r="E6" s="1">
        <f>Standings!E3</f>
        <v>3</v>
      </c>
      <c r="F6" s="1">
        <f>Standings!F3</f>
        <v>2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7</v>
      </c>
      <c r="K6" s="1">
        <f>Standings!K3</f>
        <v>5</v>
      </c>
      <c r="L6" s="1">
        <f>Standings!L3</f>
        <v>2</v>
      </c>
      <c r="M6" s="1"/>
      <c r="N6" s="1">
        <f>IF(TopScorers!A3="","",TopScorers!A3)</f>
        <v>2</v>
      </c>
      <c r="O6" s="1" t="str">
        <f>IF(TopScorers!B3="","",TopScorers!B3)</f>
        <v>LEONARDO MAGGIO</v>
      </c>
      <c r="P6" s="1" t="str">
        <f>IF(TopScorers!C3="","",TopScorers!C3)</f>
        <v>Leoni di Ricky</v>
      </c>
      <c r="Q6" s="1">
        <f>IF(TopScorers!D3="","",TopScorers!D3)</f>
        <v>6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5</v>
      </c>
      <c r="E7" s="1">
        <f>Standings!E4</f>
        <v>3</v>
      </c>
      <c r="F7" s="1">
        <f>Standings!F4</f>
        <v>1</v>
      </c>
      <c r="G7" s="1">
        <f>Standings!G4</f>
        <v>1</v>
      </c>
      <c r="H7" s="1">
        <f>Standings!H4</f>
        <v>0</v>
      </c>
      <c r="I7" s="1">
        <f>Standings!I4</f>
        <v>1</v>
      </c>
      <c r="J7" s="1">
        <f>Standings!J4</f>
        <v>6</v>
      </c>
      <c r="K7" s="1">
        <f>Standings!K4</f>
        <v>3</v>
      </c>
      <c r="L7" s="1">
        <f>Standings!L4</f>
        <v>3</v>
      </c>
      <c r="M7" s="1"/>
      <c r="N7" s="1">
        <f>IF(TopScorers!A4="","",TopScorers!A4)</f>
        <v>3</v>
      </c>
      <c r="O7" s="1" t="str">
        <f>IF(TopScorers!B4="","",TopScorers!B4)</f>
        <v>NICOLA BRESCIANI</v>
      </c>
      <c r="P7" s="1" t="str">
        <f>IF(TopScorers!C4="","",TopScorers!C4)</f>
        <v>All Blacks</v>
      </c>
      <c r="Q7" s="1">
        <f>IF(TopScorers!D4="","",TopScorers!D4)</f>
        <v>4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3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3</v>
      </c>
      <c r="J8" s="1">
        <f>Standings!J5</f>
        <v>0</v>
      </c>
      <c r="K8" s="1">
        <f>Standings!K5</f>
        <v>11</v>
      </c>
      <c r="L8" s="1">
        <f>Standings!L5</f>
        <v>-11</v>
      </c>
      <c r="M8" s="1"/>
      <c r="N8" s="1">
        <f>IF(TopScorers!A5="","",TopScorers!A5)</f>
        <v>4</v>
      </c>
      <c r="O8" s="1" t="str">
        <f>IF(TopScorers!B5="","",TopScorers!B5)</f>
        <v>LUCA MARINI</v>
      </c>
      <c r="P8" s="1" t="str">
        <f>IF(TopScorers!C5="","",TopScorers!C5)</f>
        <v>Fatine FC</v>
      </c>
      <c r="Q8" s="1">
        <f>IF(TopScorers!D5="","",TopScorers!D5)</f>
        <v>3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FILIPPO SCARANELLO</v>
      </c>
      <c r="P9" s="1" t="str">
        <f>IF(TopScorers!C6="","",TopScorers!C6)</f>
        <v>Moviola Utd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DAVIDE ZAGHI</v>
      </c>
      <c r="P10" s="1" t="str">
        <f>IF(TopScorers!C7="","",TopScorers!C7)</f>
        <v>Vecchie Glorie Rovigo</v>
      </c>
      <c r="Q10" s="1">
        <f>IF(TopScorers!D7="","",TopScorers!D7)</f>
        <v>3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MATTEO ZAMBERLAN</v>
      </c>
      <c r="P11" s="1" t="str">
        <f>IF(TopScorers!C8="","",TopScorers!C8)</f>
        <v>Vecchie Glorie Rovigo</v>
      </c>
      <c r="Q11" s="1">
        <f>IF(TopScorers!D8="","",TopScorers!D8)</f>
        <v>3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NICOLA BARONI</v>
      </c>
      <c r="P12" s="1" t="str">
        <f>IF(TopScorers!C9="","",TopScorers!C9)</f>
        <v>AS Bancatore</v>
      </c>
      <c r="Q12" s="1">
        <f>IF(TopScorers!D9="","",TopScorers!D9)</f>
        <v>3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8</v>
      </c>
      <c r="E13" s="1">
        <f>Standings!E10</f>
        <v>3</v>
      </c>
      <c r="F13" s="1">
        <f>Standings!F10</f>
        <v>2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7</v>
      </c>
      <c r="K13" s="1">
        <f>Standings!K10</f>
        <v>2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MARCO THOMPSON</v>
      </c>
      <c r="P13" s="1" t="str">
        <f>IF(TopScorers!C10="","",TopScorers!C10)</f>
        <v>Leoni di Ricky</v>
      </c>
      <c r="Q13" s="1">
        <f>IF(TopScorers!D10="","",TopScorers!D10)</f>
        <v>3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8.8" x14ac:dyDescent="0.3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7</v>
      </c>
      <c r="E14" s="1">
        <f>Standings!E11</f>
        <v>3</v>
      </c>
      <c r="F14" s="1">
        <f>Standings!F11</f>
        <v>2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12</v>
      </c>
      <c r="K14" s="1">
        <f>Standings!K11</f>
        <v>1</v>
      </c>
      <c r="L14" s="1">
        <f>Standings!L11</f>
        <v>11</v>
      </c>
      <c r="M14" s="1"/>
      <c r="N14" s="1">
        <f>IF(TopScorers!A11="","",TopScorers!A11)</f>
        <v>10</v>
      </c>
      <c r="O14" s="1" t="str">
        <f>IF(TopScorers!B11="","",TopScorers!B11)</f>
        <v>EDOARDO CAVALLARI</v>
      </c>
      <c r="P14" s="1" t="str">
        <f>IF(TopScorers!C11="","",TopScorers!C11)</f>
        <v>Barrio Boys</v>
      </c>
      <c r="Q14" s="1">
        <f>IF(TopScorers!D11="","",TopScorers!D11)</f>
        <v>3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ht="28.8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3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2</v>
      </c>
      <c r="J15" s="1">
        <f>Standings!J12</f>
        <v>5</v>
      </c>
      <c r="K15" s="1">
        <f>Standings!K12</f>
        <v>11</v>
      </c>
      <c r="L15" s="1">
        <f>Standings!L12</f>
        <v>-6</v>
      </c>
      <c r="M15" s="1"/>
      <c r="N15" s="1">
        <f>IF(TopScorers!A12="","",TopScorers!A12)</f>
        <v>11</v>
      </c>
      <c r="O15" s="1" t="str">
        <f>IF(TopScorers!B12="","",TopScorers!B12)</f>
        <v>MATTEO FERRO</v>
      </c>
      <c r="P15" s="1" t="str">
        <f>IF(TopScorers!C12="","",TopScorers!C12)</f>
        <v>Barrio Boys</v>
      </c>
      <c r="Q15" s="1">
        <f>IF(TopScorers!D12="","",TopScorers!D12)</f>
        <v>3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NICHOLAS MILAN</v>
      </c>
      <c r="P16" s="1" t="str">
        <f>IF(TopScorers!C13="","",TopScorers!C13)</f>
        <v>Fatine FC</v>
      </c>
      <c r="Q16" s="1">
        <f>IF(TopScorers!D13="","",TopScorers!D13)</f>
        <v>2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MATTEO COL</v>
      </c>
      <c r="P17" s="1" t="str">
        <f>IF(TopScorers!C14="","",TopScorers!C14)</f>
        <v>Fatine FC</v>
      </c>
      <c r="Q17" s="1">
        <f>IF(TopScorers!D14="","",TopScorers!D14)</f>
        <v>2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IVAN DENIS SHEVERAK</v>
      </c>
      <c r="P18" s="1" t="str">
        <f>IF(TopScorers!C15="","",TopScorers!C15)</f>
        <v>FC Internazionale Rovigo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28.8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AHMED ZOUZAF</v>
      </c>
      <c r="P19" s="1" t="str">
        <f>IF(TopScorers!C16="","",TopScorers!C16)</f>
        <v>FC Internazionale Rovigo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EDDY MAZZETTO</v>
      </c>
      <c r="P20" s="1" t="str">
        <f>IF(TopScorers!C17="","",TopScorers!C17)</f>
        <v>Moviola Utd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DENIS TIMPANARO</v>
      </c>
      <c r="P21" s="1" t="str">
        <f>IF(TopScorers!C18="","",TopScorers!C18)</f>
        <v>Vecchie Glorie Rovigo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MATTEO LONGO</v>
      </c>
      <c r="P22" s="5" t="str">
        <f>IF(TopScorers!C19="","",TopScorers!C19)</f>
        <v>AS Bancatore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2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8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72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3.2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3.2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8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3.2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8.8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3.2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>
        <f>IF(Matches!I23="","",Matches!I23)</f>
        <v>4</v>
      </c>
      <c r="J46" s="1">
        <f>IF(Matches!J23="","",Matches!J23)</f>
        <v>0</v>
      </c>
      <c r="K46" s="1" t="str">
        <f>IF(Matches!K23="","",Matches!K23)</f>
        <v/>
      </c>
      <c r="L46" s="1" t="str">
        <f>Matches!L23</f>
        <v>Complete</v>
      </c>
      <c r="M46" s="1">
        <f>IF(Matches!M23="","",Matches!M23)</f>
        <v>3</v>
      </c>
      <c r="N46" s="1">
        <f>IF(Matches!N23="","",Matches!N23)</f>
        <v>0</v>
      </c>
      <c r="O46" s="1" t="str">
        <f>IF(Matches!O23="","",Matches!O23)</f>
        <v>Fatine FC</v>
      </c>
      <c r="P46" s="1" t="str">
        <f>IF(Matches!P23="","",Matches!P23)</f>
        <v>Fatine FC 4 - 0 Astolfi Impianti Elettrici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72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>
        <f>IF(Matches!I24="","",Matches!I24)</f>
        <v>1</v>
      </c>
      <c r="J47" s="1">
        <f>IF(Matches!J24="","",Matches!J24)</f>
        <v>1</v>
      </c>
      <c r="K47" s="1" t="str">
        <f>IF(Matches!K24="","",Matches!K24)</f>
        <v>FC Internazionale Rovigo</v>
      </c>
      <c r="L47" s="1" t="str">
        <f>Matches!L24</f>
        <v>Complete</v>
      </c>
      <c r="M47" s="1">
        <f>IF(Matches!M24="","",Matches!M24)</f>
        <v>2</v>
      </c>
      <c r="N47" s="1">
        <f>IF(Matches!N24="","",Matches!N24)</f>
        <v>1</v>
      </c>
      <c r="O47" s="1" t="str">
        <f>IF(Matches!O24="","",Matches!O24)</f>
        <v>FC Internazionale Rovigo</v>
      </c>
      <c r="P47" s="1" t="str">
        <f>IF(Matches!P24="","",Matches!P24)</f>
        <v>FC Internazionale Rovigo 1 - 1 Moviola Utd (rigori: FC Internazionale Rovigo)</v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8.8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>
        <f>IF(Matches!I25="","",Matches!I25)</f>
        <v>1</v>
      </c>
      <c r="J48" s="1">
        <f>IF(Matches!J25="","",Matches!J25)</f>
        <v>4</v>
      </c>
      <c r="K48" s="1" t="str">
        <f>IF(Matches!K25="","",Matches!K25)</f>
        <v/>
      </c>
      <c r="L48" s="1" t="str">
        <f>Matches!L25</f>
        <v>Complete</v>
      </c>
      <c r="M48" s="1">
        <f>IF(Matches!M25="","",Matches!M25)</f>
        <v>0</v>
      </c>
      <c r="N48" s="1">
        <f>IF(Matches!N25="","",Matches!N25)</f>
        <v>3</v>
      </c>
      <c r="O48" s="1" t="str">
        <f>IF(Matches!O25="","",Matches!O25)</f>
        <v>Barrio Boys</v>
      </c>
      <c r="P48" s="1" t="str">
        <f>IF(Matches!P25="","",Matches!P25)</f>
        <v>Pink 5ive 1 - 4 Barrio Boys</v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ANDREI BARZAGHIDEANU</v>
      </c>
      <c r="P49" s="1" t="str">
        <f>IF(TopScorers!C46="","",TopScorers!C46)</f>
        <v>Leoni di Ricky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NICCOLO' PALTANIN</v>
      </c>
      <c r="P50" s="1" t="str">
        <f>IF(TopScorers!C47="","",TopScorers!C47)</f>
        <v>Pink 5ive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28.8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MATTEO CAMPION</v>
      </c>
      <c r="P51" s="1" t="str">
        <f>IF(TopScorers!C48="","",TopScorers!C48)</f>
        <v>Pink 5ive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LUCA BERNARDINELLO</v>
      </c>
      <c r="P52" s="1" t="str">
        <f>IF(TopScorers!C49="","",TopScorers!C49)</f>
        <v>Pink 5ive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 t="str">
        <f>Knockout!G2</f>
        <v>Fatine FC</v>
      </c>
      <c r="H53" s="1" t="str">
        <f>Knockout!H2</f>
        <v>Barrio Boys</v>
      </c>
      <c r="I53" s="1">
        <f>IF(Knockout!I2="","",Knockout!I2)</f>
        <v>1</v>
      </c>
      <c r="J53" s="1">
        <f>IF(Knockout!J2="","",Knockout!J2)</f>
        <v>2</v>
      </c>
      <c r="K53" s="1" t="str">
        <f>IF(Knockout!K2="","",Knockout!K2)</f>
        <v/>
      </c>
      <c r="L53" s="1" t="str">
        <f>IF(Knockout!L2="","",Knockout!L2)</f>
        <v>Barrio Boys</v>
      </c>
      <c r="M53" s="1" t="str">
        <f>IF(Knockout!M2="","",Knockout!M2)</f>
        <v>Fatine FC 1 - 2 Barrio Boys</v>
      </c>
      <c r="N53" s="1">
        <f>IF(TopScorers!A50="","",TopScorers!A50)</f>
        <v>49</v>
      </c>
      <c r="O53" s="1" t="str">
        <f>IF(TopScorers!B50="","",TopScorers!B50)</f>
        <v>FRANCESCO BERARDI</v>
      </c>
      <c r="P53" s="1" t="str">
        <f>IF(TopScorers!C50="","",TopScorers!C50)</f>
        <v>Barrio Boys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AS Bancatore</v>
      </c>
      <c r="H54" s="1" t="str">
        <f>Knockout!H3</f>
        <v>Piadineria la Salsiccia</v>
      </c>
      <c r="I54" s="1">
        <f>IF(Knockout!I3="","",Knockout!I3)</f>
        <v>3</v>
      </c>
      <c r="J54" s="1">
        <f>IF(Knockout!J3="","",Knockout!J3)</f>
        <v>3</v>
      </c>
      <c r="K54" s="1" t="str">
        <f>IF(Knockout!K3="","",Knockout!K3)</f>
        <v>AS Bancatore</v>
      </c>
      <c r="L54" s="1" t="str">
        <f>IF(Knockout!L3="","",Knockout!L3)</f>
        <v>AS Bancatore</v>
      </c>
      <c r="M54" s="1" t="str">
        <f>IF(Knockout!M3="","",Knockout!M3)</f>
        <v>AS Bancatore 3 - 3 Piadineria la Salsiccia (rigori: AS Bancatore)</v>
      </c>
      <c r="N54" s="1">
        <f>IF(TopScorers!A51="","",TopScorers!A51)</f>
        <v>50</v>
      </c>
      <c r="O54" s="1" t="str">
        <f>IF(TopScorers!B51="","",TopScorers!B51)</f>
        <v>OTMAN SOUATI</v>
      </c>
      <c r="P54" s="1" t="str">
        <f>IF(TopScorers!C51="","",TopScorers!C51)</f>
        <v>Cani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Moviola Utd</v>
      </c>
      <c r="H55" s="1" t="str">
        <f>Knockout!H4</f>
        <v>Leoni di Ricky</v>
      </c>
      <c r="I55" s="1">
        <f>IF(Knockout!I4="","",Knockout!I4)</f>
        <v>1</v>
      </c>
      <c r="J55" s="1">
        <f>IF(Knockout!J4="","",Knockout!J4)</f>
        <v>6</v>
      </c>
      <c r="K55" s="1" t="str">
        <f>IF(Knockout!K4="","",Knockout!K4)</f>
        <v/>
      </c>
      <c r="L55" s="1" t="str">
        <f>IF(Knockout!L4="","",Knockout!L4)</f>
        <v>Leoni di Ricky</v>
      </c>
      <c r="M55" s="1" t="str">
        <f>IF(Knockout!M4="","",Knockout!M4)</f>
        <v>Moviola Utd 1 - 6 Leoni di Ricky</v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Vecchie Glorie Rovigo</v>
      </c>
      <c r="H56" s="1" t="str">
        <f>Knockout!H5</f>
        <v>Boldò Glimt</v>
      </c>
      <c r="I56" s="1">
        <f>IF(Knockout!I5="","",Knockout!I5)</f>
        <v>1</v>
      </c>
      <c r="J56" s="1">
        <f>IF(Knockout!J5="","",Knockout!J5)</f>
        <v>2</v>
      </c>
      <c r="K56" s="1" t="str">
        <f>IF(Knockout!K5="","",Knockout!K5)</f>
        <v/>
      </c>
      <c r="L56" s="1" t="str">
        <f>IF(Knockout!L5="","",Knockout!L5)</f>
        <v>Boldò Glimt</v>
      </c>
      <c r="M56" s="1" t="str">
        <f>IF(Knockout!M5="","",Knockout!M5)</f>
        <v>Vecchie Glorie Rovigo 1 - 2 Boldò Glimt</v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 t="str">
        <f>Knockout!G6</f>
        <v>Barrio Boys</v>
      </c>
      <c r="H57" s="1" t="str">
        <f>Knockout!H6</f>
        <v>AS Bancatore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 t="str">
        <f>Knockout!G7</f>
        <v>Leoni di Ricky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8.8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8.8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8.8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8.8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8.8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8.8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8.8" x14ac:dyDescent="0.3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8.8" x14ac:dyDescent="0.3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57.6" x14ac:dyDescent="0.3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57.6" x14ac:dyDescent="0.3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57.6" x14ac:dyDescent="0.3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43.2" x14ac:dyDescent="0.3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8.8" x14ac:dyDescent="0.3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8.8" x14ac:dyDescent="0.3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8.8" x14ac:dyDescent="0.3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8.8" x14ac:dyDescent="0.3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8.8" x14ac:dyDescent="0.3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8.8" x14ac:dyDescent="0.3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8.8" x14ac:dyDescent="0.3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8.8" x14ac:dyDescent="0.3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8.8" x14ac:dyDescent="0.3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>M22</v>
      </c>
      <c r="B315" s="1" t="str">
        <f>IF(Goals!A254="","",Goals!B254)</f>
        <v>Fatine FC</v>
      </c>
      <c r="C315" s="1">
        <f>IF(Goals!A254="","",Goals!C254)</f>
        <v>1</v>
      </c>
      <c r="D315" s="1" t="str">
        <f>IF(Goals!A254="","",Goals!D254)</f>
        <v>Goal</v>
      </c>
      <c r="E315" s="1" t="str">
        <f>IF(Goals!A254="","",Goals!E254)</f>
        <v>90 - MATTEO COL</v>
      </c>
      <c r="F315" s="1" t="str">
        <f>IF(Goals!A254="","",Goals!F254)</f>
        <v>Fatine FC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>M22</v>
      </c>
      <c r="B316" s="1" t="str">
        <f>IF(Goals!A255="","",Goals!B255)</f>
        <v>Fatine FC</v>
      </c>
      <c r="C316" s="1">
        <f>IF(Goals!A255="","",Goals!C255)</f>
        <v>2</v>
      </c>
      <c r="D316" s="1" t="str">
        <f>IF(Goals!A255="","",Goals!D255)</f>
        <v>Goal</v>
      </c>
      <c r="E316" s="1" t="str">
        <f>IF(Goals!A255="","",Goals!E255)</f>
        <v>90 - MATTEO COL</v>
      </c>
      <c r="F316" s="1" t="str">
        <f>IF(Goals!A255="","",Goals!F255)</f>
        <v>Fatine FC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>M22</v>
      </c>
      <c r="B317" s="1" t="str">
        <f>IF(Goals!A256="","",Goals!B256)</f>
        <v>Fatine FC</v>
      </c>
      <c r="C317" s="1">
        <f>IF(Goals!A256="","",Goals!C256)</f>
        <v>3</v>
      </c>
      <c r="D317" s="1" t="str">
        <f>IF(Goals!A256="","",Goals!D256)</f>
        <v>Goal</v>
      </c>
      <c r="E317" s="1" t="str">
        <f>IF(Goals!A256="","",Goals!E256)</f>
        <v>10 - LUCA MARINI</v>
      </c>
      <c r="F317" s="1" t="str">
        <f>IF(Goals!A256="","",Goals!F256)</f>
        <v>Fatine FC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>M22</v>
      </c>
      <c r="B318" s="1" t="str">
        <f>IF(Goals!A257="","",Goals!B257)</f>
        <v>Fatine FC</v>
      </c>
      <c r="C318" s="1">
        <f>IF(Goals!A257="","",Goals!C257)</f>
        <v>4</v>
      </c>
      <c r="D318" s="1" t="str">
        <f>IF(Goals!A257="","",Goals!D257)</f>
        <v>Goal</v>
      </c>
      <c r="E318" s="1" t="str">
        <f>IF(Goals!A257="","",Goals!E257)</f>
        <v>7 - NICHOLAS MILAN</v>
      </c>
      <c r="F318" s="1" t="str">
        <f>IF(Goals!A257="","",Goals!F257)</f>
        <v>Fatine FC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57.6" x14ac:dyDescent="0.3">
      <c r="A327" s="1" t="str">
        <f>IF(Goals!A266="","",Goals!A266)</f>
        <v>M23</v>
      </c>
      <c r="B327" s="1" t="str">
        <f>IF(Goals!A266="","",Goals!B266)</f>
        <v>FC Internazionale Rovigo</v>
      </c>
      <c r="C327" s="1">
        <f>IF(Goals!A266="","",Goals!C266)</f>
        <v>1</v>
      </c>
      <c r="D327" s="1" t="str">
        <f>IF(Goals!A266="","",Goals!D266)</f>
        <v>Goal</v>
      </c>
      <c r="E327" s="1" t="str">
        <f>IF(Goals!A266="","",Goals!E266)</f>
        <v>4 - ABDESSAMAD BAGHROUCH</v>
      </c>
      <c r="F327" s="1" t="str">
        <f>IF(Goals!A266="","",Goals!F266)</f>
        <v>FC Internazionale Rovigo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8.8" x14ac:dyDescent="0.3">
      <c r="A328" s="1" t="str">
        <f>IF(Goals!A267="","",Goals!A267)</f>
        <v>M23</v>
      </c>
      <c r="B328" s="1" t="str">
        <f>IF(Goals!A267="","",Goals!B267)</f>
        <v>Moviola Utd</v>
      </c>
      <c r="C328" s="1">
        <f>IF(Goals!A267="","",Goals!C267)</f>
        <v>1</v>
      </c>
      <c r="D328" s="1" t="str">
        <f>IF(Goals!A267="","",Goals!D267)</f>
        <v>Goal</v>
      </c>
      <c r="E328" s="1" t="str">
        <f>IF(Goals!A267="","",Goals!E267)</f>
        <v>7 - EDDY MAZZETTO</v>
      </c>
      <c r="F328" s="1" t="str">
        <f>IF(Goals!A267="","",Goals!F267)</f>
        <v>Moviola Utd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>M24</v>
      </c>
      <c r="B339" s="1" t="str">
        <f>IF(Goals!A278="","",Goals!B278)</f>
        <v>Pink 5ive</v>
      </c>
      <c r="C339" s="1">
        <f>IF(Goals!A278="","",Goals!C278)</f>
        <v>1</v>
      </c>
      <c r="D339" s="1" t="str">
        <f>IF(Goals!A278="","",Goals!D278)</f>
        <v>Goal</v>
      </c>
      <c r="E339" s="1" t="str">
        <f>IF(Goals!A278="","",Goals!E278)</f>
        <v>95 - MATTIA COLTRO</v>
      </c>
      <c r="F339" s="1" t="str">
        <f>IF(Goals!A278="","",Goals!F278)</f>
        <v>Pink 5ive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8.8" x14ac:dyDescent="0.3">
      <c r="A340" s="1" t="str">
        <f>IF(Goals!A279="","",Goals!A279)</f>
        <v>M24</v>
      </c>
      <c r="B340" s="1" t="str">
        <f>IF(Goals!A279="","",Goals!B279)</f>
        <v>Barrio Boys</v>
      </c>
      <c r="C340" s="1">
        <f>IF(Goals!A279="","",Goals!C279)</f>
        <v>1</v>
      </c>
      <c r="D340" s="1" t="str">
        <f>IF(Goals!A279="","",Goals!D279)</f>
        <v>Goal</v>
      </c>
      <c r="E340" s="1" t="str">
        <f>IF(Goals!A279="","",Goals!E279)</f>
        <v>2 - LUCA NONNATO</v>
      </c>
      <c r="F340" s="1" t="str">
        <f>IF(Goals!A279="","",Goals!F279)</f>
        <v>Barrio Boys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8.8" x14ac:dyDescent="0.3">
      <c r="A341" s="1" t="str">
        <f>IF(Goals!A280="","",Goals!A280)</f>
        <v>M24</v>
      </c>
      <c r="B341" s="1" t="str">
        <f>IF(Goals!A280="","",Goals!B280)</f>
        <v>Barrio Boys</v>
      </c>
      <c r="C341" s="1">
        <f>IF(Goals!A280="","",Goals!C280)</f>
        <v>2</v>
      </c>
      <c r="D341" s="1" t="str">
        <f>IF(Goals!A280="","",Goals!D280)</f>
        <v>Goal</v>
      </c>
      <c r="E341" s="1" t="str">
        <f>IF(Goals!A280="","",Goals!E280)</f>
        <v>2 - LUCA NONNATO</v>
      </c>
      <c r="F341" s="1" t="str">
        <f>IF(Goals!A280="","",Goals!F280)</f>
        <v>Barrio Boys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8.8" x14ac:dyDescent="0.3">
      <c r="A342" s="1" t="str">
        <f>IF(Goals!A281="","",Goals!A281)</f>
        <v>M24</v>
      </c>
      <c r="B342" s="1" t="str">
        <f>IF(Goals!A281="","",Goals!B281)</f>
        <v>Barrio Boys</v>
      </c>
      <c r="C342" s="1">
        <f>IF(Goals!A281="","",Goals!C281)</f>
        <v>3</v>
      </c>
      <c r="D342" s="1" t="str">
        <f>IF(Goals!A281="","",Goals!D281)</f>
        <v>Goal</v>
      </c>
      <c r="E342" s="1" t="str">
        <f>IF(Goals!A281="","",Goals!E281)</f>
        <v>14 - EDOARDO CAVALLARI</v>
      </c>
      <c r="F342" s="1" t="str">
        <f>IF(Goals!A281="","",Goals!F281)</f>
        <v>Barrio Boys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8.8" x14ac:dyDescent="0.3">
      <c r="A343" s="1" t="str">
        <f>IF(Goals!A282="","",Goals!A282)</f>
        <v>M24</v>
      </c>
      <c r="B343" s="1" t="str">
        <f>IF(Goals!A282="","",Goals!B282)</f>
        <v>Barrio Boys</v>
      </c>
      <c r="C343" s="1">
        <f>IF(Goals!A282="","",Goals!C282)</f>
        <v>4</v>
      </c>
      <c r="D343" s="1" t="str">
        <f>IF(Goals!A282="","",Goals!D282)</f>
        <v>Goal</v>
      </c>
      <c r="E343" s="1" t="str">
        <f>IF(Goals!A282="","",Goals!E282)</f>
        <v>18 - MATTEO FERRO</v>
      </c>
      <c r="F343" s="1" t="str">
        <f>IF(Goals!A282="","",Goals!F282)</f>
        <v>Barrio Boys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>QF1</v>
      </c>
      <c r="B351" s="1" t="str">
        <f>IF(KnockoutGoals!A2="","",KnockoutGoals!B2)</f>
        <v>Fatine FC</v>
      </c>
      <c r="C351" s="1">
        <f>IF(KnockoutGoals!A2="","",KnockoutGoals!C2)</f>
        <v>1</v>
      </c>
      <c r="D351" s="1" t="str">
        <f>IF(KnockoutGoals!A2="","",KnockoutGoals!D2)</f>
        <v>Goal</v>
      </c>
      <c r="E351" s="1" t="str">
        <f>IF(KnockoutGoals!A2="","",KnockoutGoals!E2)</f>
        <v>10 - LUCA MARINI</v>
      </c>
      <c r="F351" s="1" t="str">
        <f>IF(KnockoutGoals!A2="","",KnockoutGoals!F2)</f>
        <v>Fatine FC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>QF1</v>
      </c>
      <c r="B352" s="1" t="str">
        <f>IF(KnockoutGoals!A3="","",KnockoutGoals!B3)</f>
        <v>Barrio Boys</v>
      </c>
      <c r="C352" s="1">
        <f>IF(KnockoutGoals!A3="","",KnockoutGoals!C3)</f>
        <v>1</v>
      </c>
      <c r="D352" s="1" t="str">
        <f>IF(KnockoutGoals!A3="","",KnockoutGoals!D3)</f>
        <v>Goal</v>
      </c>
      <c r="E352" s="1" t="str">
        <f>IF(KnockoutGoals!A3="","",KnockoutGoals!E3)</f>
        <v>14 - EDOARDO CAVALLARI</v>
      </c>
      <c r="F352" s="1" t="str">
        <f>IF(KnockoutGoals!A3="","",KnockoutGoals!F3)</f>
        <v>Barrio Boys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8.8" x14ac:dyDescent="0.3">
      <c r="A353" s="1" t="str">
        <f>IF(KnockoutGoals!A4="","",KnockoutGoals!A4)</f>
        <v>QF1</v>
      </c>
      <c r="B353" s="1" t="str">
        <f>IF(KnockoutGoals!A4="","",KnockoutGoals!B4)</f>
        <v>Barrio Boys</v>
      </c>
      <c r="C353" s="1">
        <f>IF(KnockoutGoals!A4="","",KnockoutGoals!C4)</f>
        <v>2</v>
      </c>
      <c r="D353" s="1" t="str">
        <f>IF(KnockoutGoals!A4="","",KnockoutGoals!D4)</f>
        <v>Goal</v>
      </c>
      <c r="E353" s="1" t="str">
        <f>IF(KnockoutGoals!A4="","",KnockoutGoals!E4)</f>
        <v>18 - MATTEO FERRO</v>
      </c>
      <c r="F353" s="1" t="str">
        <f>IF(KnockoutGoals!A4="","",KnockoutGoals!F4)</f>
        <v>Barrio Boys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8.8" x14ac:dyDescent="0.3">
      <c r="A363" s="1" t="str">
        <f>IF(KnockoutGoals!A14="","",KnockoutGoals!A14)</f>
        <v>QF2</v>
      </c>
      <c r="B363" s="1" t="str">
        <f>IF(KnockoutGoals!A14="","",KnockoutGoals!B14)</f>
        <v>AS Bancatore</v>
      </c>
      <c r="C363" s="1">
        <f>IF(KnockoutGoals!A14="","",KnockoutGoals!C14)</f>
        <v>1</v>
      </c>
      <c r="D363" s="1" t="str">
        <f>IF(KnockoutGoals!A14="","",KnockoutGoals!D14)</f>
        <v>Goal</v>
      </c>
      <c r="E363" s="1" t="str">
        <f>IF(KnockoutGoals!A14="","",KnockoutGoals!E14)</f>
        <v>10 - GIANLUCA FREZZATI</v>
      </c>
      <c r="F363" s="1" t="str">
        <f>IF(KnockoutGoals!A14="","",KnockoutGoals!F14)</f>
        <v>AS Bancatore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8.8" x14ac:dyDescent="0.3">
      <c r="A364" s="1" t="str">
        <f>IF(KnockoutGoals!A15="","",KnockoutGoals!A15)</f>
        <v>QF2</v>
      </c>
      <c r="B364" s="1" t="str">
        <f>IF(KnockoutGoals!A15="","",KnockoutGoals!B15)</f>
        <v>AS Bancatore</v>
      </c>
      <c r="C364" s="1">
        <f>IF(KnockoutGoals!A15="","",KnockoutGoals!C15)</f>
        <v>2</v>
      </c>
      <c r="D364" s="1" t="str">
        <f>IF(KnockoutGoals!A15="","",KnockoutGoals!D15)</f>
        <v>Goal</v>
      </c>
      <c r="E364" s="1" t="str">
        <f>IF(KnockoutGoals!A15="","",KnockoutGoals!E15)</f>
        <v>5 - MATTEO LONGO</v>
      </c>
      <c r="F364" s="1" t="str">
        <f>IF(KnockoutGoals!A15="","",KnockoutGoals!F15)</f>
        <v>AS Bancatore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8.8" x14ac:dyDescent="0.3">
      <c r="A365" s="1" t="str">
        <f>IF(KnockoutGoals!A16="","",KnockoutGoals!A16)</f>
        <v>QF2</v>
      </c>
      <c r="B365" s="1" t="str">
        <f>IF(KnockoutGoals!A16="","",KnockoutGoals!B16)</f>
        <v>AS Bancatore</v>
      </c>
      <c r="C365" s="1">
        <f>IF(KnockoutGoals!A16="","",KnockoutGoals!C16)</f>
        <v>3</v>
      </c>
      <c r="D365" s="1" t="str">
        <f>IF(KnockoutGoals!A16="","",KnockoutGoals!D16)</f>
        <v>Goal</v>
      </c>
      <c r="E365" s="1" t="str">
        <f>IF(KnockoutGoals!A16="","",KnockoutGoals!E16)</f>
        <v>9 - IGNAZIO BADALÌ</v>
      </c>
      <c r="F365" s="1" t="str">
        <f>IF(KnockoutGoals!A16="","",KnockoutGoals!F16)</f>
        <v>AS Bancatore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8.8" x14ac:dyDescent="0.3">
      <c r="A366" s="1" t="str">
        <f>IF(KnockoutGoals!A17="","",KnockoutGoals!A17)</f>
        <v>QF2</v>
      </c>
      <c r="B366" s="1" t="str">
        <f>IF(KnockoutGoals!A17="","",KnockoutGoals!B17)</f>
        <v>Piadineria la Salsiccia</v>
      </c>
      <c r="C366" s="1">
        <f>IF(KnockoutGoals!A17="","",KnockoutGoals!C17)</f>
        <v>1</v>
      </c>
      <c r="D366" s="1" t="str">
        <f>IF(KnockoutGoals!A17="","",KnockoutGoals!D17)</f>
        <v>Goal</v>
      </c>
      <c r="E366" s="1" t="str">
        <f>IF(KnockoutGoals!A17="","",KnockoutGoals!E17)</f>
        <v>3 - GABRIELE BARBIERATO</v>
      </c>
      <c r="F366" s="1" t="str">
        <f>IF(KnockoutGoals!A17="","",KnockoutGoals!F17)</f>
        <v>Piadineria la Salsiccia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8.8" x14ac:dyDescent="0.3">
      <c r="A367" s="1" t="str">
        <f>IF(KnockoutGoals!A18="","",KnockoutGoals!A18)</f>
        <v>QF2</v>
      </c>
      <c r="B367" s="1" t="str">
        <f>IF(KnockoutGoals!A18="","",KnockoutGoals!B18)</f>
        <v>Piadineria la Salsiccia</v>
      </c>
      <c r="C367" s="1">
        <f>IF(KnockoutGoals!A18="","",KnockoutGoals!C18)</f>
        <v>2</v>
      </c>
      <c r="D367" s="1" t="str">
        <f>IF(KnockoutGoals!A18="","",KnockoutGoals!D18)</f>
        <v>Goal</v>
      </c>
      <c r="E367" s="1" t="str">
        <f>IF(KnockoutGoals!A18="","",KnockoutGoals!E18)</f>
        <v>10 - RAFFAELE GAROFALO</v>
      </c>
      <c r="F367" s="1" t="str">
        <f>IF(KnockoutGoals!A18="","",KnockoutGoals!F18)</f>
        <v>Piadineria la Salsiccia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8.8" x14ac:dyDescent="0.3">
      <c r="A368" s="1" t="str">
        <f>IF(KnockoutGoals!A19="","",KnockoutGoals!A19)</f>
        <v>QF2</v>
      </c>
      <c r="B368" s="1" t="str">
        <f>IF(KnockoutGoals!A19="","",KnockoutGoals!B19)</f>
        <v>Piadineria la Salsiccia</v>
      </c>
      <c r="C368" s="1">
        <f>IF(KnockoutGoals!A19="","",KnockoutGoals!C19)</f>
        <v>3</v>
      </c>
      <c r="D368" s="1" t="str">
        <f>IF(KnockoutGoals!A19="","",KnockoutGoals!D19)</f>
        <v>Goal</v>
      </c>
      <c r="E368" s="1" t="str">
        <f>IF(KnockoutGoals!A19="","",KnockoutGoals!E19)</f>
        <v>9 - ANDREA BALDON</v>
      </c>
      <c r="F368" s="1" t="str">
        <f>IF(KnockoutGoals!A19="","",KnockoutGoals!F19)</f>
        <v>Piadineria la Salsiccia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>QF3</v>
      </c>
      <c r="B375" s="1" t="str">
        <f>IF(KnockoutGoals!A26="","",KnockoutGoals!B26)</f>
        <v>Moviola Utd</v>
      </c>
      <c r="C375" s="1">
        <f>IF(KnockoutGoals!A26="","",KnockoutGoals!C26)</f>
        <v>1</v>
      </c>
      <c r="D375" s="1" t="str">
        <f>IF(KnockoutGoals!A26="","",KnockoutGoals!D26)</f>
        <v>Goal</v>
      </c>
      <c r="E375" s="1" t="str">
        <f>IF(KnockoutGoals!A26="","",KnockoutGoals!E26)</f>
        <v>70 - FILIPPO SCARANELLO</v>
      </c>
      <c r="F375" s="1" t="str">
        <f>IF(KnockoutGoals!A26="","",KnockoutGoals!F26)</f>
        <v>Moviola Utd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>QF3</v>
      </c>
      <c r="B376" s="1" t="str">
        <f>IF(KnockoutGoals!A27="","",KnockoutGoals!B27)</f>
        <v>Leoni di Ricky</v>
      </c>
      <c r="C376" s="1">
        <f>IF(KnockoutGoals!A27="","",KnockoutGoals!C27)</f>
        <v>1</v>
      </c>
      <c r="D376" s="1" t="str">
        <f>IF(KnockoutGoals!A27="","",KnockoutGoals!D27)</f>
        <v>Goal</v>
      </c>
      <c r="E376" s="1" t="str">
        <f>IF(KnockoutGoals!A27="","",KnockoutGoals!E27)</f>
        <v>3 - LEONARDO MAGGIO</v>
      </c>
      <c r="F376" s="1" t="str">
        <f>IF(KnockoutGoals!A27="","",KnockoutGoals!F27)</f>
        <v>Leoni di Ricky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>QF3</v>
      </c>
      <c r="B377" s="1" t="str">
        <f>IF(KnockoutGoals!A28="","",KnockoutGoals!B28)</f>
        <v>Leoni di Ricky</v>
      </c>
      <c r="C377" s="1">
        <f>IF(KnockoutGoals!A28="","",KnockoutGoals!C28)</f>
        <v>2</v>
      </c>
      <c r="D377" s="1" t="str">
        <f>IF(KnockoutGoals!A28="","",KnockoutGoals!D28)</f>
        <v>Goal</v>
      </c>
      <c r="E377" s="1" t="str">
        <f>IF(KnockoutGoals!A28="","",KnockoutGoals!E28)</f>
        <v>3 - LEONARDO MAGGIO</v>
      </c>
      <c r="F377" s="1" t="str">
        <f>IF(KnockoutGoals!A28="","",KnockoutGoals!F28)</f>
        <v>Leoni di Ricky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>QF3</v>
      </c>
      <c r="B378" s="1" t="str">
        <f>IF(KnockoutGoals!A29="","",KnockoutGoals!B29)</f>
        <v>Leoni di Ricky</v>
      </c>
      <c r="C378" s="1">
        <f>IF(KnockoutGoals!A29="","",KnockoutGoals!C29)</f>
        <v>3</v>
      </c>
      <c r="D378" s="1" t="str">
        <f>IF(KnockoutGoals!A29="","",KnockoutGoals!D29)</f>
        <v>Goal</v>
      </c>
      <c r="E378" s="1" t="str">
        <f>IF(KnockoutGoals!A29="","",KnockoutGoals!E29)</f>
        <v>8 - GIACOMO BORTOLIERO</v>
      </c>
      <c r="F378" s="1" t="str">
        <f>IF(KnockoutGoals!A29="","",KnockoutGoals!F29)</f>
        <v>Leoni di Ricky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>QF3</v>
      </c>
      <c r="B379" s="1" t="str">
        <f>IF(KnockoutGoals!A30="","",KnockoutGoals!B30)</f>
        <v>Leoni di Ricky</v>
      </c>
      <c r="C379" s="1">
        <f>IF(KnockoutGoals!A30="","",KnockoutGoals!C30)</f>
        <v>4</v>
      </c>
      <c r="D379" s="1" t="str">
        <f>IF(KnockoutGoals!A30="","",KnockoutGoals!D30)</f>
        <v>Goal</v>
      </c>
      <c r="E379" s="1" t="str">
        <f>IF(KnockoutGoals!A30="","",KnockoutGoals!E30)</f>
        <v>4 - AMIN MASSAGHRI (C)</v>
      </c>
      <c r="F379" s="1" t="str">
        <f>IF(KnockoutGoals!A30="","",KnockoutGoals!F30)</f>
        <v>Leoni di Ricky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>QF3</v>
      </c>
      <c r="B380" s="1" t="str">
        <f>IF(KnockoutGoals!A31="","",KnockoutGoals!B31)</f>
        <v>Leoni di Ricky</v>
      </c>
      <c r="C380" s="1">
        <f>IF(KnockoutGoals!A31="","",KnockoutGoals!C31)</f>
        <v>5</v>
      </c>
      <c r="D380" s="1" t="str">
        <f>IF(KnockoutGoals!A31="","",KnockoutGoals!D31)</f>
        <v>Goal</v>
      </c>
      <c r="E380" s="1" t="str">
        <f>IF(KnockoutGoals!A31="","",KnockoutGoals!E31)</f>
        <v>6 - MARCO THOMPSON</v>
      </c>
      <c r="F380" s="1" t="str">
        <f>IF(KnockoutGoals!A31="","",KnockoutGoals!F31)</f>
        <v>Leoni di Ricky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>QF3</v>
      </c>
      <c r="B381" s="1" t="str">
        <f>IF(KnockoutGoals!A32="","",KnockoutGoals!B32)</f>
        <v>Leoni di Ricky</v>
      </c>
      <c r="C381" s="1">
        <f>IF(KnockoutGoals!A32="","",KnockoutGoals!C32)</f>
        <v>6</v>
      </c>
      <c r="D381" s="1" t="str">
        <f>IF(KnockoutGoals!A32="","",KnockoutGoals!D32)</f>
        <v>Goal</v>
      </c>
      <c r="E381" s="1" t="str">
        <f>IF(KnockoutGoals!A32="","",KnockoutGoals!E32)</f>
        <v>6 - MARCO THOMPSON</v>
      </c>
      <c r="F381" s="1" t="str">
        <f>IF(KnockoutGoals!A32="","",KnockoutGoals!F32)</f>
        <v>Leoni di Ricky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>QF4</v>
      </c>
      <c r="B387" s="1" t="str">
        <f>IF(KnockoutGoals!A38="","",KnockoutGoals!B38)</f>
        <v>Vecchie Glorie Rovigo</v>
      </c>
      <c r="C387" s="1">
        <f>IF(KnockoutGoals!A38="","",KnockoutGoals!C38)</f>
        <v>1</v>
      </c>
      <c r="D387" s="1" t="str">
        <f>IF(KnockoutGoals!A38="","",KnockoutGoals!D38)</f>
        <v>Goal</v>
      </c>
      <c r="E387" s="1" t="str">
        <f>IF(KnockoutGoals!A38="","",KnockoutGoals!E38)</f>
        <v>7 - DENIS TIMPANARO</v>
      </c>
      <c r="F387" s="1" t="str">
        <f>IF(KnockoutGoals!A38="","",KnockoutGoals!F38)</f>
        <v>Vecchie Glorie Rovigo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>QF4</v>
      </c>
      <c r="B388" s="1" t="str">
        <f>IF(KnockoutGoals!A39="","",KnockoutGoals!B39)</f>
        <v>Boldò Glimt</v>
      </c>
      <c r="C388" s="1">
        <f>IF(KnockoutGoals!A39="","",KnockoutGoals!C39)</f>
        <v>1</v>
      </c>
      <c r="D388" s="1" t="str">
        <f>IF(KnockoutGoals!A39="","",KnockoutGoals!D39)</f>
        <v>Goal</v>
      </c>
      <c r="E388" s="1" t="str">
        <f>IF(KnockoutGoals!A39="","",KnockoutGoals!E39)</f>
        <v>10 - ALEX BERTIPAGLIA (C)</v>
      </c>
      <c r="F388" s="1" t="str">
        <f>IF(KnockoutGoals!A39="","",KnockoutGoals!F39)</f>
        <v>Boldò Glimt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>QF4</v>
      </c>
      <c r="B389" s="1" t="str">
        <f>IF(KnockoutGoals!A40="","",KnockoutGoals!B40)</f>
        <v>Boldò Glimt</v>
      </c>
      <c r="C389" s="1">
        <f>IF(KnockoutGoals!A40="","",KnockoutGoals!C40)</f>
        <v>2</v>
      </c>
      <c r="D389" s="1" t="str">
        <f>IF(KnockoutGoals!A40="","",KnockoutGoals!D40)</f>
        <v>Goal</v>
      </c>
      <c r="E389" s="1" t="str">
        <f>IF(KnockoutGoals!A40="","",KnockoutGoals!E40)</f>
        <v>14 - FABIO FERRARI</v>
      </c>
      <c r="F389" s="1" t="str">
        <f>IF(KnockoutGoals!A40="","",KnockoutGoals!F40)</f>
        <v>Boldò Glimt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2026-07-04T19:46:33Z</dcterms:modified>
</cp:coreProperties>
</file>