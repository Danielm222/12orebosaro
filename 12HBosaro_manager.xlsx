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C78C2455-8066-4F55-AE81-EBF5DA97F99C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F63" i="7" l="1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C63" i="7" s="1"/>
  <c r="C124" i="15" s="1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F124" i="15" l="1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D152" i="8" s="1"/>
  <c r="E152" i="8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H30" i="7"/>
  <c r="F91" i="15"/>
  <c r="F28" i="7"/>
  <c r="C28" i="7"/>
  <c r="C89" i="15" s="1"/>
  <c r="F88" i="15"/>
  <c r="H27" i="7"/>
  <c r="H29" i="7"/>
  <c r="F90" i="15"/>
  <c r="D250" i="8"/>
  <c r="E250" i="8" s="1"/>
  <c r="D74" i="8"/>
  <c r="E74" i="8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D248" i="8" s="1"/>
  <c r="E248" i="8" s="1"/>
  <c r="G40" i="7"/>
  <c r="G39" i="7"/>
  <c r="F39" i="7"/>
  <c r="G38" i="7"/>
  <c r="G89" i="7"/>
  <c r="F89" i="7"/>
  <c r="C89" i="7"/>
  <c r="C150" i="15" s="1"/>
  <c r="C88" i="7"/>
  <c r="C149" i="15" s="1"/>
  <c r="F50" i="7"/>
  <c r="D309" i="8" s="1"/>
  <c r="E309" i="8" s="1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70" i="8"/>
  <c r="D367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D247" i="8"/>
  <c r="E247" i="8" s="1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H51" i="7" l="1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98" i="8"/>
  <c r="E363" i="8"/>
  <c r="E189" i="8"/>
  <c r="E396" i="8"/>
  <c r="E182" i="8"/>
  <c r="E187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<sst xmlns="http://schemas.openxmlformats.org/spreadsheetml/2006/main" count="918" uniqueCount="423">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</sst>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0" fillId="0" borderId="0" xfId="0"/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1"/>
      <c r="B19" s="21"/>
      <c r="C19" s="21"/>
      <c r="D19" s="21"/>
      <c r="E19" s="21"/>
      <c r="F19" s="21"/>
    </row>
    <row r="20" spans="1:6" x14ac:dyDescent="0.3">
      <c r="A20" s="21"/>
      <c r="B20" s="21"/>
      <c r="C20" s="21"/>
      <c r="D20" s="21"/>
      <c r="E20" s="21"/>
      <c r="F20" s="21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386</v>
      </c>
      <c r="B7" s="16" t="s">
        <v>387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B15" sqref="B15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0" t="s">
        <v>70</v>
      </c>
      <c r="B1" s="21"/>
      <c r="C1" s="21"/>
      <c r="D1" s="20" t="s">
        <v>71</v>
      </c>
      <c r="E1" s="21"/>
      <c r="F1" s="21"/>
      <c r="G1" s="20" t="s">
        <v>72</v>
      </c>
      <c r="H1" s="21"/>
      <c r="I1" s="21"/>
      <c r="J1" s="20" t="s">
        <v>73</v>
      </c>
      <c r="K1" s="21"/>
      <c r="L1" s="21"/>
      <c r="M1" s="20" t="s">
        <v>74</v>
      </c>
      <c r="N1" s="21"/>
      <c r="O1" s="21"/>
      <c r="P1" s="20" t="s">
        <v>75</v>
      </c>
      <c r="Q1" s="21"/>
      <c r="R1" s="21"/>
      <c r="S1" s="20" t="s">
        <v>76</v>
      </c>
      <c r="T1" s="21"/>
      <c r="U1" s="21"/>
      <c r="V1" s="20" t="s">
        <v>77</v>
      </c>
      <c r="W1" s="21"/>
      <c r="X1" s="21"/>
      <c r="Y1" s="20" t="s">
        <v>78</v>
      </c>
      <c r="Z1" s="21"/>
      <c r="AA1" s="21"/>
      <c r="AB1" s="20" t="s">
        <v>79</v>
      </c>
      <c r="AC1" s="21"/>
      <c r="AD1" s="21"/>
      <c r="AE1" s="20" t="s">
        <v>80</v>
      </c>
      <c r="AF1" s="21"/>
      <c r="AG1" s="21"/>
      <c r="AH1" s="20" t="s">
        <v>81</v>
      </c>
      <c r="AI1" s="21"/>
      <c r="AJ1" s="21"/>
      <c r="AK1" s="20" t="s">
        <v>82</v>
      </c>
      <c r="AL1" s="21"/>
      <c r="AM1" s="21"/>
      <c r="AN1" s="20" t="s">
        <v>83</v>
      </c>
      <c r="AO1" s="21"/>
      <c r="AP1" s="21"/>
      <c r="AQ1" s="20" t="s">
        <v>84</v>
      </c>
      <c r="AR1" s="21"/>
      <c r="AS1" s="21"/>
      <c r="AT1" s="20" t="s">
        <v>85</v>
      </c>
      <c r="AU1" s="21"/>
      <c r="AV1" s="21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394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399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/>
      <c r="E5" s="15" t="s">
        <v>122</v>
      </c>
      <c r="F5" s="15" t="s">
        <v>90</v>
      </c>
      <c r="G5" s="15"/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/>
      <c r="E6" s="15" t="s">
        <v>393</v>
      </c>
      <c r="F6" s="15" t="s">
        <v>90</v>
      </c>
      <c r="G6" s="15"/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400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402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/>
      <c r="E7" s="15" t="s">
        <v>151</v>
      </c>
      <c r="F7" s="15" t="s">
        <v>90</v>
      </c>
      <c r="G7" s="15"/>
      <c r="H7" s="15" t="s">
        <v>395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/>
      <c r="E8" s="15" t="s">
        <v>165</v>
      </c>
      <c r="F8" s="15" t="s">
        <v>90</v>
      </c>
      <c r="G8" s="15"/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21</v>
      </c>
      <c r="W8" s="15" t="s">
        <v>171</v>
      </c>
      <c r="X8" s="15" t="s">
        <v>90</v>
      </c>
      <c r="Y8" s="15">
        <v>8</v>
      </c>
      <c r="Z8" s="15" t="s">
        <v>172</v>
      </c>
      <c r="AA8" s="15" t="s">
        <v>90</v>
      </c>
      <c r="AB8" s="15">
        <v>19</v>
      </c>
      <c r="AC8" s="15" t="s">
        <v>173</v>
      </c>
      <c r="AD8" s="15" t="s">
        <v>90</v>
      </c>
      <c r="AE8" s="15">
        <v>10</v>
      </c>
      <c r="AF8" s="15" t="s">
        <v>174</v>
      </c>
      <c r="AG8" s="15" t="s">
        <v>108</v>
      </c>
      <c r="AH8" s="15">
        <v>11</v>
      </c>
      <c r="AI8" s="15" t="s">
        <v>175</v>
      </c>
      <c r="AJ8" s="15" t="s">
        <v>90</v>
      </c>
      <c r="AK8" s="15">
        <v>7</v>
      </c>
      <c r="AL8" s="15" t="s">
        <v>176</v>
      </c>
      <c r="AM8" s="15" t="s">
        <v>90</v>
      </c>
      <c r="AN8" s="15">
        <v>9</v>
      </c>
      <c r="AO8" s="15" t="s">
        <v>177</v>
      </c>
      <c r="AP8" s="15" t="s">
        <v>90</v>
      </c>
      <c r="AQ8" s="15">
        <v>9</v>
      </c>
      <c r="AR8" s="15" t="s">
        <v>178</v>
      </c>
      <c r="AS8" s="15" t="s">
        <v>90</v>
      </c>
      <c r="AT8" s="15">
        <v>6</v>
      </c>
      <c r="AU8" s="15" t="s">
        <v>179</v>
      </c>
      <c r="AV8" s="15" t="s">
        <v>90</v>
      </c>
    </row>
    <row r="9" spans="1:48" x14ac:dyDescent="0.3">
      <c r="A9" s="15">
        <v>11</v>
      </c>
      <c r="B9" s="15" t="s">
        <v>391</v>
      </c>
      <c r="C9" s="15" t="s">
        <v>90</v>
      </c>
      <c r="D9" s="15"/>
      <c r="E9" s="15" t="s">
        <v>180</v>
      </c>
      <c r="F9" s="15" t="s">
        <v>108</v>
      </c>
      <c r="G9" s="15"/>
      <c r="H9" s="15" t="s">
        <v>181</v>
      </c>
      <c r="I9" s="15" t="s">
        <v>90</v>
      </c>
      <c r="J9" s="15">
        <v>10</v>
      </c>
      <c r="K9" s="15" t="s">
        <v>182</v>
      </c>
      <c r="L9" s="15" t="s">
        <v>90</v>
      </c>
      <c r="M9" s="15">
        <v>15</v>
      </c>
      <c r="N9" s="15" t="s">
        <v>183</v>
      </c>
      <c r="O9" s="15" t="s">
        <v>90</v>
      </c>
      <c r="P9" s="15">
        <v>1</v>
      </c>
      <c r="Q9" s="15" t="s">
        <v>184</v>
      </c>
      <c r="R9" s="15" t="s">
        <v>90</v>
      </c>
      <c r="S9" s="15">
        <v>10</v>
      </c>
      <c r="T9" s="15" t="s">
        <v>185</v>
      </c>
      <c r="U9" s="15" t="s">
        <v>90</v>
      </c>
      <c r="V9" s="15"/>
      <c r="W9" s="15"/>
      <c r="X9" s="15"/>
      <c r="Y9" s="15">
        <v>10</v>
      </c>
      <c r="Z9" s="15" t="s">
        <v>397</v>
      </c>
      <c r="AA9" s="15" t="s">
        <v>90</v>
      </c>
      <c r="AB9" s="15">
        <v>21</v>
      </c>
      <c r="AC9" s="15" t="s">
        <v>186</v>
      </c>
      <c r="AD9" s="15" t="s">
        <v>90</v>
      </c>
      <c r="AE9" s="15">
        <v>11</v>
      </c>
      <c r="AF9" s="15" t="s">
        <v>187</v>
      </c>
      <c r="AG9" s="15" t="s">
        <v>90</v>
      </c>
      <c r="AH9" s="15">
        <v>19</v>
      </c>
      <c r="AI9" s="15" t="s">
        <v>188</v>
      </c>
      <c r="AJ9" s="15" t="s">
        <v>90</v>
      </c>
      <c r="AK9" s="15">
        <v>8</v>
      </c>
      <c r="AL9" s="15" t="s">
        <v>189</v>
      </c>
      <c r="AM9" s="15" t="s">
        <v>90</v>
      </c>
      <c r="AN9" s="15">
        <v>10</v>
      </c>
      <c r="AO9" s="15" t="s">
        <v>190</v>
      </c>
      <c r="AP9" s="15" t="s">
        <v>108</v>
      </c>
      <c r="AQ9" s="15">
        <v>10</v>
      </c>
      <c r="AR9" s="15" t="s">
        <v>191</v>
      </c>
      <c r="AS9" s="15" t="s">
        <v>108</v>
      </c>
      <c r="AT9" s="15">
        <v>8</v>
      </c>
      <c r="AU9" s="15" t="s">
        <v>192</v>
      </c>
      <c r="AV9" s="15" t="s">
        <v>90</v>
      </c>
    </row>
    <row r="10" spans="1:48" x14ac:dyDescent="0.3">
      <c r="A10" s="15">
        <v>23</v>
      </c>
      <c r="B10" s="15" t="s">
        <v>193</v>
      </c>
      <c r="C10" s="15" t="s">
        <v>108</v>
      </c>
      <c r="D10" s="15"/>
      <c r="E10" s="15" t="s">
        <v>194</v>
      </c>
      <c r="F10" s="15" t="s">
        <v>90</v>
      </c>
      <c r="G10" s="15"/>
      <c r="H10" s="15" t="s">
        <v>195</v>
      </c>
      <c r="I10" s="15" t="s">
        <v>90</v>
      </c>
      <c r="J10" s="15">
        <v>11</v>
      </c>
      <c r="K10" s="15" t="s">
        <v>196</v>
      </c>
      <c r="L10" s="15" t="s">
        <v>108</v>
      </c>
      <c r="M10" s="15">
        <v>18</v>
      </c>
      <c r="N10" s="15" t="s">
        <v>197</v>
      </c>
      <c r="O10" s="15" t="s">
        <v>90</v>
      </c>
      <c r="P10" s="15">
        <v>4</v>
      </c>
      <c r="Q10" s="15" t="s">
        <v>198</v>
      </c>
      <c r="R10" s="15" t="s">
        <v>90</v>
      </c>
      <c r="S10" s="15">
        <v>11</v>
      </c>
      <c r="T10" s="15" t="s">
        <v>199</v>
      </c>
      <c r="U10" s="15" t="s">
        <v>90</v>
      </c>
      <c r="V10" s="15"/>
      <c r="W10" s="15"/>
      <c r="X10" s="15"/>
      <c r="Y10" s="15">
        <v>14</v>
      </c>
      <c r="Z10" s="15" t="s">
        <v>200</v>
      </c>
      <c r="AA10" s="15" t="s">
        <v>90</v>
      </c>
      <c r="AB10" s="15">
        <v>29</v>
      </c>
      <c r="AC10" s="15" t="s">
        <v>201</v>
      </c>
      <c r="AD10" s="15" t="s">
        <v>90</v>
      </c>
      <c r="AE10" s="15">
        <v>14</v>
      </c>
      <c r="AF10" s="15" t="s">
        <v>202</v>
      </c>
      <c r="AG10" s="15" t="s">
        <v>90</v>
      </c>
      <c r="AH10" s="15">
        <v>22</v>
      </c>
      <c r="AI10" s="15" t="s">
        <v>203</v>
      </c>
      <c r="AJ10" s="15" t="s">
        <v>90</v>
      </c>
      <c r="AK10" s="15">
        <v>9</v>
      </c>
      <c r="AL10" s="15" t="s">
        <v>204</v>
      </c>
      <c r="AM10" s="15" t="s">
        <v>90</v>
      </c>
      <c r="AN10" s="15">
        <v>14</v>
      </c>
      <c r="AO10" s="15" t="s">
        <v>205</v>
      </c>
      <c r="AP10" s="15" t="s">
        <v>90</v>
      </c>
      <c r="AQ10" s="15">
        <v>11</v>
      </c>
      <c r="AR10" s="15" t="s">
        <v>206</v>
      </c>
      <c r="AS10" s="15" t="s">
        <v>90</v>
      </c>
      <c r="AT10" s="15">
        <v>9</v>
      </c>
      <c r="AU10" s="15" t="s">
        <v>207</v>
      </c>
      <c r="AV10" s="15" t="s">
        <v>90</v>
      </c>
    </row>
    <row r="11" spans="1:48" x14ac:dyDescent="0.3">
      <c r="A11" s="15">
        <v>69</v>
      </c>
      <c r="B11" s="15" t="s">
        <v>208</v>
      </c>
      <c r="C11" s="15" t="s">
        <v>90</v>
      </c>
      <c r="D11" s="15"/>
      <c r="E11" s="15" t="s">
        <v>209</v>
      </c>
      <c r="F11" s="15" t="s">
        <v>90</v>
      </c>
      <c r="G11" s="15"/>
      <c r="H11" s="15" t="s">
        <v>210</v>
      </c>
      <c r="I11" s="15" t="s">
        <v>90</v>
      </c>
      <c r="J11" s="15">
        <v>14</v>
      </c>
      <c r="K11" s="15" t="s">
        <v>211</v>
      </c>
      <c r="L11" s="15" t="s">
        <v>90</v>
      </c>
      <c r="M11" s="15">
        <v>71</v>
      </c>
      <c r="N11" s="15" t="s">
        <v>212</v>
      </c>
      <c r="O11" s="15" t="s">
        <v>90</v>
      </c>
      <c r="P11" s="15">
        <v>6</v>
      </c>
      <c r="Q11" s="15" t="s">
        <v>213</v>
      </c>
      <c r="R11" s="15" t="s">
        <v>90</v>
      </c>
      <c r="S11" s="15">
        <v>13</v>
      </c>
      <c r="T11" s="15" t="s">
        <v>214</v>
      </c>
      <c r="U11" s="15" t="s">
        <v>90</v>
      </c>
      <c r="V11" s="15"/>
      <c r="W11" s="15"/>
      <c r="X11" s="15"/>
      <c r="Y11" s="15">
        <v>20</v>
      </c>
      <c r="Z11" s="15" t="s">
        <v>398</v>
      </c>
      <c r="AA11" s="15" t="s">
        <v>90</v>
      </c>
      <c r="AB11" s="15">
        <v>63</v>
      </c>
      <c r="AC11" s="15" t="s">
        <v>215</v>
      </c>
      <c r="AD11" s="15" t="s">
        <v>108</v>
      </c>
      <c r="AE11" s="15">
        <v>18</v>
      </c>
      <c r="AF11" s="15" t="s">
        <v>216</v>
      </c>
      <c r="AG11" s="15" t="s">
        <v>90</v>
      </c>
      <c r="AH11" s="15">
        <v>45</v>
      </c>
      <c r="AI11" s="15" t="s">
        <v>217</v>
      </c>
      <c r="AJ11" s="15" t="s">
        <v>90</v>
      </c>
      <c r="AK11" s="15">
        <v>10</v>
      </c>
      <c r="AL11" s="15" t="s">
        <v>218</v>
      </c>
      <c r="AM11" s="15" t="s">
        <v>90</v>
      </c>
      <c r="AN11" s="15">
        <v>17</v>
      </c>
      <c r="AO11" s="15" t="s">
        <v>219</v>
      </c>
      <c r="AP11" s="15" t="s">
        <v>90</v>
      </c>
      <c r="AQ11" s="15">
        <v>23</v>
      </c>
      <c r="AR11" s="15" t="s">
        <v>220</v>
      </c>
      <c r="AS11" s="15" t="s">
        <v>90</v>
      </c>
      <c r="AT11" s="15">
        <v>10</v>
      </c>
      <c r="AU11" s="15" t="s">
        <v>221</v>
      </c>
      <c r="AV11" s="15" t="s">
        <v>90</v>
      </c>
    </row>
    <row r="12" spans="1:48" x14ac:dyDescent="0.3">
      <c r="A12" s="15">
        <v>90</v>
      </c>
      <c r="B12" s="15" t="s">
        <v>392</v>
      </c>
      <c r="C12" s="15" t="s">
        <v>90</v>
      </c>
      <c r="D12" s="15"/>
      <c r="E12" s="15" t="s">
        <v>222</v>
      </c>
      <c r="F12" s="15" t="s">
        <v>90</v>
      </c>
      <c r="G12" s="15"/>
      <c r="H12" s="15" t="s">
        <v>223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224</v>
      </c>
      <c r="R12" s="15" t="s">
        <v>90</v>
      </c>
      <c r="S12" s="15">
        <v>14</v>
      </c>
      <c r="T12" s="15" t="s">
        <v>225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226</v>
      </c>
      <c r="AD12" s="15" t="s">
        <v>90</v>
      </c>
      <c r="AE12" s="15">
        <v>20</v>
      </c>
      <c r="AF12" s="15" t="s">
        <v>227</v>
      </c>
      <c r="AG12" s="15" t="s">
        <v>90</v>
      </c>
      <c r="AH12" s="15">
        <v>67</v>
      </c>
      <c r="AI12" s="15" t="s">
        <v>228</v>
      </c>
      <c r="AJ12" s="15" t="s">
        <v>90</v>
      </c>
      <c r="AK12" s="15">
        <v>11</v>
      </c>
      <c r="AL12" s="15" t="s">
        <v>229</v>
      </c>
      <c r="AM12" s="15" t="s">
        <v>108</v>
      </c>
      <c r="AN12" s="15">
        <v>21</v>
      </c>
      <c r="AO12" s="15" t="s">
        <v>230</v>
      </c>
      <c r="AP12" s="15" t="s">
        <v>90</v>
      </c>
      <c r="AQ12" s="15">
        <v>28</v>
      </c>
      <c r="AR12" s="15" t="s">
        <v>231</v>
      </c>
      <c r="AS12" s="15" t="s">
        <v>90</v>
      </c>
      <c r="AT12" s="15">
        <v>11</v>
      </c>
      <c r="AU12" s="15" t="s">
        <v>232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/>
      <c r="H13" s="15" t="s">
        <v>233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234</v>
      </c>
      <c r="R13" s="15" t="s">
        <v>90</v>
      </c>
      <c r="S13" s="15">
        <v>17</v>
      </c>
      <c r="T13" s="15" t="s">
        <v>235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236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401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/>
      <c r="H14" s="15" t="s">
        <v>237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/>
      <c r="H15" s="15" t="s">
        <v>396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238</v>
      </c>
      <c r="B1" s="5" t="s">
        <v>0</v>
      </c>
      <c r="C1" s="5" t="s">
        <v>2</v>
      </c>
      <c r="D1" s="5" t="s">
        <v>239</v>
      </c>
      <c r="E1" s="5" t="s">
        <v>240</v>
      </c>
      <c r="F1" s="5" t="s">
        <v>241</v>
      </c>
      <c r="G1" s="5" t="s">
        <v>242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0 -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0 -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 x14ac:dyDescent="0.3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 x14ac:dyDescent="0.3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 x14ac:dyDescent="0.3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 x14ac:dyDescent="0.3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I8" sqref="I8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243</v>
      </c>
      <c r="B1" s="5" t="s">
        <v>244</v>
      </c>
      <c r="C1" s="5" t="s">
        <v>1</v>
      </c>
      <c r="D1" s="5" t="s">
        <v>245</v>
      </c>
      <c r="E1" s="5" t="s">
        <v>246</v>
      </c>
      <c r="F1" s="8" t="s">
        <v>247</v>
      </c>
      <c r="G1" s="5" t="s">
        <v>248</v>
      </c>
      <c r="H1" s="5" t="s">
        <v>249</v>
      </c>
      <c r="I1" s="5" t="s">
        <v>250</v>
      </c>
      <c r="J1" s="5" t="s">
        <v>251</v>
      </c>
      <c r="K1" s="5" t="s">
        <v>56</v>
      </c>
      <c r="L1" s="5" t="s">
        <v>252</v>
      </c>
      <c r="M1" s="5" t="s">
        <v>253</v>
      </c>
      <c r="N1" s="5" t="s">
        <v>254</v>
      </c>
      <c r="O1" s="5" t="s">
        <v>255</v>
      </c>
      <c r="P1" s="5" t="s">
        <v>256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257</v>
      </c>
      <c r="B2" t="s">
        <v>1</v>
      </c>
      <c r="C2" t="s">
        <v>32</v>
      </c>
      <c r="D2">
        <v>1</v>
      </c>
      <c r="E2" t="s">
        <v>258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259</v>
      </c>
      <c r="B3" t="s">
        <v>1</v>
      </c>
      <c r="C3" t="s">
        <v>32</v>
      </c>
      <c r="D3">
        <v>1</v>
      </c>
      <c r="E3" t="s">
        <v>260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261</v>
      </c>
      <c r="B4" t="s">
        <v>1</v>
      </c>
      <c r="C4" t="s">
        <v>14</v>
      </c>
      <c r="D4">
        <v>1</v>
      </c>
      <c r="E4" t="s">
        <v>262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263</v>
      </c>
      <c r="B5" t="s">
        <v>1</v>
      </c>
      <c r="C5" t="s">
        <v>23</v>
      </c>
      <c r="D5">
        <v>1</v>
      </c>
      <c r="E5" t="s">
        <v>258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264</v>
      </c>
      <c r="B6" t="s">
        <v>1</v>
      </c>
      <c r="C6" t="s">
        <v>23</v>
      </c>
      <c r="D6">
        <v>1</v>
      </c>
      <c r="E6" t="s">
        <v>260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265</v>
      </c>
      <c r="B7" t="s">
        <v>1</v>
      </c>
      <c r="C7" t="s">
        <v>14</v>
      </c>
      <c r="D7">
        <v>1</v>
      </c>
      <c r="E7" t="s">
        <v>262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266</v>
      </c>
      <c r="B8" t="s">
        <v>1</v>
      </c>
      <c r="C8" t="s">
        <v>5</v>
      </c>
      <c r="D8">
        <v>1</v>
      </c>
      <c r="E8" t="s">
        <v>258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 x14ac:dyDescent="0.3">
      <c r="A9" t="s">
        <v>267</v>
      </c>
      <c r="B9" t="s">
        <v>1</v>
      </c>
      <c r="C9" t="s">
        <v>5</v>
      </c>
      <c r="D9">
        <v>1</v>
      </c>
      <c r="E9" t="s">
        <v>260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 x14ac:dyDescent="0.3">
      <c r="A10" t="s">
        <v>268</v>
      </c>
      <c r="B10" t="s">
        <v>1</v>
      </c>
      <c r="C10" t="s">
        <v>32</v>
      </c>
      <c r="D10">
        <v>2</v>
      </c>
      <c r="E10" t="s">
        <v>262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 x14ac:dyDescent="0.3">
      <c r="A11" t="s">
        <v>269</v>
      </c>
      <c r="B11" t="s">
        <v>1</v>
      </c>
      <c r="C11" t="s">
        <v>14</v>
      </c>
      <c r="D11">
        <v>2</v>
      </c>
      <c r="E11" t="s">
        <v>258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 x14ac:dyDescent="0.3">
      <c r="A12" t="s">
        <v>270</v>
      </c>
      <c r="B12" t="s">
        <v>1</v>
      </c>
      <c r="C12" t="s">
        <v>14</v>
      </c>
      <c r="D12">
        <v>2</v>
      </c>
      <c r="E12" t="s">
        <v>260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271</v>
      </c>
      <c r="B13" t="s">
        <v>1</v>
      </c>
      <c r="C13" t="s">
        <v>32</v>
      </c>
      <c r="D13">
        <v>2</v>
      </c>
      <c r="E13" t="s">
        <v>262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272</v>
      </c>
      <c r="B14" t="s">
        <v>1</v>
      </c>
      <c r="C14" t="s">
        <v>23</v>
      </c>
      <c r="D14">
        <v>2</v>
      </c>
      <c r="E14" t="s">
        <v>258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273</v>
      </c>
      <c r="B15" t="s">
        <v>1</v>
      </c>
      <c r="C15" t="s">
        <v>23</v>
      </c>
      <c r="D15">
        <v>2</v>
      </c>
      <c r="E15" t="s">
        <v>260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274</v>
      </c>
      <c r="B16" t="s">
        <v>1</v>
      </c>
      <c r="C16" t="s">
        <v>5</v>
      </c>
      <c r="D16">
        <v>2</v>
      </c>
      <c r="E16" t="s">
        <v>262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275</v>
      </c>
      <c r="B17" t="s">
        <v>1</v>
      </c>
      <c r="C17" t="s">
        <v>32</v>
      </c>
      <c r="D17">
        <v>3</v>
      </c>
      <c r="E17" t="s">
        <v>258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276</v>
      </c>
      <c r="B18" t="s">
        <v>1</v>
      </c>
      <c r="C18" t="s">
        <v>32</v>
      </c>
      <c r="D18">
        <v>3</v>
      </c>
      <c r="E18" t="s">
        <v>260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277</v>
      </c>
      <c r="B19" t="s">
        <v>1</v>
      </c>
      <c r="C19" t="s">
        <v>5</v>
      </c>
      <c r="D19">
        <v>2</v>
      </c>
      <c r="E19" t="s">
        <v>262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278</v>
      </c>
      <c r="B20" t="s">
        <v>1</v>
      </c>
      <c r="C20" t="s">
        <v>14</v>
      </c>
      <c r="D20">
        <v>3</v>
      </c>
      <c r="E20" t="s">
        <v>258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279</v>
      </c>
      <c r="B21" t="s">
        <v>1</v>
      </c>
      <c r="C21" t="s">
        <v>14</v>
      </c>
      <c r="D21">
        <v>3</v>
      </c>
      <c r="E21" t="s">
        <v>260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280</v>
      </c>
      <c r="B22" t="s">
        <v>1</v>
      </c>
      <c r="C22" t="s">
        <v>23</v>
      </c>
      <c r="D22">
        <v>3</v>
      </c>
      <c r="E22" t="s">
        <v>262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281</v>
      </c>
      <c r="B23" t="s">
        <v>1</v>
      </c>
      <c r="C23" t="s">
        <v>5</v>
      </c>
      <c r="D23">
        <v>3</v>
      </c>
      <c r="E23" t="s">
        <v>258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282</v>
      </c>
      <c r="B24" t="s">
        <v>1</v>
      </c>
      <c r="C24" t="s">
        <v>5</v>
      </c>
      <c r="D24">
        <v>3</v>
      </c>
      <c r="E24" t="s">
        <v>260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283</v>
      </c>
      <c r="B25" t="s">
        <v>1</v>
      </c>
      <c r="C25" t="s">
        <v>23</v>
      </c>
      <c r="D25">
        <v>3</v>
      </c>
      <c r="E25" t="s">
        <v>262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abSelected="1" topLeftCell="A46" workbookViewId="0">
      <selection activeCell="G58" sqref="G58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243</v>
      </c>
      <c r="B1" s="5" t="s">
        <v>284</v>
      </c>
      <c r="C1" s="5" t="s">
        <v>285</v>
      </c>
      <c r="D1" s="5" t="s">
        <v>58</v>
      </c>
      <c r="E1" s="5" t="s">
        <v>286</v>
      </c>
      <c r="F1" s="5" t="s">
        <v>287</v>
      </c>
      <c r="G1" s="5" t="s">
        <v>252</v>
      </c>
      <c r="H1" s="5" t="s">
        <v>288</v>
      </c>
      <c r="I1" s="5" t="s">
        <v>289</v>
      </c>
      <c r="J1" s="5" t="s">
        <v>290</v>
      </c>
      <c r="K1" s="5" t="s">
        <v>291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404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292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403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403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408</v>
      </c>
      <c r="E14" s="2" t="s">
        <v>409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405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405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405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410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410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411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412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413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406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407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414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414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414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415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416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417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418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419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419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420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421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422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286</v>
      </c>
      <c r="B1" s="5" t="s">
        <v>293</v>
      </c>
      <c r="C1" s="5" t="s">
        <v>242</v>
      </c>
      <c r="D1" s="5" t="s">
        <v>294</v>
      </c>
      <c r="E1" s="5" t="s">
        <v>295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0 -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0 -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2</v>
      </c>
      <c r="E152">
        <f t="shared" si="2"/>
        <v>199999.848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1</v>
      </c>
      <c r="E157">
        <f t="shared" si="2"/>
        <v>99999.842999999993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1</v>
      </c>
      <c r="E184">
        <f t="shared" si="2"/>
        <v>99999.816000000006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2</v>
      </c>
      <c r="E187">
        <f t="shared" si="2"/>
        <v>199999.81299999999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1</v>
      </c>
      <c r="E188">
        <f t="shared" si="2"/>
        <v>99999.812000000005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1</v>
      </c>
      <c r="E192">
        <f t="shared" si="2"/>
        <v>99999.808000000005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 x14ac:dyDescent="0.3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 x14ac:dyDescent="0.3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 x14ac:dyDescent="0.3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3</v>
      </c>
      <c r="E243">
        <f t="shared" si="3"/>
        <v>299999.75699999998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1</v>
      </c>
      <c r="E248">
        <f t="shared" si="3"/>
        <v>99999.751999999993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1</v>
      </c>
      <c r="E249">
        <f t="shared" si="3"/>
        <v>99999.751000000004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1</v>
      </c>
      <c r="E309">
        <f t="shared" si="4"/>
        <v>99999.691000000006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1</v>
      </c>
      <c r="E310">
        <f t="shared" si="4"/>
        <v>99999.69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1</v>
      </c>
      <c r="E365">
        <f t="shared" si="5"/>
        <v>99999.634999999995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296</v>
      </c>
      <c r="B1" s="5" t="s">
        <v>286</v>
      </c>
      <c r="C1" s="5" t="s">
        <v>293</v>
      </c>
      <c r="D1" s="5" t="s">
        <v>294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MATTEO ZAMBERLAN</v>
      </c>
      <c r="C2" t="str">
        <f>IF($A2="","",INDEX(ScorerData!$B$2:$B$481,MATCH(LARGE(ScorerData!$E$2:$E$481,$A2),ScorerData!$E$2:$E$481,0)))</f>
        <v>Vecchie Glorie Rovigo</v>
      </c>
      <c r="D2">
        <f>IF($A2="","",INDEX(ScorerData!$D$2:$D$481,MATCH(LARGE(ScorerData!$E$2:$E$481,$A2),ScorerData!$E$2:$E$481,0)))</f>
        <v>3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LEONARDO MAGGIO</v>
      </c>
      <c r="C3" t="str">
        <f>IF($A3="","",INDEX(ScorerData!$B$2:$B$481,MATCH(LARGE(ScorerData!$E$2:$E$481,$A3),ScorerData!$E$2:$E$481,0)))</f>
        <v>Leoni di Ricky</v>
      </c>
      <c r="D3">
        <f>IF($A3="","",INDEX(ScorerData!$D$2:$D$481,MATCH(LARGE(ScorerData!$E$2:$E$481,$A3),ScorerData!$E$2:$E$481,0)))</f>
        <v>3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DAVIDE ZAGHI</v>
      </c>
      <c r="C4" t="str">
        <f>IF($A4="","",INDEX(ScorerData!$B$2:$B$481,MATCH(LARGE(ScorerData!$E$2:$E$481,$A4),ScorerData!$E$2:$E$481,0)))</f>
        <v>Vecchie Glorie Rovigo</v>
      </c>
      <c r="D4">
        <f>IF($A4="","",INDEX(ScorerData!$D$2:$D$481,MATCH(LARGE(ScorerData!$E$2:$E$481,$A4),ScorerData!$E$2:$E$481,0)))</f>
        <v>2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IGNAZIO BADALÌ</v>
      </c>
      <c r="C5" t="str">
        <f>IF($A5="","",INDEX(ScorerData!$B$2:$B$481,MATCH(LARGE(ScorerData!$E$2:$E$481,$A5),ScorerData!$E$2:$E$481,0)))</f>
        <v>AS Bancatore</v>
      </c>
      <c r="D5">
        <f>IF($A5="","",INDEX(ScorerData!$D$2:$D$481,MATCH(LARGE(ScorerData!$E$2:$E$481,$A5),ScorerData!$E$2:$E$481,0)))</f>
        <v>2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LUCA CECCONELLO</v>
      </c>
      <c r="C6" t="str">
        <f>IF($A6="","",INDEX(ScorerData!$B$2:$B$481,MATCH(LARGE(ScorerData!$E$2:$E$481,$A6),ScorerData!$E$2:$E$481,0)))</f>
        <v>Boldò Glimt</v>
      </c>
      <c r="D6">
        <f>IF($A6="","",INDEX(ScorerData!$D$2:$D$481,MATCH(LARGE(ScorerData!$E$2:$E$481,$A6),ScorerData!$E$2:$E$481,0)))</f>
        <v>2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JACOPO VOLTOLINA</v>
      </c>
      <c r="C7" t="str">
        <f>IF($A7="","",INDEX(ScorerData!$B$2:$B$481,MATCH(LARGE(ScorerData!$E$2:$E$481,$A7),ScorerData!$E$2:$E$481,0)))</f>
        <v>Vecchie Glorie Rovigo</v>
      </c>
      <c r="D7">
        <f>IF($A7="","",INDEX(ScorerData!$D$2:$D$481,MATCH(LARGE(ScorerData!$E$2:$E$481,$A7),ScorerData!$E$2:$E$481,0)))</f>
        <v>1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MATTEO DALL'ARA</v>
      </c>
      <c r="C8" t="str">
        <f>IF($A8="","",INDEX(ScorerData!$B$2:$B$481,MATCH(LARGE(ScorerData!$E$2:$E$481,$A8),ScorerData!$E$2:$E$481,0)))</f>
        <v>Vecchie Glorie Rovigo</v>
      </c>
      <c r="D8">
        <f>IF($A8="","",INDEX(ScorerData!$D$2:$D$481,MATCH(LARGE(ScorerData!$E$2:$E$481,$A8),ScorerData!$E$2:$E$481,0)))</f>
        <v>1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LEONARDO FUSCO</v>
      </c>
      <c r="C9" t="str">
        <f>IF($A9="","",INDEX(ScorerData!$B$2:$B$481,MATCH(LARGE(ScorerData!$E$2:$E$481,$A9),ScorerData!$E$2:$E$481,0)))</f>
        <v>Vecchie Glorie Rovigo</v>
      </c>
      <c r="D9">
        <f>IF($A9="","",INDEX(ScorerData!$D$2:$D$481,MATCH(LARGE(ScorerData!$E$2:$E$481,$A9),ScorerData!$E$2:$E$481,0)))</f>
        <v>1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DENIS TIMPANARO</v>
      </c>
      <c r="C10" t="str">
        <f>IF($A10="","",INDEX(ScorerData!$B$2:$B$481,MATCH(LARGE(ScorerData!$E$2:$E$481,$A10),ScorerData!$E$2:$E$481,0)))</f>
        <v>Vecchie Glorie Rovigo</v>
      </c>
      <c r="D10">
        <f>IF($A10="","",INDEX(ScorerData!$D$2:$D$481,MATCH(LARGE(ScorerData!$E$2:$E$481,$A10),ScorerData!$E$2:$E$481,0)))</f>
        <v>1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DOMENICO IACOVINO</v>
      </c>
      <c r="C11" t="str">
        <f>IF($A11="","",INDEX(ScorerData!$B$2:$B$481,MATCH(LARGE(ScorerData!$E$2:$E$481,$A11),ScorerData!$E$2:$E$481,0)))</f>
        <v>Vecchie Glorie Rovigo</v>
      </c>
      <c r="D11">
        <f>IF($A11="","",INDEX(ScorerData!$D$2:$D$481,MATCH(LARGE(ScorerData!$E$2:$E$481,$A11),ScorerData!$E$2:$E$481,0)))</f>
        <v>1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MATTEO LONGO</v>
      </c>
      <c r="C12" t="str">
        <f>IF($A12="","",INDEX(ScorerData!$B$2:$B$481,MATCH(LARGE(ScorerData!$E$2:$E$481,$A12),ScorerData!$E$2:$E$481,0)))</f>
        <v>AS Bancatore</v>
      </c>
      <c r="D12">
        <f>IF($A12="","",INDEX(ScorerData!$D$2:$D$481,MATCH(LARGE(ScorerData!$E$2:$E$481,$A12),ScorerData!$E$2:$E$481,0)))</f>
        <v>1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GIANLUCA FREZZATI</v>
      </c>
      <c r="C13" t="str">
        <f>IF($A13="","",INDEX(ScorerData!$B$2:$B$481,MATCH(LARGE(ScorerData!$E$2:$E$481,$A13),ScorerData!$E$2:$E$481,0)))</f>
        <v>AS Bancatore</v>
      </c>
      <c r="D13">
        <f>IF($A13="","",INDEX(ScorerData!$D$2:$D$481,MATCH(LARGE(ScorerData!$E$2:$E$481,$A13),ScorerData!$E$2:$E$481,0)))</f>
        <v>1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NICOLA BARONI</v>
      </c>
      <c r="C14" t="str">
        <f>IF($A14="","",INDEX(ScorerData!$B$2:$B$481,MATCH(LARGE(ScorerData!$E$2:$E$481,$A14),ScorerData!$E$2:$E$481,0)))</f>
        <v>AS Bancatore</v>
      </c>
      <c r="D14">
        <f>IF($A14="","",INDEX(ScorerData!$D$2:$D$481,MATCH(LARGE(ScorerData!$E$2:$E$481,$A14),ScorerData!$E$2:$E$481,0)))</f>
        <v>1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ANDREI BARZAGHIDEANU</v>
      </c>
      <c r="C15" t="str">
        <f>IF($A15="","",INDEX(ScorerData!$B$2:$B$481,MATCH(LARGE(ScorerData!$E$2:$E$481,$A15),ScorerData!$E$2:$E$481,0)))</f>
        <v>Leoni di Ricky</v>
      </c>
      <c r="D15">
        <f>IF($A15="","",INDEX(ScorerData!$D$2:$D$481,MATCH(LARGE(ScorerData!$E$2:$E$481,$A15),ScorerData!$E$2:$E$481,0)))</f>
        <v>1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VLAD GABRIEL DUMINICA</v>
      </c>
      <c r="C16" t="str">
        <f>IF($A16="","",INDEX(ScorerData!$B$2:$B$481,MATCH(LARGE(ScorerData!$E$2:$E$481,$A16),ScorerData!$E$2:$E$481,0)))</f>
        <v>Leoni di Ricky</v>
      </c>
      <c r="D16">
        <f>IF($A16="","",INDEX(ScorerData!$D$2:$D$481,MATCH(LARGE(ScorerData!$E$2:$E$481,$A16),ScorerData!$E$2:$E$481,0)))</f>
        <v>1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EDOARDO CAVALLARI</v>
      </c>
      <c r="C17" t="str">
        <f>IF($A17="","",INDEX(ScorerData!$B$2:$B$481,MATCH(LARGE(ScorerData!$E$2:$E$481,$A17),ScorerData!$E$2:$E$481,0)))</f>
        <v>Barrio Boys</v>
      </c>
      <c r="D17">
        <f>IF($A17="","",INDEX(ScorerData!$D$2:$D$481,MATCH(LARGE(ScorerData!$E$2:$E$481,$A17),ScorerData!$E$2:$E$481,0)))</f>
        <v>1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MATTEO FERRO</v>
      </c>
      <c r="C18" t="str">
        <f>IF($A18="","",INDEX(ScorerData!$B$2:$B$481,MATCH(LARGE(ScorerData!$E$2:$E$481,$A18),ScorerData!$E$2:$E$481,0)))</f>
        <v>Barrio Boys</v>
      </c>
      <c r="D18">
        <f>IF($A18="","",INDEX(ScorerData!$D$2:$D$481,MATCH(LARGE(ScorerData!$E$2:$E$481,$A18),ScorerData!$E$2:$E$481,0)))</f>
        <v>1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NICOLA BRESCIANI</v>
      </c>
      <c r="C19" t="str">
        <f>IF($A19="","",INDEX(ScorerData!$B$2:$B$481,MATCH(LARGE(ScorerData!$E$2:$E$481,$A19),ScorerData!$E$2:$E$481,0)))</f>
        <v>All Blacks</v>
      </c>
      <c r="D19">
        <f>IF($A19="","",INDEX(ScorerData!$D$2:$D$481,MATCH(LARGE(ScorerData!$E$2:$E$481,$A19),ScorerData!$E$2:$E$481,0)))</f>
        <v>1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MATTIA AYRTON MARIOTTO</v>
      </c>
      <c r="C20" t="str">
        <f>IF($A20="","",INDEX(ScorerData!$B$2:$B$481,MATCH(LARGE(ScorerData!$E$2:$E$481,$A20),ScorerData!$E$2:$E$481,0)))</f>
        <v>Piadineria la Salsiccia</v>
      </c>
      <c r="D20">
        <f>IF($A20="","",INDEX(ScorerData!$D$2:$D$481,MATCH(LARGE(ScorerData!$E$2:$E$481,$A20),ScorerData!$E$2:$E$481,0)))</f>
        <v>1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293</v>
      </c>
      <c r="C1" s="5" t="s">
        <v>297</v>
      </c>
      <c r="D1" s="5" t="s">
        <v>298</v>
      </c>
      <c r="E1" s="5" t="s">
        <v>299</v>
      </c>
      <c r="F1" s="5" t="s">
        <v>300</v>
      </c>
      <c r="G1" s="5" t="s">
        <v>301</v>
      </c>
      <c r="H1" s="5" t="s">
        <v>302</v>
      </c>
      <c r="I1" s="5" t="s">
        <v>303</v>
      </c>
      <c r="J1" s="5" t="s">
        <v>304</v>
      </c>
      <c r="K1" s="5" t="s">
        <v>305</v>
      </c>
      <c r="L1" s="5" t="s">
        <v>306</v>
      </c>
      <c r="M1" s="5" t="s">
        <v>295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1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1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10</v>
      </c>
      <c r="J6">
        <f t="shared" si="0"/>
        <v>-10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-1000.006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1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10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10</v>
      </c>
      <c r="K7">
        <f>SUMIFS(Matches!$M$2:$M$25,Matches!$G$2:$G$25,$B7,Matches!$L$2:$L$25,"Complete")+SUMIFS(Matches!$N$2:$N$25,Matches!$H$2:$H$25,$B7,Matches!$L$2:$L$25,"Complete")</f>
        <v>3</v>
      </c>
      <c r="L7" s="2">
        <f>0</f>
        <v>0</v>
      </c>
      <c r="M7">
        <f t="shared" si="1"/>
        <v>3001009.9929999998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1</v>
      </c>
      <c r="D8">
        <f>COUNTIFS(Matches!$G$2:$G$25,$B8,Matches!$L$2:$L$25,"Complete",Matches!$M$2:$M$25,3)+COUNTIFS(Matches!$H$2:$H$25,$B8,Matches!$L$2:$L$25,"Complete",Matches!$N$2:$N$25,3)</f>
        <v>1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5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5</v>
      </c>
      <c r="K8">
        <f>SUMIFS(Matches!$M$2:$M$25,Matches!$G$2:$G$25,$B8,Matches!$L$2:$L$25,"Complete")+SUMIFS(Matches!$N$2:$N$25,Matches!$H$2:$H$25,$B8,Matches!$L$2:$L$25,"Complete")</f>
        <v>3</v>
      </c>
      <c r="L8" s="2">
        <f>0</f>
        <v>0</v>
      </c>
      <c r="M8">
        <f t="shared" si="1"/>
        <v>3000504.9920000001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1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5</v>
      </c>
      <c r="J9">
        <f t="shared" si="0"/>
        <v>-5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-500.00900000000001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1</v>
      </c>
      <c r="D10">
        <f>COUNTIFS(Matches!$G$2:$G$25,$B10,Matches!$L$2:$L$25,"Complete",Matches!$M$2:$M$25,3)+COUNTIFS(Matches!$H$2:$H$25,$B10,Matches!$L$2:$L$25,"Complete",Matches!$N$2:$N$25,3)</f>
        <v>1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5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5</v>
      </c>
      <c r="K10">
        <f>SUMIFS(Matches!$M$2:$M$25,Matches!$G$2:$G$25,$B10,Matches!$L$2:$L$25,"Complete")+SUMIFS(Matches!$N$2:$N$25,Matches!$H$2:$H$25,$B10,Matches!$L$2:$L$25,"Complete")</f>
        <v>3</v>
      </c>
      <c r="L10" s="2">
        <f>0</f>
        <v>0</v>
      </c>
      <c r="M10">
        <f t="shared" si="1"/>
        <v>3000504.99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1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1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5</v>
      </c>
      <c r="J11">
        <f t="shared" si="0"/>
        <v>-5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-500.01100000000002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1</v>
      </c>
      <c r="D12">
        <f>COUNTIFS(Matches!$G$2:$G$25,$B12,Matches!$L$2:$L$25,"Complete",Matches!$M$2:$M$25,3)+COUNTIFS(Matches!$H$2:$H$25,$B12,Matches!$L$2:$L$25,"Complete",Matches!$N$2:$N$25,3)</f>
        <v>1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2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2</v>
      </c>
      <c r="K12">
        <f>SUMIFS(Matches!$M$2:$M$25,Matches!$G$2:$G$25,$B12,Matches!$L$2:$L$25,"Complete")+SUMIFS(Matches!$N$2:$N$25,Matches!$H$2:$H$25,$B12,Matches!$L$2:$L$25,"Complete")</f>
        <v>3</v>
      </c>
      <c r="L12" s="2">
        <f>0</f>
        <v>0</v>
      </c>
      <c r="M12">
        <f t="shared" si="1"/>
        <v>3000201.9879999999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1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1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2</v>
      </c>
      <c r="J13">
        <f t="shared" si="0"/>
        <v>-2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-200.01300000000001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1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1</v>
      </c>
      <c r="I14">
        <f>SUMIFS(Matches!$J$2:$J$25,Matches!$G$2:$G$25,$B14,Matches!$L$2:$L$25,"Complete")+SUMIFS(Matches!$I$2:$I$25,Matches!$H$2:$H$25,$B14,Matches!$L$2:$L$25,"Complete")</f>
        <v>2</v>
      </c>
      <c r="J14">
        <f t="shared" si="0"/>
        <v>-1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-99.013999999999996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1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2</v>
      </c>
      <c r="I15">
        <f>SUMIFS(Matches!$J$2:$J$25,Matches!$G$2:$G$25,$B15,Matches!$L$2:$L$25,"Complete")+SUMIFS(Matches!$I$2:$I$25,Matches!$H$2:$H$25,$B15,Matches!$L$2:$L$25,"Complete")</f>
        <v>1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3</v>
      </c>
      <c r="L15" s="2">
        <f>0</f>
        <v>0</v>
      </c>
      <c r="M15">
        <f t="shared" si="1"/>
        <v>3000101.9849999999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1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1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1</v>
      </c>
      <c r="J16">
        <f t="shared" si="0"/>
        <v>-1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-100.01600000000001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1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3</v>
      </c>
      <c r="L17" s="2">
        <f>0</f>
        <v>0</v>
      </c>
      <c r="M17">
        <f t="shared" si="1"/>
        <v>3000100.983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296</v>
      </c>
      <c r="C1" s="5" t="s">
        <v>293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302</v>
      </c>
      <c r="K1" s="5" t="s">
        <v>303</v>
      </c>
      <c r="L1" s="5" t="s">
        <v>304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Vecchie Glorie Rovigo</v>
      </c>
      <c r="D6">
        <f>INDEX(StandingsData!$K$6:$K$9,MATCH(LARGE(StandingsData!$M$6:$M$9,1),StandingsData!$M$6:$M$9,0))</f>
        <v>3</v>
      </c>
      <c r="E6">
        <f>INDEX(StandingsData!$C$6:$C$9,MATCH(LARGE(StandingsData!$M$6:$M$9,1),StandingsData!$M$6:$M$9,0))</f>
        <v>1</v>
      </c>
      <c r="F6">
        <f>INDEX(StandingsData!$D$6:$D$9,MATCH(LARGE(StandingsData!$M$6:$M$9,1),StandingsData!$M$6:$M$9,0))</f>
        <v>1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10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AS Bancatore</v>
      </c>
      <c r="D7">
        <f>INDEX(StandingsData!$K$6:$K$9,MATCH(LARGE(StandingsData!$M$6:$M$9,2),StandingsData!$M$6:$M$9,0))</f>
        <v>3</v>
      </c>
      <c r="E7">
        <f>INDEX(StandingsData!$C$6:$C$9,MATCH(LARGE(StandingsData!$M$6:$M$9,2),StandingsData!$M$6:$M$9,0))</f>
        <v>1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5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5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1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5</v>
      </c>
      <c r="L8">
        <f>INDEX(StandingsData!$J$6:$J$9,MATCH(LARGE(StandingsData!$M$6:$M$9,3),StandingsData!$M$6:$M$9,0))</f>
        <v>-5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1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1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10</v>
      </c>
      <c r="L9">
        <f>INDEX(StandingsData!$J$6:$J$9,MATCH(LARGE(StandingsData!$M$6:$M$9,4),StandingsData!$M$6:$M$9,0))</f>
        <v>-10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3</v>
      </c>
      <c r="E10">
        <f>INDEX(StandingsData!$C$10:$C$13,MATCH(LARGE(StandingsData!$M$10:$M$13,1),StandingsData!$M$10:$M$13,0))</f>
        <v>1</v>
      </c>
      <c r="F10">
        <f>INDEX(StandingsData!$D$10:$D$13,MATCH(LARGE(StandingsData!$M$10:$M$13,1),StandingsData!$M$10:$M$13,0))</f>
        <v>1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5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5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Barrio Boys</v>
      </c>
      <c r="D11">
        <f>INDEX(StandingsData!$K$10:$K$13,MATCH(LARGE(StandingsData!$M$10:$M$13,2),StandingsData!$M$10:$M$13,0))</f>
        <v>3</v>
      </c>
      <c r="E11">
        <f>INDEX(StandingsData!$C$10:$C$13,MATCH(LARGE(StandingsData!$M$10:$M$13,2),StandingsData!$M$10:$M$13,0))</f>
        <v>1</v>
      </c>
      <c r="F11">
        <f>INDEX(StandingsData!$D$10:$D$13,MATCH(LARGE(StandingsData!$M$10:$M$13,2),StandingsData!$M$10:$M$13,0))</f>
        <v>1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2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2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Cani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1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1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2</v>
      </c>
      <c r="L12">
        <f>INDEX(StandingsData!$J$10:$J$13,MATCH(LARGE(StandingsData!$M$10:$M$13,3),StandingsData!$M$10:$M$13,0))</f>
        <v>-2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Pink 5ive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1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1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5</v>
      </c>
      <c r="L13">
        <f>INDEX(StandingsData!$J$10:$J$13,MATCH(LARGE(StandingsData!$M$10:$M$13,4),StandingsData!$M$10:$M$13,0))</f>
        <v>-5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3</v>
      </c>
      <c r="E14">
        <f>INDEX(StandingsData!$C$14:$C$17,MATCH(LARGE(StandingsData!$M$14:$M$17,1),StandingsData!$M$14:$M$17,0))</f>
        <v>1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2</v>
      </c>
      <c r="K14">
        <f>INDEX(StandingsData!$I$14:$I$17,MATCH(LARGE(StandingsData!$M$14:$M$17,1),StandingsData!$M$14:$M$17,0))</f>
        <v>1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3</v>
      </c>
      <c r="E15">
        <f>INDEX(StandingsData!$C$14:$C$17,MATCH(LARGE(StandingsData!$M$14:$M$17,2),StandingsData!$M$14:$M$17,0))</f>
        <v>1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1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1</v>
      </c>
      <c r="K16">
        <f>INDEX(StandingsData!$I$14:$I$17,MATCH(LARGE(StandingsData!$M$14:$M$17,3),StandingsData!$M$14:$M$17,0))</f>
        <v>2</v>
      </c>
      <c r="L16">
        <f>INDEX(StandingsData!$J$14:$J$17,MATCH(LARGE(StandingsData!$M$14:$M$17,3),StandingsData!$M$14:$M$17,0))</f>
        <v>-1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1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1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1</v>
      </c>
      <c r="L17">
        <f>INDEX(StandingsData!$J$14:$J$17,MATCH(LARGE(StandingsData!$M$14:$M$17,4),StandingsData!$M$14:$M$17,0))</f>
        <v>-1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243</v>
      </c>
      <c r="B1" s="5" t="s">
        <v>244</v>
      </c>
      <c r="C1" s="5" t="s">
        <v>1</v>
      </c>
      <c r="D1" s="5" t="s">
        <v>245</v>
      </c>
      <c r="E1" s="5" t="s">
        <v>246</v>
      </c>
      <c r="F1" s="5" t="s">
        <v>247</v>
      </c>
      <c r="G1" s="5" t="s">
        <v>248</v>
      </c>
      <c r="H1" s="5" t="s">
        <v>249</v>
      </c>
      <c r="I1" s="5" t="s">
        <v>250</v>
      </c>
      <c r="J1" s="5" t="s">
        <v>251</v>
      </c>
      <c r="K1" s="5" t="s">
        <v>56</v>
      </c>
      <c r="L1" s="5" t="s">
        <v>255</v>
      </c>
      <c r="M1" s="5" t="s">
        <v>256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313</v>
      </c>
      <c r="B2" t="s">
        <v>314</v>
      </c>
      <c r="E2" t="s">
        <v>258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315</v>
      </c>
      <c r="B3" t="s">
        <v>314</v>
      </c>
      <c r="E3" t="s">
        <v>260</v>
      </c>
      <c r="F3" s="12" t="s">
        <v>316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317</v>
      </c>
      <c r="B4" t="s">
        <v>314</v>
      </c>
      <c r="E4" t="s">
        <v>258</v>
      </c>
      <c r="F4" s="12" t="s">
        <v>318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319</v>
      </c>
      <c r="B5" t="s">
        <v>314</v>
      </c>
      <c r="E5" t="s">
        <v>260</v>
      </c>
      <c r="F5" s="12" t="s">
        <v>318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320</v>
      </c>
      <c r="B6" t="s">
        <v>321</v>
      </c>
      <c r="E6" t="s">
        <v>258</v>
      </c>
      <c r="F6" s="12" t="s">
        <v>322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323</v>
      </c>
      <c r="B7" t="s">
        <v>321</v>
      </c>
      <c r="E7" t="s">
        <v>260</v>
      </c>
      <c r="F7" s="12" t="s">
        <v>322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324</v>
      </c>
      <c r="B8" t="s">
        <v>325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243</v>
      </c>
      <c r="B1" s="5" t="s">
        <v>284</v>
      </c>
      <c r="C1" s="5" t="s">
        <v>285</v>
      </c>
      <c r="D1" s="5" t="s">
        <v>58</v>
      </c>
      <c r="E1" s="5" t="s">
        <v>286</v>
      </c>
      <c r="F1" s="5" t="s">
        <v>287</v>
      </c>
      <c r="G1" s="5" t="s">
        <v>252</v>
      </c>
      <c r="H1" s="5" t="s">
        <v>288</v>
      </c>
      <c r="I1" s="5" t="s">
        <v>289</v>
      </c>
      <c r="J1" s="5" t="s">
        <v>290</v>
      </c>
      <c r="K1" s="5" t="s">
        <v>291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326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2" sqref="A2:C6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388</v>
      </c>
      <c r="B1" s="17" t="s">
        <v>389</v>
      </c>
      <c r="C1" s="17" t="s">
        <v>390</v>
      </c>
    </row>
    <row r="2" spans="1:3" x14ac:dyDescent="0.3">
      <c r="A2" s="18"/>
      <c r="B2" s="18"/>
      <c r="C2" s="19"/>
    </row>
    <row r="3" spans="1:3" x14ac:dyDescent="0.3">
      <c r="A3" s="18"/>
      <c r="B3" s="18"/>
      <c r="C3" s="19"/>
    </row>
    <row r="4" spans="1:3" x14ac:dyDescent="0.3">
      <c r="A4" s="18"/>
      <c r="B4" s="18"/>
      <c r="C4" s="19"/>
    </row>
    <row r="5" spans="1:3" x14ac:dyDescent="0.3">
      <c r="A5" s="18"/>
      <c r="B5" s="18"/>
      <c r="C5" s="19"/>
    </row>
    <row r="6" spans="1:3" x14ac:dyDescent="0.3">
      <c r="A6" s="18"/>
      <c r="B6" s="18"/>
      <c r="C6" s="19"/>
    </row>
    <row r="7" spans="1:3" x14ac:dyDescent="0.3">
      <c r="A7" s="18"/>
      <c r="B7" s="18"/>
      <c r="C7" s="19"/>
    </row>
    <row r="8" spans="1:3" x14ac:dyDescent="0.3">
      <c r="A8" s="18"/>
      <c r="B8" s="18"/>
      <c r="C8" s="19"/>
    </row>
    <row r="9" spans="1:3" x14ac:dyDescent="0.3">
      <c r="A9" s="18"/>
      <c r="B9" s="18"/>
      <c r="C9" s="19"/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327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328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329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330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331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DANIIL YAKIMENKO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332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333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334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335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336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337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338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339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340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341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342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343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345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1"/>
      <c r="N3" s="22" t="s">
        <v>346</v>
      </c>
      <c r="O3" s="21"/>
      <c r="P3" s="21"/>
      <c r="Q3" s="2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347</v>
      </c>
      <c r="B4" s="7" t="s">
        <v>348</v>
      </c>
      <c r="C4" s="7" t="s">
        <v>349</v>
      </c>
      <c r="D4" s="7" t="s">
        <v>350</v>
      </c>
      <c r="E4" s="7" t="s">
        <v>351</v>
      </c>
      <c r="F4" s="7" t="s">
        <v>352</v>
      </c>
      <c r="G4" s="7" t="s">
        <v>353</v>
      </c>
      <c r="H4" s="7" t="s">
        <v>354</v>
      </c>
      <c r="I4" s="7" t="s">
        <v>355</v>
      </c>
      <c r="J4" s="7" t="s">
        <v>356</v>
      </c>
      <c r="K4" s="7" t="s">
        <v>357</v>
      </c>
      <c r="L4" s="7" t="s">
        <v>358</v>
      </c>
      <c r="M4" s="1"/>
      <c r="N4" s="7" t="s">
        <v>348</v>
      </c>
      <c r="O4" s="7" t="s">
        <v>359</v>
      </c>
      <c r="P4" s="7" t="s">
        <v>349</v>
      </c>
      <c r="Q4" s="7" t="s">
        <v>360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>MATTEO ZAMBERLAN</v>
      </c>
      <c r="P5" s="1" t="str">
        <f>IF(TopScorers!C2="","",TopScorers!C2)</f>
        <v>Vecchie Glorie Rovigo</v>
      </c>
      <c r="Q5" s="1">
        <f>IF(TopScorers!D2="","",TopScorers!D2)</f>
        <v>3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>LEONARDO MAGGIO</v>
      </c>
      <c r="P6" s="1" t="str">
        <f>IF(TopScorers!C3="","",TopScorers!C3)</f>
        <v>Leoni di Ricky</v>
      </c>
      <c r="Q6" s="1">
        <f>IF(TopScorers!D3="","",TopScorers!D3)</f>
        <v>3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>DAVIDE ZAGHI</v>
      </c>
      <c r="P7" s="1" t="str">
        <f>IF(TopScorers!C4="","",TopScorers!C4)</f>
        <v>Vecchie Glorie Rovigo</v>
      </c>
      <c r="Q7" s="1">
        <f>IF(TopScorers!D4="","",TopScorers!D4)</f>
        <v>2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>IGNAZIO BADALÌ</v>
      </c>
      <c r="P8" s="1" t="str">
        <f>IF(TopScorers!C5="","",TopScorers!C5)</f>
        <v>AS Bancatore</v>
      </c>
      <c r="Q8" s="1">
        <f>IF(TopScorers!D5="","",TopScorers!D5)</f>
        <v>2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Vecchie Glorie Rovigo</v>
      </c>
      <c r="D9" s="1">
        <f>Standings!D6</f>
        <v>3</v>
      </c>
      <c r="E9" s="1">
        <f>Standings!E6</f>
        <v>1</v>
      </c>
      <c r="F9" s="1">
        <f>Standings!F6</f>
        <v>1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10</v>
      </c>
      <c r="K9" s="1">
        <f>Standings!K6</f>
        <v>0</v>
      </c>
      <c r="L9" s="1">
        <f>Standings!L6</f>
        <v>10</v>
      </c>
      <c r="M9" s="1"/>
      <c r="N9" s="1">
        <f>IF(TopScorers!A6="","",TopScorers!A6)</f>
        <v>5</v>
      </c>
      <c r="O9" s="1" t="str">
        <f>IF(TopScorers!B6="","",TopScorers!B6)</f>
        <v>LUCA CECCONELLO</v>
      </c>
      <c r="P9" s="1" t="str">
        <f>IF(TopScorers!C6="","",TopScorers!C6)</f>
        <v>Boldò Glimt</v>
      </c>
      <c r="Q9" s="1">
        <f>IF(TopScorers!D6="","",TopScorers!D6)</f>
        <v>2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AS Bancatore</v>
      </c>
      <c r="D10" s="1">
        <f>Standings!D7</f>
        <v>3</v>
      </c>
      <c r="E10" s="1">
        <f>Standings!E7</f>
        <v>1</v>
      </c>
      <c r="F10" s="1">
        <f>Standings!F7</f>
        <v>1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5</v>
      </c>
      <c r="K10" s="1">
        <f>Standings!K7</f>
        <v>0</v>
      </c>
      <c r="L10" s="1">
        <f>Standings!L7</f>
        <v>5</v>
      </c>
      <c r="M10" s="1"/>
      <c r="N10" s="1">
        <f>IF(TopScorers!A7="","",TopScorers!A7)</f>
        <v>6</v>
      </c>
      <c r="O10" s="1" t="str">
        <f>IF(TopScorers!B7="","",TopScorers!B7)</f>
        <v>JACOPO VOLTOLINA</v>
      </c>
      <c r="P10" s="1" t="str">
        <f>IF(TopScorers!C7="","",TopScorers!C7)</f>
        <v>Vecchie Glorie Rovigo</v>
      </c>
      <c r="Q10" s="1">
        <f>IF(TopScorers!D7="","",TopScorers!D7)</f>
        <v>1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0</v>
      </c>
      <c r="E11" s="1">
        <f>Standings!E8</f>
        <v>1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1</v>
      </c>
      <c r="J11" s="1">
        <f>Standings!J8</f>
        <v>0</v>
      </c>
      <c r="K11" s="1">
        <f>Standings!K8</f>
        <v>5</v>
      </c>
      <c r="L11" s="1">
        <f>Standings!L8</f>
        <v>-5</v>
      </c>
      <c r="M11" s="1"/>
      <c r="N11" s="1">
        <f>IF(TopScorers!A8="","",TopScorers!A8)</f>
        <v>7</v>
      </c>
      <c r="O11" s="1" t="str">
        <f>IF(TopScorers!B8="","",TopScorers!B8)</f>
        <v>MATTEO DALL'ARA</v>
      </c>
      <c r="P11" s="1" t="str">
        <f>IF(TopScorers!C8="","",TopScorers!C8)</f>
        <v>Vecchie Glorie Rovigo</v>
      </c>
      <c r="Q11" s="1">
        <f>IF(TopScorers!D8="","",TopScorers!D8)</f>
        <v>1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1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1</v>
      </c>
      <c r="J12" s="1">
        <f>Standings!J9</f>
        <v>0</v>
      </c>
      <c r="K12" s="1">
        <f>Standings!K9</f>
        <v>10</v>
      </c>
      <c r="L12" s="1">
        <f>Standings!L9</f>
        <v>-10</v>
      </c>
      <c r="M12" s="1"/>
      <c r="N12" s="1">
        <f>IF(TopScorers!A9="","",TopScorers!A9)</f>
        <v>8</v>
      </c>
      <c r="O12" s="1" t="str">
        <f>IF(TopScorers!B9="","",TopScorers!B9)</f>
        <v>LEONARDO FUSCO</v>
      </c>
      <c r="P12" s="1" t="str">
        <f>IF(TopScorers!C9="","",TopScorers!C9)</f>
        <v>Vecchie Glorie Rovigo</v>
      </c>
      <c r="Q12" s="1">
        <f>IF(TopScorers!D9="","",TopScorers!D9)</f>
        <v>1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3</v>
      </c>
      <c r="E13" s="1">
        <f>Standings!E10</f>
        <v>1</v>
      </c>
      <c r="F13" s="1">
        <f>Standings!F10</f>
        <v>1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5</v>
      </c>
      <c r="K13" s="1">
        <f>Standings!K10</f>
        <v>0</v>
      </c>
      <c r="L13" s="1">
        <f>Standings!L10</f>
        <v>5</v>
      </c>
      <c r="M13" s="1"/>
      <c r="N13" s="1">
        <f>IF(TopScorers!A10="","",TopScorers!A10)</f>
        <v>9</v>
      </c>
      <c r="O13" s="1" t="str">
        <f>IF(TopScorers!B10="","",TopScorers!B10)</f>
        <v>DENIS TIMPANARO</v>
      </c>
      <c r="P13" s="1" t="str">
        <f>IF(TopScorers!C10="","",TopScorers!C10)</f>
        <v>Vecchie Glorie Rovigo</v>
      </c>
      <c r="Q13" s="1">
        <f>IF(TopScorers!D10="","",TopScorers!D10)</f>
        <v>1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Barrio Boys</v>
      </c>
      <c r="D14" s="1">
        <f>Standings!D11</f>
        <v>3</v>
      </c>
      <c r="E14" s="1">
        <f>Standings!E11</f>
        <v>1</v>
      </c>
      <c r="F14" s="1">
        <f>Standings!F11</f>
        <v>1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2</v>
      </c>
      <c r="K14" s="1">
        <f>Standings!K11</f>
        <v>0</v>
      </c>
      <c r="L14" s="1">
        <f>Standings!L11</f>
        <v>2</v>
      </c>
      <c r="M14" s="1"/>
      <c r="N14" s="1">
        <f>IF(TopScorers!A11="","",TopScorers!A11)</f>
        <v>10</v>
      </c>
      <c r="O14" s="1" t="str">
        <f>IF(TopScorers!B11="","",TopScorers!B11)</f>
        <v>DOMENICO IACOVINO</v>
      </c>
      <c r="P14" s="1" t="str">
        <f>IF(TopScorers!C11="","",TopScorers!C11)</f>
        <v>Vecchie Glorie Rovigo</v>
      </c>
      <c r="Q14" s="1">
        <f>IF(TopScorers!D11="","",TopScorers!D11)</f>
        <v>1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Cani</v>
      </c>
      <c r="D15" s="1">
        <f>Standings!D12</f>
        <v>0</v>
      </c>
      <c r="E15" s="1">
        <f>Standings!E12</f>
        <v>1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1</v>
      </c>
      <c r="J15" s="1">
        <f>Standings!J12</f>
        <v>0</v>
      </c>
      <c r="K15" s="1">
        <f>Standings!K12</f>
        <v>2</v>
      </c>
      <c r="L15" s="1">
        <f>Standings!L12</f>
        <v>-2</v>
      </c>
      <c r="M15" s="1"/>
      <c r="N15" s="1">
        <f>IF(TopScorers!A12="","",TopScorers!A12)</f>
        <v>11</v>
      </c>
      <c r="O15" s="1" t="str">
        <f>IF(TopScorers!B12="","",TopScorers!B12)</f>
        <v>MATTEO LONGO</v>
      </c>
      <c r="P15" s="1" t="str">
        <f>IF(TopScorers!C12="","",TopScorers!C12)</f>
        <v>AS Bancatore</v>
      </c>
      <c r="Q15" s="1">
        <f>IF(TopScorers!D12="","",TopScorers!D12)</f>
        <v>1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Pink 5ive</v>
      </c>
      <c r="D16" s="1">
        <f>Standings!D13</f>
        <v>0</v>
      </c>
      <c r="E16" s="1">
        <f>Standings!E13</f>
        <v>1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1</v>
      </c>
      <c r="J16" s="1">
        <f>Standings!J13</f>
        <v>0</v>
      </c>
      <c r="K16" s="1">
        <f>Standings!K13</f>
        <v>5</v>
      </c>
      <c r="L16" s="1">
        <f>Standings!L13</f>
        <v>-5</v>
      </c>
      <c r="M16" s="1"/>
      <c r="N16" s="1">
        <f>IF(TopScorers!A13="","",TopScorers!A13)</f>
        <v>12</v>
      </c>
      <c r="O16" s="1" t="str">
        <f>IF(TopScorers!B13="","",TopScorers!B13)</f>
        <v>GIANLUCA FREZZATI</v>
      </c>
      <c r="P16" s="1" t="str">
        <f>IF(TopScorers!C13="","",TopScorers!C13)</f>
        <v>AS Bancatore</v>
      </c>
      <c r="Q16" s="1">
        <f>IF(TopScorers!D13="","",TopScorers!D13)</f>
        <v>1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3</v>
      </c>
      <c r="E17" s="1">
        <f>Standings!E14</f>
        <v>1</v>
      </c>
      <c r="F17" s="1">
        <f>Standings!F14</f>
        <v>1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2</v>
      </c>
      <c r="K17" s="1">
        <f>Standings!K14</f>
        <v>1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NICOLA BARONI</v>
      </c>
      <c r="P17" s="1" t="str">
        <f>IF(TopScorers!C14="","",TopScorers!C14)</f>
        <v>AS Bancatore</v>
      </c>
      <c r="Q17" s="1">
        <f>IF(TopScorers!D14="","",TopScorers!D14)</f>
        <v>1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3</v>
      </c>
      <c r="E18" s="1">
        <f>Standings!E15</f>
        <v>1</v>
      </c>
      <c r="F18" s="1">
        <f>Standings!F15</f>
        <v>1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ANDREI BARZAGHIDEANU</v>
      </c>
      <c r="P18" s="1" t="str">
        <f>IF(TopScorers!C15="","",TopScorers!C15)</f>
        <v>Leoni di Ricky</v>
      </c>
      <c r="Q18" s="1">
        <f>IF(TopScorers!D15="","",TopScorers!D15)</f>
        <v>1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0</v>
      </c>
      <c r="E19" s="1">
        <f>Standings!E16</f>
        <v>1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1</v>
      </c>
      <c r="J19" s="1">
        <f>Standings!J16</f>
        <v>1</v>
      </c>
      <c r="K19" s="1">
        <f>Standings!K16</f>
        <v>2</v>
      </c>
      <c r="L19" s="1">
        <f>Standings!L16</f>
        <v>-1</v>
      </c>
      <c r="M19" s="1"/>
      <c r="N19" s="1">
        <f>IF(TopScorers!A16="","",TopScorers!A16)</f>
        <v>15</v>
      </c>
      <c r="O19" s="1" t="str">
        <f>IF(TopScorers!B16="","",TopScorers!B16)</f>
        <v>VLAD GABRIEL DUMINICA</v>
      </c>
      <c r="P19" s="1" t="str">
        <f>IF(TopScorers!C16="","",TopScorers!C16)</f>
        <v>Leoni di Ricky</v>
      </c>
      <c r="Q19" s="1">
        <f>IF(TopScorers!D16="","",TopScorers!D16)</f>
        <v>1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0</v>
      </c>
      <c r="E20" s="1">
        <f>Standings!E17</f>
        <v>1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1</v>
      </c>
      <c r="J20" s="1">
        <f>Standings!J17</f>
        <v>0</v>
      </c>
      <c r="K20" s="1">
        <f>Standings!K17</f>
        <v>1</v>
      </c>
      <c r="L20" s="1">
        <f>Standings!L17</f>
        <v>-1</v>
      </c>
      <c r="M20" s="1"/>
      <c r="N20" s="1">
        <f>IF(TopScorers!A17="","",TopScorers!A17)</f>
        <v>16</v>
      </c>
      <c r="O20" s="1" t="str">
        <f>IF(TopScorers!B17="","",TopScorers!B17)</f>
        <v>EDOARDO CAVALLARI</v>
      </c>
      <c r="P20" s="1" t="str">
        <f>IF(TopScorers!C17="","",TopScorers!C17)</f>
        <v>Barrio Boys</v>
      </c>
      <c r="Q20" s="1">
        <f>IF(TopScorers!D17="","",TopScorers!D17)</f>
        <v>1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MATTEO FERRO</v>
      </c>
      <c r="P21" s="1" t="str">
        <f>IF(TopScorers!C18="","",TopScorers!C18)</f>
        <v>Barrio Boys</v>
      </c>
      <c r="Q21" s="1">
        <f>IF(TopScorers!D18="","",TopScorers!D18)</f>
        <v>1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NICOLA BRESCIANI</v>
      </c>
      <c r="P22" s="5" t="str">
        <f>IF(TopScorers!C19="","",TopScorers!C19)</f>
        <v>All Blacks</v>
      </c>
      <c r="Q22" s="1">
        <f>IF(TopScorers!D19="","",TopScorers!D19)</f>
        <v>1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361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362</v>
      </c>
      <c r="B24" s="7" t="s">
        <v>363</v>
      </c>
      <c r="C24" s="7" t="s">
        <v>347</v>
      </c>
      <c r="D24" s="7" t="s">
        <v>364</v>
      </c>
      <c r="E24" s="7" t="s">
        <v>365</v>
      </c>
      <c r="F24" s="7" t="s">
        <v>366</v>
      </c>
      <c r="G24" s="7" t="s">
        <v>367</v>
      </c>
      <c r="H24" s="7" t="s">
        <v>368</v>
      </c>
      <c r="I24" s="7" t="s">
        <v>369</v>
      </c>
      <c r="J24" s="7" t="s">
        <v>370</v>
      </c>
      <c r="K24" s="7" t="s">
        <v>371</v>
      </c>
      <c r="L24" s="7" t="s">
        <v>372</v>
      </c>
      <c r="M24" s="7" t="s">
        <v>373</v>
      </c>
      <c r="N24" s="7" t="s">
        <v>374</v>
      </c>
      <c r="O24" s="7" t="s">
        <v>375</v>
      </c>
      <c r="P24" s="7" t="s">
        <v>376</v>
      </c>
      <c r="Q24" s="7" t="s">
        <v>377</v>
      </c>
      <c r="R24" s="7" t="s">
        <v>378</v>
      </c>
      <c r="S24" s="7" t="s">
        <v>379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380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362</v>
      </c>
      <c r="B52" s="7" t="s">
        <v>363</v>
      </c>
      <c r="C52" s="7" t="s">
        <v>347</v>
      </c>
      <c r="D52" s="7" t="s">
        <v>364</v>
      </c>
      <c r="E52" s="7" t="s">
        <v>365</v>
      </c>
      <c r="F52" s="7" t="s">
        <v>366</v>
      </c>
      <c r="G52" s="1" t="s">
        <v>367</v>
      </c>
      <c r="H52" s="1" t="s">
        <v>368</v>
      </c>
      <c r="I52" s="1" t="s">
        <v>369</v>
      </c>
      <c r="J52" s="1" t="s">
        <v>370</v>
      </c>
      <c r="K52" s="1" t="s">
        <v>371</v>
      </c>
      <c r="L52" s="1" t="s">
        <v>375</v>
      </c>
      <c r="M52" s="1" t="s">
        <v>376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381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362</v>
      </c>
      <c r="B62" s="7" t="s">
        <v>382</v>
      </c>
      <c r="C62" s="7" t="s">
        <v>383</v>
      </c>
      <c r="D62" s="7" t="s">
        <v>384</v>
      </c>
      <c r="E62" s="7" t="s">
        <v>359</v>
      </c>
      <c r="F62" s="7" t="s">
        <v>385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2026-07-04T13:36:20Z</dcterms:modified>
</cp:coreProperties>
</file>