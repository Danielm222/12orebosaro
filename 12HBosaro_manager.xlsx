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2FB78425-66EF-4EE0-88A7-4ACDF06F52AB}" xr6:coauthVersionLast="47" xr6:coauthVersionMax="47" xr10:uidLastSave="{00000000-0000-0000-0000-000000000000}"/>
  <bookViews>
    <workbookView xWindow="-108" yWindow="-108" windowWidth="23256" windowHeight="12456" firstSheet="7" activeTab="1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16" i="13" l="1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423" i="15" l="1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F19" i="7"/>
  <c r="G19" i="7"/>
  <c r="D160" i="15"/>
  <c r="G99" i="7"/>
  <c r="F99" i="7"/>
  <c r="F18" i="7"/>
  <c r="G18" i="7"/>
  <c r="F15" i="7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70" i="8"/>
  <c r="D367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D460" i="8" l="1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<sst xmlns="http://schemas.openxmlformats.org/spreadsheetml/2006/main" count="899" uniqueCount="412">
  <si>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</si>
  <si>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</si>
  <si>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</si>
  <si>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</si>
  <si>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</si>
  <si>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</si>
  <si>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</si>
  <si>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</si>
  <si>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</si>
  <si>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</si>
  <si>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</si>
  <si>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</si>
  <si>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</si>
  <si>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</si>
  <si>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</si>
  <si>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</si>
  <si>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</si>
  <si>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</si>
  <si>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</si>
  <si>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</si>
  <si>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</si>
  <si>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</si>
  <si>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</si>
  <si>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</si>
  <si>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</si>
  <si>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</si>
  <si>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</si>
  <si>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</si>
  <si>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</si>
  <si>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</si>
  <si>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</si>
  <si>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</si>
  <si>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</si>
  <si>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</si>
  <si>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</si>
  <si>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</si>
  <si>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</si>
  <si>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</si>
  <si>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</si>
  <si>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</si>
  <si>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</si>
  <si>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</si>
  <si>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</si>
  <si>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</si>
  <si>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</si>
  <si>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</si>
  <si>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</si>
  <si>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</si>
  <si>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</si>
  <si>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</si>
  <si>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</si>
  <si>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</si>
  <si>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</si>
  <si>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</si>
  <si>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</si>
  <si>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</si>
  <si>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</si>
  <si>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</si>
  <si>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</si>
  <si>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</si>
  <si>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</si>
  <si>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</si>
  <si>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</si>
  <si>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</si>
  <si>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</si>
  <si>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</si>
  <si>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</si>
  <si>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</si>
  <si>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</si>
  <si>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</si>
  <si>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</si>
  <si>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</si>
  <si>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</si>
  <si>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</si>
  <si>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</si>
  <si>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</si>
  <si>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</si>
  <si>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</si>
  <si>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</si>
  <si>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</si>
  <si>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</si>
  <si>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</si>
  <si>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</si>
  <si>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</si>
  <si>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</si>
  <si>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</si>
  <si>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</si>
  <si>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</si>
  <si>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</si>
  <si>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</si>
  <si>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</si>
  <si>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</si>
  <si>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</si>
  <si>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</si>
  <si>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</si>
  <si>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</si>
  <si>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</si>
  <si>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</si>
  <si>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</si>
  <si>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</si>
  <si>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</si>
  <si>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</si>
  <si>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</si>
  <si>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</si>
  <si>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</si>
  <si>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</si>
  <si>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</si>
  <si>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</si>
  <si>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</si>
  <si>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</si>
  <si>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</si>
  <si>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</si>
  <si>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</si>
  <si>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</si>
  <si>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</si>
  <si>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</si>
  <si>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</si>
  <si>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</si>
  <si>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</si>
  <si>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</si>
  <si>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</si>
  <si>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</si>
  <si>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</si>
  <si>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</si>
  <si>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</si>
  <si>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</si>
  <si>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</si>
  <si>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</si>
  <si>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</si>
  <si>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</si>
  <si>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</si>
  <si>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</si>
  <si>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</si>
  <si>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</si>
  <si>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</si>
  <si>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</si>
  <si>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</si>
  <si>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</si>
  <si>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</si>
  <si>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</si>
  <si>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</si>
  <si>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</si>
  <si>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</si>
  <si>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</si>
  <si>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</si>
  <si>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</si>
  <si>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</si>
  <si>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</si>
  <si>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</si>
  <si>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</si>
  <si>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</si>
  <si>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</si>
  <si>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</si>
  <si>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</si>
  <si>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</si>
  <si>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</si>
  <si>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</si>
  <si>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</si>
  <si>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</si>
  <si>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</si>
  <si>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</si>
  <si>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</si>
  <si>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</si>
  <si>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</si>
  <si>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</si>
  <si>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</si>
  <si>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</si>
  <si>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</si>
  <si>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</si>
  <si>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</si>
  <si>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</si>
  <si>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</si>
  <si>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</si>
  <si>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</si>
  <si>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</si>
  <si>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</si>
  <si>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</si>
  <si>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</si>
  <si>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</si>
  <si>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</si>
  <si>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</si>
  <si>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</si>
  <si>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</si>
  <si>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</si>
  <si>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</si>
  <si>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</si>
  <si>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</si>
  <si>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</si>
  <si>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</si>
  <si>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</si>
  <si>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</si>
  <si>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</si>
  <si>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</si>
  <si>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</si>
  <si>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</si>
  <si>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</si>
  <si>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</si>
  <si>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</si>
  <si>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</si>
  <si>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</si>
  <si>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</si>
  <si>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</si>
  <si>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</si>
  <si>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</si>
  <si>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</si>
  <si>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</si>
  <si>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</si>
  <si>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</si>
  <si>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</si>
  <si>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</si>
  <si>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</si>
  <si>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</si>
  <si>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</si>
  <si>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</si>
  <si>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</si>
  <si>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</si>
  <si>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</si>
  <si>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</si>
  <si>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</si>
  <si>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</si>
  <si>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</si>
  <si>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</si>
  <si>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</si>
  <si>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</si>
  <si>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</si>
  <si>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</si>
  <si>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</si>
  <si>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</si>
  <si>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</si>
  <si>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</si>
  <si>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</si>
  <si>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</si>
  <si>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</si>
  <si>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</si>
  <si>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</si>
  <si>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</si>
  <si>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</si>
  <si>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</si>
  <si>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</si>
  <si>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</si>
  <si>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</si>
  <si>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</si>
  <si>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</si>
  <si>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</si>
  <si>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</si>
  <si>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</si>
  <si>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</si>
  <si>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</si>
  <si>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</si>
  <si>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</si>
  <si>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</si>
  <si>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</si>
  <si>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</si>
  <si>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</si>
  <si>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</si>
  <si>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</si>
  <si>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</si>
  <si>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</si>
  <si>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</si>
  <si>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</si>
  <si>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</si>
  <si>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</si>
  <si>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</si>
  <si>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</si>
  <si>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</si>
  <si>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</si>
  <si>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</si>
  <si>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</si>
  <si>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</si>
  <si>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</si>
  <si>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</si>
  <si>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</si>
  <si>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</si>
  <si>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</si>
  <si>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</si>
  <si>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</si>
  <si>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</si>
  <si>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</si>
  <si>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</si>
  <si>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</si>
  <si>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</si>
  <si>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</si>
  <si>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</si>
  <si>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</si>
  <si>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</si>
  <si>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</si>
  <si>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</si>
  <si>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</si>
  <si>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</si>
  <si>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</si>
  <si>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</si>
  <si>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</si>
  <si>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</si>
  <si>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</si>
  <si>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</si>
  <si>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</si>
  <si>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</si>
  <si>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</si>
  <si>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</si>
  <si>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</si>
  <si>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</si>
  <si>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</si>
  <si>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</si>
  <si>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</si>
  <si>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</si>
  <si>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</si>
  <si>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</si>
  <si>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</si>
  <si>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</si>
  <si>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</si>
  <si>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</si>
  <si>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</si>
  <si>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</si>
  <si>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</si>
  <si>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</si>
  <si>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</si>
  <si>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</si>
  <si>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</si>
  <si>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</si>
  <si>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</si>
  <si>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</si>
  <si>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</si>
  <si>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</si>
  <si>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</si>
  <si>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</si>
  <si>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</si>
  <si>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</si>
  <si>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</si>
  <si>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</si>
  <si>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</si>
  <si>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</si>
  <si>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</si>
  <si>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</si>
  <si>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</si>
  <si>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</si>
  <si>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</si>
  <si>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</si>
  <si>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</si>
  <si>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</si>
  <si>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</si>
  <si>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</si>
  <si>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</si>
  <si>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</si>
  <si>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</si>
  <si>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</si>
  <si>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</si>
  <si>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</si>
  <si>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</si>
  <si>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</si>
  <si>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</si>
  <si>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</si>
  <si>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</si>
  <si>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</si>
  <si>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</si>
  <si>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</si>
  <si>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</si>
  <si>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</si>
  <si>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</si>
  <si>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</si>
  <si>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</si>
  <si>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</si>
  <si>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</si>
  <si>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</si>
  <si>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</si>
  <si>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</si>
  <si>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</si>
  <si>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</si>
  <si>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</si>
  <si>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</si>
  <si>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</si>
  <si>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</si>
  <si>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</si>
  <si>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</si>
  <si>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</si>
  <si>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</si>
  <si>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</si>
  <si>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</si>
  <si>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</si>
  <si>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</si>
  <si>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</si>
  <si>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</si>
  <si>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</si>
  <si>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</si>
  <si>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</si>
  <si>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</si>
  <si>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</si>
  <si>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</si>
  <si>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</si>
  <si>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</si>
  <si>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</si>
  <si>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</si>
  <si>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</si>
  <si>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</si>
  <si>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</si>
  <si>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</si>
  <si>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</si>
  <si>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</si>
  <si>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11 - ALEX BERGO</t>
  </si>
  <si>
    <t>10 - RAFFAELE GAROFALO</t>
  </si>
  <si>
    <t>Nome</t>
  </si>
  <si>
    <t>Cognome</t>
  </si>
  <si>
    <t>Punti</t>
  </si>
  <si>
    <t>Daniel</t>
  </si>
  <si>
    <t>Marchi</t>
  </si>
  <si>
    <t>Daniele</t>
  </si>
  <si>
    <t>Moretto</t>
  </si>
  <si>
    <t>Nicola</t>
  </si>
  <si>
    <t>Caniato</t>
  </si>
  <si>
    <t>Lorenzo</t>
  </si>
  <si>
    <t>Braggiato</t>
  </si>
  <si>
    <t xml:space="preserve">Alex </t>
  </si>
  <si>
    <t>Bergo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</si>
</sst>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R17" sqref="AR17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 x14ac:dyDescent="0.3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 x14ac:dyDescent="0.3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 x14ac:dyDescent="0.3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 x14ac:dyDescent="0.3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 x14ac:dyDescent="0.3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 x14ac:dyDescent="0.3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 x14ac:dyDescent="0.3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 x14ac:dyDescent="0.3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 x14ac:dyDescent="0.3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 x14ac:dyDescent="0.3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 x14ac:dyDescent="0.3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 x14ac:dyDescent="0.3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 x14ac:dyDescent="0.3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 x14ac:dyDescent="0.3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 x14ac:dyDescent="0.3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I7" sqref="I7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 x14ac:dyDescent="0.3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>
        <v>0</v>
      </c>
      <c r="J3" s="2">
        <v>3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0 - 3 Piadineria la Salsiccia</v>
      </c>
    </row>
    <row r="4" spans="1:26" x14ac:dyDescent="0.3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 x14ac:dyDescent="0.3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 x14ac:dyDescent="0.3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 x14ac:dyDescent="0.3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 x14ac:dyDescent="0.3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 x14ac:dyDescent="0.3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 x14ac:dyDescent="0.3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 x14ac:dyDescent="0.3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 x14ac:dyDescent="0.3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7" workbookViewId="0">
      <selection activeCell="G26" sqref="G26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tr">
        <f t="shared" si="0"/>
        <v>Goal</v>
      </c>
      <c r="E14" s="2" t="s">
        <v>397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>M02</v>
      </c>
      <c r="B15" t="str">
        <f>IF(A15="","",IF(J15&lt;=INDEX(Matches!$I$2:$I$25,I15-1),INDEX(Matches!$G$2:$G$25,I15-1),INDEX(Matches!$H$2:$H$25,I15-1)))</f>
        <v>Piadineria la Salsiccia</v>
      </c>
      <c r="C15">
        <f>IF(A15="","",COUNTIFS($A$2:A15,A15,$B$2:B15,B15))</f>
        <v>2</v>
      </c>
      <c r="D15" s="2" t="str">
        <f t="shared" si="0"/>
        <v>Goal</v>
      </c>
      <c r="E15" s="2" t="s">
        <v>398</v>
      </c>
      <c r="F15" t="str">
        <f t="shared" si="1"/>
        <v>Piadineria la Salsiccia</v>
      </c>
      <c r="G15" t="str">
        <f t="shared" si="2"/>
        <v>OK</v>
      </c>
      <c r="H15" t="str">
        <f>IF(F15="","",VLOOKUP(F15,Validation!$A$2:$B$17,2,FALSE))</f>
        <v>Validation!$R$2:$R$31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>M02</v>
      </c>
      <c r="B16" t="str">
        <f>IF(A16="","",IF(J16&lt;=INDEX(Matches!$I$2:$I$25,I16-1),INDEX(Matches!$G$2:$G$25,I16-1),INDEX(Matches!$H$2:$H$25,I16-1)))</f>
        <v>Piadineria la Salsiccia</v>
      </c>
      <c r="C16">
        <f>IF(A16="","",COUNTIFS($A$2:A16,A16,$B$2:B16,B16))</f>
        <v>3</v>
      </c>
      <c r="D16" s="2" t="str">
        <f t="shared" si="0"/>
        <v>Goal</v>
      </c>
      <c r="E16" s="2" t="s">
        <v>398</v>
      </c>
      <c r="F16" t="str">
        <f t="shared" si="1"/>
        <v>Piadineria la Salsiccia</v>
      </c>
      <c r="G16" t="str">
        <f t="shared" si="2"/>
        <v>OK</v>
      </c>
      <c r="H16" t="str">
        <f>IF(F16="","",VLOOKUP(F16,Validation!$A$2:$B$17,2,FALSE))</f>
        <v>Validation!$R$2:$R$31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 x14ac:dyDescent="0.3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 x14ac:dyDescent="0.3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 x14ac:dyDescent="0.3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 x14ac:dyDescent="0.3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 x14ac:dyDescent="0.3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2</v>
      </c>
      <c r="E460">
        <f t="shared" si="7"/>
        <v>199999.54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1</v>
      </c>
      <c r="E461">
        <f t="shared" si="7"/>
        <v>99999.539000000004</v>
      </c>
    </row>
    <row r="462" spans="1:5" x14ac:dyDescent="0.3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RAFFAELE GAROFALO</v>
      </c>
      <c r="C2" t="str">
        <f>IF($A2="","",INDEX(ScorerData!$B$2:$B$481,MATCH(LARGE(ScorerData!$E$2:$E$481,$A2),ScorerData!$E$2:$E$481,0)))</f>
        <v>Piadineria la Salsiccia</v>
      </c>
      <c r="D2">
        <f>IF($A2="","",INDEX(ScorerData!$D$2:$D$481,MATCH(LARGE(ScorerData!$E$2:$E$481,$A2),ScorerData!$E$2:$E$481,0)))</f>
        <v>2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ALEX BERGO</v>
      </c>
      <c r="C3" t="str">
        <f>IF($A3="","",INDEX(ScorerData!$B$2:$B$481,MATCH(LARGE(ScorerData!$E$2:$E$481,$A3),ScorerData!$E$2:$E$481,0)))</f>
        <v>Piadineria la Salsiccia</v>
      </c>
      <c r="D3">
        <f>IF($A3="","",INDEX(ScorerData!$D$2:$D$481,MATCH(LARGE(ScorerData!$E$2:$E$481,$A3),ScorerData!$E$2:$E$481,0)))</f>
        <v>1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1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1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3</v>
      </c>
      <c r="J16">
        <f t="shared" si="0"/>
        <v>-3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-300.01600000000002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3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3</v>
      </c>
      <c r="K17">
        <f>SUMIFS(Matches!$M$2:$M$25,Matches!$G$2:$G$25,$B17,Matches!$L$2:$L$25,"Complete")+SUMIFS(Matches!$N$2:$N$25,Matches!$H$2:$H$25,$B17,Matches!$L$2:$L$25,"Complete")</f>
        <v>3</v>
      </c>
      <c r="L17" s="2">
        <f>0</f>
        <v>0</v>
      </c>
      <c r="M17">
        <f t="shared" si="1"/>
        <v>3000302.983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Piadineria la Salsiccia</v>
      </c>
      <c r="D14">
        <f>INDEX(StandingsData!$K$14:$K$17,MATCH(LARGE(StandingsData!$M$14:$M$17,1),StandingsData!$M$14:$M$17,0))</f>
        <v>3</v>
      </c>
      <c r="E14">
        <f>INDEX(StandingsData!$C$14:$C$17,MATCH(LARGE(StandingsData!$M$14:$M$17,1),StandingsData!$M$14:$M$17,0))</f>
        <v>1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3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All Blacks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Boldò Glimt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1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1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3</v>
      </c>
      <c r="L17">
        <f>INDEX(StandingsData!$J$14:$J$17,MATCH(LARGE(StandingsData!$M$14:$M$17,4),StandingsData!$M$14:$M$17,0))</f>
        <v>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322</v>
      </c>
      <c r="B2" t="s">
        <v>323</v>
      </c>
      <c r="E2" t="s">
        <v>267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333</v>
      </c>
      <c r="B8" t="s">
        <v>334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tabSelected="1" workbookViewId="0">
      <selection activeCell="H8" sqref="H8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399</v>
      </c>
      <c r="B1" s="17" t="s">
        <v>400</v>
      </c>
      <c r="C1" s="17" t="s">
        <v>401</v>
      </c>
    </row>
    <row r="2" spans="1:3" x14ac:dyDescent="0.3">
      <c r="A2" s="18" t="s">
        <v>402</v>
      </c>
      <c r="B2" s="18" t="s">
        <v>403</v>
      </c>
      <c r="C2" s="19">
        <v>10</v>
      </c>
    </row>
    <row r="3" spans="1:3" x14ac:dyDescent="0.3">
      <c r="A3" s="18" t="s">
        <v>404</v>
      </c>
      <c r="B3" s="18" t="s">
        <v>405</v>
      </c>
      <c r="C3" s="19">
        <v>8</v>
      </c>
    </row>
    <row r="4" spans="1:3" x14ac:dyDescent="0.3">
      <c r="A4" s="18" t="s">
        <v>406</v>
      </c>
      <c r="B4" s="18" t="s">
        <v>407</v>
      </c>
      <c r="C4" s="19">
        <v>5</v>
      </c>
    </row>
    <row r="5" spans="1:3" x14ac:dyDescent="0.3">
      <c r="A5" s="18" t="s">
        <v>408</v>
      </c>
      <c r="B5" s="18" t="s">
        <v>409</v>
      </c>
      <c r="C5" s="19">
        <v>15</v>
      </c>
    </row>
    <row r="6" spans="1:3" x14ac:dyDescent="0.3">
      <c r="A6" s="18" t="s">
        <v>410</v>
      </c>
      <c r="B6" s="18" t="s">
        <v>411</v>
      </c>
      <c r="C6" s="19">
        <v>93</v>
      </c>
    </row>
    <row r="7" spans="1:3" x14ac:dyDescent="0.3">
      <c r="A7" s="18"/>
      <c r="B7" s="18"/>
      <c r="C7" s="19"/>
    </row>
    <row r="8" spans="1:3" x14ac:dyDescent="0.3">
      <c r="A8" s="18"/>
      <c r="B8" s="18"/>
      <c r="C8" s="19"/>
    </row>
    <row r="9" spans="1:3" x14ac:dyDescent="0.3">
      <c r="A9" s="18"/>
      <c r="B9" s="18"/>
      <c r="C9" s="19"/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 x14ac:dyDescent="0.3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354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355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>RAFFAELE GAROFALO</v>
      </c>
      <c r="P5" s="1" t="str">
        <f>IF(TopScorers!C2="","",TopScorers!C2)</f>
        <v>Piadineria la Salsiccia</v>
      </c>
      <c r="Q5" s="1">
        <f>IF(TopScorers!D2="","",TopScorers!D2)</f>
        <v>2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>ALEX BERGO</v>
      </c>
      <c r="P6" s="1" t="str">
        <f>IF(TopScorers!C3="","",TopScorers!C3)</f>
        <v>Piadineria la Salsiccia</v>
      </c>
      <c r="Q6" s="1">
        <f>IF(TopScorers!D3="","",TopScorers!D3)</f>
        <v>1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Piadineria la Salsiccia</v>
      </c>
      <c r="D17" s="1">
        <f>Standings!D14</f>
        <v>3</v>
      </c>
      <c r="E17" s="1">
        <f>Standings!E14</f>
        <v>1</v>
      </c>
      <c r="F17" s="1">
        <f>Standings!F14</f>
        <v>1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0</v>
      </c>
      <c r="L17" s="1">
        <f>Standings!L14</f>
        <v>3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All Blacks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Boldò Glimt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0</v>
      </c>
      <c r="E20" s="1">
        <f>Standings!E17</f>
        <v>1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1</v>
      </c>
      <c r="J20" s="1">
        <f>Standings!J17</f>
        <v>0</v>
      </c>
      <c r="K20" s="1">
        <f>Standings!K17</f>
        <v>3</v>
      </c>
      <c r="L20" s="1">
        <f>Standings!L17</f>
        <v>-3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370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3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0 - 3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389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390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11 - ALEX BERGO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>M02</v>
      </c>
      <c r="B76" s="1" t="str">
        <f>IF(Goals!A15="","",Goals!B15)</f>
        <v>Piadineria la Salsiccia</v>
      </c>
      <c r="C76" s="1">
        <f>IF(Goals!A15="","",Goals!C15)</f>
        <v>2</v>
      </c>
      <c r="D76" s="1" t="str">
        <f>IF(Goals!A15="","",Goals!D15)</f>
        <v>Goal</v>
      </c>
      <c r="E76" s="1" t="str">
        <f>IF(Goals!A15="","",Goals!E15)</f>
        <v>10 - RAFFAELE GAROFALO</v>
      </c>
      <c r="F76" s="1" t="str">
        <f>IF(Goals!A15="","",Goals!F15)</f>
        <v>Piadineria la Salsiccia</v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>M02</v>
      </c>
      <c r="B77" s="1" t="str">
        <f>IF(Goals!A16="","",Goals!B16)</f>
        <v>Piadineria la Salsiccia</v>
      </c>
      <c r="C77" s="1">
        <f>IF(Goals!A16="","",Goals!C16)</f>
        <v>3</v>
      </c>
      <c r="D77" s="1" t="str">
        <f>IF(Goals!A16="","",Goals!D16)</f>
        <v>Goal</v>
      </c>
      <c r="E77" s="1" t="str">
        <f>IF(Goals!A16="","",Goals!E16)</f>
        <v>10 - RAFFAELE GAROFALO</v>
      </c>
      <c r="F77" s="1" t="str">
        <f>IF(Goals!A16="","",Goals!F16)</f>
        <v>Piadineria la Salsiccia</v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2026-07-03T16:54:41Z</dcterms:modified>
</cp:coreProperties>
</file>