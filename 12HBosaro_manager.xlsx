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02E8A2BB-43C6-4E79-BEAF-7352CB9D902E}" xr6:coauthVersionLast="47" xr6:coauthVersionMax="47" xr10:uidLastSave="{00000000-0000-0000-0000-000000000000}"/>
  <bookViews>
    <workbookView xWindow="-108" yWindow="-108" windowWidth="23256" windowHeight="12576" firstSheet="1" activeTab="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78" i="13" l="1"/>
  <c r="D78" i="13" s="1"/>
  <c r="A63" i="13"/>
  <c r="D63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B67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78" i="13" l="1"/>
  <c r="F78" i="13"/>
  <c r="H78" i="13" s="1"/>
  <c r="C78" i="13"/>
  <c r="B78" i="13"/>
  <c r="B63" i="13"/>
  <c r="G74" i="5"/>
  <c r="G77" i="13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74" i="8" l="1"/>
  <c r="D74" i="8"/>
  <c r="C15" i="7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E74" i="8" l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<sst xmlns="http://schemas.openxmlformats.org/spreadsheetml/2006/main" count="887" uniqueCount="399">
  <si>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</si>
  <si>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</si>
  <si>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</si>
  <si>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</si>
  <si>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</si>
  <si>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</si>
  <si>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</si>
  <si>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</si>
  <si>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</si>
  <si>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</si>
  <si>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</si>
  <si>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</si>
  <si>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</si>
  <si>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</si>
  <si>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</si>
  <si>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</si>
  <si>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</si>
  <si>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</si>
  <si>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</si>
  <si>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</si>
  <si>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</si>
  <si>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</si>
  <si>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</si>
  <si>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</si>
  <si>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</si>
  <si>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</si>
  <si>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</si>
  <si>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</si>
  <si>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</si>
  <si>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</si>
  <si>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</si>
  <si>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</si>
  <si>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</si>
  <si>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</si>
  <si>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</si>
  <si>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</si>
  <si>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</si>
  <si>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</si>
  <si>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</si>
  <si>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</si>
  <si>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</si>
  <si>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</si>
  <si>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</si>
  <si>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</si>
  <si>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</si>
  <si>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</si>
  <si>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</si>
  <si>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</si>
  <si>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</si>
  <si>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</si>
  <si>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</si>
  <si>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</si>
  <si>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</si>
  <si>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</si>
  <si>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</si>
  <si>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</si>
  <si>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</si>
  <si>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</si>
  <si>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</si>
  <si>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</si>
  <si>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</si>
  <si>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</si>
  <si>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</si>
  <si>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</si>
  <si>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</si>
  <si>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</si>
  <si>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</si>
  <si>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</si>
  <si>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</si>
  <si>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</si>
  <si>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</si>
  <si>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</si>
  <si>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</si>
  <si>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</si>
  <si>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</si>
  <si>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</si>
  <si>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</si>
  <si>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</si>
  <si>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</si>
  <si>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</si>
  <si>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</si>
  <si>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</si>
  <si>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</si>
  <si>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</si>
  <si>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</si>
  <si>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</si>
  <si>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</si>
  <si>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</si>
  <si>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</si>
  <si>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</si>
  <si>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</si>
  <si>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</si>
  <si>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</si>
  <si>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</si>
  <si>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</si>
  <si>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</si>
  <si>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</si>
  <si>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</si>
  <si>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</si>
  <si>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</si>
  <si>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</si>
  <si>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</si>
  <si>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</si>
  <si>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</si>
  <si>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</si>
  <si>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</si>
  <si>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</si>
  <si>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</si>
  <si>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</si>
  <si>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</si>
  <si>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</si>
  <si>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</si>
  <si>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</si>
  <si>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</si>
  <si>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</si>
  <si>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</si>
  <si>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</si>
  <si>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</si>
  <si>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</si>
  <si>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</si>
  <si>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</si>
  <si>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</si>
  <si>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</si>
  <si>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</si>
  <si>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</si>
  <si>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</si>
  <si>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</si>
  <si>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</si>
  <si>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</si>
  <si>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</si>
  <si>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</si>
  <si>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</si>
  <si>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</si>
  <si>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</si>
  <si>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</si>
  <si>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</si>
  <si>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</si>
  <si>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</si>
  <si>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</si>
  <si>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</si>
  <si>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</si>
  <si>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</si>
  <si>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</si>
  <si>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</si>
  <si>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</si>
  <si>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</si>
  <si>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</si>
  <si>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</si>
  <si>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</si>
  <si>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</si>
  <si>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</si>
  <si>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</si>
  <si>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</si>
  <si>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</si>
  <si>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</si>
  <si>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</si>
  <si>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</si>
  <si>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</si>
  <si>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</si>
  <si>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</si>
  <si>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</si>
  <si>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</si>
  <si>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</si>
  <si>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</si>
  <si>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</si>
  <si>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</si>
  <si>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</si>
  <si>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</si>
  <si>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</si>
  <si>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</si>
  <si>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</si>
  <si>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</si>
  <si>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</si>
  <si>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</si>
  <si>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</si>
  <si>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</si>
  <si>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</si>
  <si>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</si>
  <si>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</si>
  <si>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</si>
  <si>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</si>
  <si>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</si>
  <si>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</si>
  <si>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</si>
  <si>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</si>
  <si>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</si>
  <si>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</si>
  <si>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</si>
  <si>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</si>
  <si>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</si>
  <si>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</si>
  <si>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</si>
  <si>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</si>
  <si>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</si>
  <si>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</si>
  <si>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</si>
  <si>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</si>
  <si>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</si>
  <si>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</si>
  <si>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</si>
  <si>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</si>
  <si>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</si>
  <si>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</si>
  <si>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</si>
  <si>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</si>
  <si>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</si>
  <si>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</si>
  <si>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</si>
  <si>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</si>
  <si>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</si>
  <si>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</si>
  <si>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</si>
  <si>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</si>
  <si>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</si>
  <si>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</si>
  <si>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</si>
  <si>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</si>
  <si>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</si>
  <si>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</si>
  <si>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</si>
  <si>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</si>
  <si>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</si>
  <si>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</si>
  <si>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</si>
  <si>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</si>
  <si>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</si>
  <si>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</si>
  <si>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</si>
  <si>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</si>
  <si>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</si>
  <si>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</si>
  <si>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</si>
  <si>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</si>
  <si>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</si>
  <si>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</si>
  <si>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</si>
  <si>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</si>
  <si>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</si>
  <si>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</si>
  <si>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</si>
  <si>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</si>
  <si>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</si>
  <si>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</si>
  <si>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</si>
  <si>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</si>
  <si>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</si>
  <si>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</si>
  <si>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</si>
  <si>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</si>
  <si>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</si>
  <si>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</si>
  <si>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</si>
  <si>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</si>
  <si>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</si>
  <si>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</si>
  <si>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</si>
  <si>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</si>
  <si>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</si>
  <si>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</si>
  <si>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</si>
  <si>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</si>
  <si>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</si>
  <si>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</si>
  <si>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</si>
  <si>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</si>
  <si>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</si>
  <si>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</si>
  <si>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</si>
  <si>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</si>
  <si>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</si>
  <si>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</si>
  <si>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</si>
  <si>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</si>
  <si>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</si>
  <si>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</si>
  <si>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</si>
  <si>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</si>
  <si>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</si>
  <si>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</si>
  <si>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</si>
  <si>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</si>
  <si>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</si>
  <si>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</si>
  <si>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</si>
  <si>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</si>
  <si>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</si>
  <si>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</si>
  <si>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</si>
  <si>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</si>
  <si>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</si>
  <si>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</si>
  <si>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</si>
  <si>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</si>
  <si>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</si>
  <si>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</si>
  <si>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</si>
  <si>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</si>
  <si>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</si>
  <si>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</si>
  <si>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</si>
  <si>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</si>
  <si>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</si>
  <si>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</si>
  <si>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</si>
  <si>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</si>
  <si>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</si>
  <si>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</si>
  <si>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</si>
  <si>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</si>
  <si>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</si>
  <si>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</si>
  <si>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</si>
  <si>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</si>
  <si>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</si>
  <si>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</si>
  <si>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</si>
  <si>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</si>
  <si>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</si>
  <si>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</si>
  <si>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</si>
  <si>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</si>
  <si>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</si>
  <si>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</si>
  <si>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</si>
  <si>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</si>
  <si>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</si>
  <si>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</si>
  <si>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</si>
  <si>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</si>
  <si>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</si>
  <si>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</si>
  <si>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</si>
  <si>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</si>
  <si>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</si>
  <si>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</si>
  <si>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</si>
  <si>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</si>
  <si>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</si>
  <si>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</si>
  <si>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</si>
  <si>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</si>
  <si>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</si>
  <si>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</si>
  <si>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</si>
  <si>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</si>
  <si>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</si>
  <si>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</si>
  <si>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</si>
  <si>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</si>
  <si>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</si>
  <si>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</si>
  <si>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</si>
  <si>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</si>
  <si>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</si>
  <si>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</si>
  <si>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</si>
  <si>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</si>
  <si>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</si>
  <si>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</si>
  <si>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</si>
  <si>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</si>
  <si>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</si>
  <si>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</si>
  <si>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</si>
  <si>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</si>
  <si>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</si>
  <si>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</si>
  <si>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</si>
  <si>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</si>
  <si>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</si>
  <si>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</si>
  <si>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</si>
  <si>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</si>
  <si>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</si>
  <si>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</si>
  <si>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</si>
  <si>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</si>
  <si>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</si>
  <si>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</si>
  <si>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</si>
  <si>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</si>
  <si>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</si>
  <si>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</si>
  <si>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</si>
  <si>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</si>
  <si>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</si>
  <si>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</si>
  <si>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</si>
  <si>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</si>
  <si>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</si>
  <si>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</si>
  <si>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</si>
  <si>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</si>
  <si>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</si>
  <si>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2026-07-04</t>
  </si>
  <si>
    <t>NICO PAVANI</t>
  </si>
  <si>
    <t>MATTIA MERLO</t>
  </si>
  <si>
    <t>EDDY MAZZETTO</t>
  </si>
  <si>
    <t>MATTEO BOLZANI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</si>
</sst>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17"/>
      <c r="B19" s="17"/>
      <c r="C19" s="17"/>
      <c r="D19" s="17"/>
      <c r="E19" s="17"/>
      <c r="F19" s="17"/>
    </row>
    <row r="20" spans="1:6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B8" sqref="B8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393</v>
      </c>
      <c r="B7" s="16" t="s">
        <v>394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abSelected="1" topLeftCell="AL1" workbookViewId="0">
      <pane ySplit="2" topLeftCell="A3" activePane="bottomLeft" state="frozen"/>
      <selection pane="bottomLeft" activeCell="AU19" sqref="AU19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396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/>
      <c r="Q3" s="15" t="s">
        <v>94</v>
      </c>
      <c r="R3" s="15" t="s">
        <v>90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>
      <c r="A4" s="15">
        <v>4</v>
      </c>
      <c r="B4" s="15" t="s">
        <v>105</v>
      </c>
      <c r="C4" s="15" t="s">
        <v>90</v>
      </c>
      <c r="D4" s="15"/>
      <c r="E4" s="15" t="s">
        <v>106</v>
      </c>
      <c r="F4" s="15" t="s">
        <v>90</v>
      </c>
      <c r="G4" s="15"/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/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115</v>
      </c>
      <c r="AD4" s="15" t="s">
        <v>90</v>
      </c>
      <c r="AE4" s="15">
        <v>2</v>
      </c>
      <c r="AF4" s="15" t="s">
        <v>116</v>
      </c>
      <c r="AG4" s="15" t="s">
        <v>90</v>
      </c>
      <c r="AH4" s="15">
        <v>5</v>
      </c>
      <c r="AI4" s="15" t="s">
        <v>117</v>
      </c>
      <c r="AJ4" s="15" t="s">
        <v>90</v>
      </c>
      <c r="AK4" s="15">
        <v>3</v>
      </c>
      <c r="AL4" s="15" t="s">
        <v>118</v>
      </c>
      <c r="AM4" s="15" t="s">
        <v>90</v>
      </c>
      <c r="AN4" s="15">
        <v>2</v>
      </c>
      <c r="AO4" s="15" t="s">
        <v>119</v>
      </c>
      <c r="AP4" s="15" t="s">
        <v>90</v>
      </c>
      <c r="AQ4" s="15">
        <v>3</v>
      </c>
      <c r="AR4" s="15" t="s">
        <v>120</v>
      </c>
      <c r="AS4" s="15" t="s">
        <v>90</v>
      </c>
      <c r="AT4" s="15">
        <v>2</v>
      </c>
      <c r="AU4" s="15" t="s">
        <v>121</v>
      </c>
      <c r="AV4" s="15" t="s">
        <v>90</v>
      </c>
    </row>
    <row r="5" spans="1:48">
      <c r="A5" s="15">
        <v>5</v>
      </c>
      <c r="B5" s="15" t="s">
        <v>122</v>
      </c>
      <c r="C5" s="15" t="s">
        <v>90</v>
      </c>
      <c r="D5" s="15"/>
      <c r="E5" s="15" t="s">
        <v>123</v>
      </c>
      <c r="F5" s="15" t="s">
        <v>90</v>
      </c>
      <c r="G5" s="15"/>
      <c r="H5" s="15" t="s">
        <v>124</v>
      </c>
      <c r="I5" s="15" t="s">
        <v>90</v>
      </c>
      <c r="J5" s="15">
        <v>6</v>
      </c>
      <c r="K5" s="15" t="s">
        <v>125</v>
      </c>
      <c r="L5" s="15" t="s">
        <v>90</v>
      </c>
      <c r="M5" s="15">
        <v>7</v>
      </c>
      <c r="N5" s="15" t="s">
        <v>126</v>
      </c>
      <c r="O5" s="15" t="s">
        <v>90</v>
      </c>
      <c r="P5" s="15"/>
      <c r="Q5" s="15" t="s">
        <v>127</v>
      </c>
      <c r="R5" s="15" t="s">
        <v>90</v>
      </c>
      <c r="S5" s="15">
        <v>5</v>
      </c>
      <c r="T5" s="15" t="s">
        <v>128</v>
      </c>
      <c r="U5" s="15" t="s">
        <v>90</v>
      </c>
      <c r="V5" s="15">
        <v>11</v>
      </c>
      <c r="W5" s="15" t="s">
        <v>129</v>
      </c>
      <c r="X5" s="15" t="s">
        <v>90</v>
      </c>
      <c r="Y5" s="15">
        <v>4</v>
      </c>
      <c r="Z5" s="15" t="s">
        <v>130</v>
      </c>
      <c r="AA5" s="15" t="s">
        <v>108</v>
      </c>
      <c r="AB5" s="15">
        <v>9</v>
      </c>
      <c r="AC5" s="15" t="s">
        <v>131</v>
      </c>
      <c r="AD5" s="15" t="s">
        <v>90</v>
      </c>
      <c r="AE5" s="15">
        <v>7</v>
      </c>
      <c r="AF5" s="15" t="s">
        <v>132</v>
      </c>
      <c r="AG5" s="15" t="s">
        <v>90</v>
      </c>
      <c r="AH5" s="15">
        <v>7</v>
      </c>
      <c r="AI5" s="15" t="s">
        <v>133</v>
      </c>
      <c r="AJ5" s="15" t="s">
        <v>90</v>
      </c>
      <c r="AK5" s="15">
        <v>4</v>
      </c>
      <c r="AL5" s="15" t="s">
        <v>134</v>
      </c>
      <c r="AM5" s="15" t="s">
        <v>90</v>
      </c>
      <c r="AN5" s="15">
        <v>4</v>
      </c>
      <c r="AO5" s="15" t="s">
        <v>135</v>
      </c>
      <c r="AP5" s="15" t="s">
        <v>90</v>
      </c>
      <c r="AQ5" s="15">
        <v>4</v>
      </c>
      <c r="AR5" s="15" t="s">
        <v>136</v>
      </c>
      <c r="AS5" s="15" t="s">
        <v>90</v>
      </c>
      <c r="AT5" s="15">
        <v>3</v>
      </c>
      <c r="AU5" s="15" t="s">
        <v>137</v>
      </c>
      <c r="AV5" s="15" t="s">
        <v>90</v>
      </c>
    </row>
    <row r="6" spans="1:48">
      <c r="A6" s="15">
        <v>7</v>
      </c>
      <c r="B6" s="15" t="s">
        <v>138</v>
      </c>
      <c r="C6" s="15" t="s">
        <v>90</v>
      </c>
      <c r="D6" s="15"/>
      <c r="E6" s="15" t="s">
        <v>139</v>
      </c>
      <c r="F6" s="15" t="s">
        <v>90</v>
      </c>
      <c r="G6" s="15"/>
      <c r="H6" s="15" t="s">
        <v>140</v>
      </c>
      <c r="I6" s="15" t="s">
        <v>90</v>
      </c>
      <c r="J6" s="15">
        <v>7</v>
      </c>
      <c r="K6" s="15" t="s">
        <v>141</v>
      </c>
      <c r="L6" s="15" t="s">
        <v>90</v>
      </c>
      <c r="M6" s="15">
        <v>9</v>
      </c>
      <c r="N6" s="15" t="s">
        <v>142</v>
      </c>
      <c r="O6" s="15" t="s">
        <v>90</v>
      </c>
      <c r="P6" s="15"/>
      <c r="Q6" s="15" t="s">
        <v>143</v>
      </c>
      <c r="R6" s="15" t="s">
        <v>90</v>
      </c>
      <c r="S6" s="15">
        <v>7</v>
      </c>
      <c r="T6" s="15" t="s">
        <v>144</v>
      </c>
      <c r="U6" s="15" t="s">
        <v>90</v>
      </c>
      <c r="V6" s="15">
        <v>14</v>
      </c>
      <c r="W6" s="15" t="s">
        <v>145</v>
      </c>
      <c r="X6" s="15" t="s">
        <v>90</v>
      </c>
      <c r="Y6" s="15">
        <v>5</v>
      </c>
      <c r="Z6" s="15" t="s">
        <v>146</v>
      </c>
      <c r="AA6" s="15" t="s">
        <v>90</v>
      </c>
      <c r="AB6" s="15">
        <v>10</v>
      </c>
      <c r="AC6" s="15" t="s">
        <v>147</v>
      </c>
      <c r="AD6" s="15" t="s">
        <v>90</v>
      </c>
      <c r="AE6" s="15">
        <v>8</v>
      </c>
      <c r="AF6" s="15" t="s">
        <v>148</v>
      </c>
      <c r="AG6" s="15" t="s">
        <v>90</v>
      </c>
      <c r="AH6" s="15">
        <v>8</v>
      </c>
      <c r="AI6" s="15" t="s">
        <v>149</v>
      </c>
      <c r="AJ6" s="15" t="s">
        <v>90</v>
      </c>
      <c r="AK6" s="15">
        <v>5</v>
      </c>
      <c r="AL6" s="15" t="s">
        <v>150</v>
      </c>
      <c r="AM6" s="15" t="s">
        <v>90</v>
      </c>
      <c r="AN6" s="15">
        <v>7</v>
      </c>
      <c r="AO6" s="15" t="s">
        <v>151</v>
      </c>
      <c r="AP6" s="15" t="s">
        <v>90</v>
      </c>
      <c r="AQ6" s="15">
        <v>5</v>
      </c>
      <c r="AR6" s="15" t="s">
        <v>152</v>
      </c>
      <c r="AS6" s="15" t="s">
        <v>90</v>
      </c>
      <c r="AT6" s="15">
        <v>4</v>
      </c>
      <c r="AU6" s="15" t="s">
        <v>153</v>
      </c>
      <c r="AV6" s="15" t="s">
        <v>108</v>
      </c>
    </row>
    <row r="7" spans="1:48">
      <c r="A7" s="15">
        <v>8</v>
      </c>
      <c r="B7" s="15" t="s">
        <v>154</v>
      </c>
      <c r="C7" s="15" t="s">
        <v>90</v>
      </c>
      <c r="D7" s="15"/>
      <c r="E7" s="15" t="s">
        <v>155</v>
      </c>
      <c r="F7" s="15" t="s">
        <v>90</v>
      </c>
      <c r="G7" s="15"/>
      <c r="H7" s="15" t="s">
        <v>395</v>
      </c>
      <c r="I7" s="15" t="s">
        <v>90</v>
      </c>
      <c r="J7" s="15">
        <v>8</v>
      </c>
      <c r="K7" s="15" t="s">
        <v>156</v>
      </c>
      <c r="L7" s="15" t="s">
        <v>90</v>
      </c>
      <c r="M7" s="15">
        <v>10</v>
      </c>
      <c r="N7" s="15" t="s">
        <v>157</v>
      </c>
      <c r="O7" s="15" t="s">
        <v>108</v>
      </c>
      <c r="P7" s="15"/>
      <c r="Q7" s="15" t="s">
        <v>158</v>
      </c>
      <c r="R7" s="15" t="s">
        <v>90</v>
      </c>
      <c r="S7" s="15">
        <v>8</v>
      </c>
      <c r="T7" s="15" t="s">
        <v>159</v>
      </c>
      <c r="U7" s="15" t="s">
        <v>108</v>
      </c>
      <c r="V7" s="15">
        <v>19</v>
      </c>
      <c r="W7" s="15" t="s">
        <v>160</v>
      </c>
      <c r="X7" s="15" t="s">
        <v>90</v>
      </c>
      <c r="Y7" s="15">
        <v>6</v>
      </c>
      <c r="Z7" s="15" t="s">
        <v>161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162</v>
      </c>
      <c r="AG7" s="15" t="s">
        <v>90</v>
      </c>
      <c r="AH7" s="15">
        <v>10</v>
      </c>
      <c r="AI7" s="15" t="s">
        <v>163</v>
      </c>
      <c r="AJ7" s="15" t="s">
        <v>108</v>
      </c>
      <c r="AK7" s="15">
        <v>6</v>
      </c>
      <c r="AL7" s="15" t="s">
        <v>164</v>
      </c>
      <c r="AM7" s="15" t="s">
        <v>90</v>
      </c>
      <c r="AN7" s="15">
        <v>8</v>
      </c>
      <c r="AO7" s="15" t="s">
        <v>165</v>
      </c>
      <c r="AP7" s="15" t="s">
        <v>90</v>
      </c>
      <c r="AQ7" s="15">
        <v>7</v>
      </c>
      <c r="AR7" s="15" t="s">
        <v>166</v>
      </c>
      <c r="AS7" s="15" t="s">
        <v>90</v>
      </c>
      <c r="AT7" s="15">
        <v>5</v>
      </c>
      <c r="AU7" s="15" t="s">
        <v>167</v>
      </c>
      <c r="AV7" s="15" t="s">
        <v>90</v>
      </c>
    </row>
    <row r="8" spans="1:48">
      <c r="A8" s="15">
        <v>10</v>
      </c>
      <c r="B8" s="15" t="s">
        <v>168</v>
      </c>
      <c r="C8" s="15" t="s">
        <v>90</v>
      </c>
      <c r="D8" s="15"/>
      <c r="E8" s="15" t="s">
        <v>169</v>
      </c>
      <c r="F8" s="15" t="s">
        <v>90</v>
      </c>
      <c r="G8" s="15"/>
      <c r="H8" s="15" t="s">
        <v>170</v>
      </c>
      <c r="I8" s="15" t="s">
        <v>90</v>
      </c>
      <c r="J8" s="15">
        <v>9</v>
      </c>
      <c r="K8" s="15" t="s">
        <v>171</v>
      </c>
      <c r="L8" s="15" t="s">
        <v>90</v>
      </c>
      <c r="M8" s="15">
        <v>12</v>
      </c>
      <c r="N8" s="15" t="s">
        <v>172</v>
      </c>
      <c r="O8" s="15" t="s">
        <v>90</v>
      </c>
      <c r="P8" s="15"/>
      <c r="Q8" s="15" t="s">
        <v>173</v>
      </c>
      <c r="R8" s="15" t="s">
        <v>90</v>
      </c>
      <c r="S8" s="15">
        <v>9</v>
      </c>
      <c r="T8" s="15" t="s">
        <v>174</v>
      </c>
      <c r="U8" s="15" t="s">
        <v>90</v>
      </c>
      <c r="V8" s="15">
        <v>21</v>
      </c>
      <c r="W8" s="15" t="s">
        <v>175</v>
      </c>
      <c r="X8" s="15" t="s">
        <v>90</v>
      </c>
      <c r="Y8" s="15">
        <v>8</v>
      </c>
      <c r="Z8" s="15" t="s">
        <v>176</v>
      </c>
      <c r="AA8" s="15" t="s">
        <v>90</v>
      </c>
      <c r="AB8" s="15">
        <v>19</v>
      </c>
      <c r="AC8" s="15" t="s">
        <v>177</v>
      </c>
      <c r="AD8" s="15" t="s">
        <v>90</v>
      </c>
      <c r="AE8" s="15">
        <v>10</v>
      </c>
      <c r="AF8" s="15" t="s">
        <v>178</v>
      </c>
      <c r="AG8" s="15" t="s">
        <v>108</v>
      </c>
      <c r="AH8" s="15">
        <v>11</v>
      </c>
      <c r="AI8" s="15" t="s">
        <v>179</v>
      </c>
      <c r="AJ8" s="15" t="s">
        <v>90</v>
      </c>
      <c r="AK8" s="15">
        <v>7</v>
      </c>
      <c r="AL8" s="15" t="s">
        <v>180</v>
      </c>
      <c r="AM8" s="15" t="s">
        <v>90</v>
      </c>
      <c r="AN8" s="15">
        <v>9</v>
      </c>
      <c r="AO8" s="15" t="s">
        <v>181</v>
      </c>
      <c r="AP8" s="15" t="s">
        <v>90</v>
      </c>
      <c r="AQ8" s="15">
        <v>9</v>
      </c>
      <c r="AR8" s="15" t="s">
        <v>182</v>
      </c>
      <c r="AS8" s="15" t="s">
        <v>90</v>
      </c>
      <c r="AT8" s="15">
        <v>6</v>
      </c>
      <c r="AU8" s="15" t="s">
        <v>183</v>
      </c>
      <c r="AV8" s="15" t="s">
        <v>90</v>
      </c>
    </row>
    <row r="9" spans="1:48">
      <c r="A9" s="15">
        <v>11</v>
      </c>
      <c r="B9" s="15" t="s">
        <v>184</v>
      </c>
      <c r="C9" s="15" t="s">
        <v>90</v>
      </c>
      <c r="D9" s="15"/>
      <c r="E9" s="15" t="s">
        <v>185</v>
      </c>
      <c r="F9" s="15" t="s">
        <v>108</v>
      </c>
      <c r="G9" s="15"/>
      <c r="H9" s="15" t="s">
        <v>186</v>
      </c>
      <c r="I9" s="15" t="s">
        <v>90</v>
      </c>
      <c r="J9" s="15">
        <v>10</v>
      </c>
      <c r="K9" s="15" t="s">
        <v>187</v>
      </c>
      <c r="L9" s="15" t="s">
        <v>90</v>
      </c>
      <c r="M9" s="15">
        <v>15</v>
      </c>
      <c r="N9" s="15" t="s">
        <v>188</v>
      </c>
      <c r="O9" s="15" t="s">
        <v>90</v>
      </c>
      <c r="P9" s="15"/>
      <c r="Q9" s="15" t="s">
        <v>189</v>
      </c>
      <c r="R9" s="15" t="s">
        <v>90</v>
      </c>
      <c r="S9" s="15">
        <v>10</v>
      </c>
      <c r="T9" s="15" t="s">
        <v>190</v>
      </c>
      <c r="U9" s="15" t="s">
        <v>90</v>
      </c>
      <c r="V9" s="15"/>
      <c r="W9" s="15"/>
      <c r="X9" s="15"/>
      <c r="Y9" s="15">
        <v>10</v>
      </c>
      <c r="Z9" s="15" t="s">
        <v>191</v>
      </c>
      <c r="AA9" s="15" t="s">
        <v>90</v>
      </c>
      <c r="AB9" s="15">
        <v>21</v>
      </c>
      <c r="AC9" s="15" t="s">
        <v>192</v>
      </c>
      <c r="AD9" s="15" t="s">
        <v>90</v>
      </c>
      <c r="AE9" s="15">
        <v>11</v>
      </c>
      <c r="AF9" s="15" t="s">
        <v>193</v>
      </c>
      <c r="AG9" s="15" t="s">
        <v>90</v>
      </c>
      <c r="AH9" s="15">
        <v>19</v>
      </c>
      <c r="AI9" s="15" t="s">
        <v>194</v>
      </c>
      <c r="AJ9" s="15" t="s">
        <v>90</v>
      </c>
      <c r="AK9" s="15">
        <v>8</v>
      </c>
      <c r="AL9" s="15" t="s">
        <v>195</v>
      </c>
      <c r="AM9" s="15" t="s">
        <v>90</v>
      </c>
      <c r="AN9" s="15">
        <v>10</v>
      </c>
      <c r="AO9" s="15" t="s">
        <v>196</v>
      </c>
      <c r="AP9" s="15" t="s">
        <v>108</v>
      </c>
      <c r="AQ9" s="15">
        <v>10</v>
      </c>
      <c r="AR9" s="15" t="s">
        <v>197</v>
      </c>
      <c r="AS9" s="15" t="s">
        <v>108</v>
      </c>
      <c r="AT9" s="15">
        <v>7</v>
      </c>
      <c r="AU9" s="15" t="s">
        <v>398</v>
      </c>
      <c r="AV9" s="15" t="s">
        <v>90</v>
      </c>
    </row>
    <row r="10" spans="1:48">
      <c r="A10" s="15">
        <v>23</v>
      </c>
      <c r="B10" s="15" t="s">
        <v>199</v>
      </c>
      <c r="C10" s="15" t="s">
        <v>108</v>
      </c>
      <c r="D10" s="15"/>
      <c r="E10" s="15" t="s">
        <v>200</v>
      </c>
      <c r="F10" s="15" t="s">
        <v>90</v>
      </c>
      <c r="G10" s="15"/>
      <c r="H10" s="15" t="s">
        <v>201</v>
      </c>
      <c r="I10" s="15" t="s">
        <v>90</v>
      </c>
      <c r="J10" s="15">
        <v>11</v>
      </c>
      <c r="K10" s="15" t="s">
        <v>202</v>
      </c>
      <c r="L10" s="15" t="s">
        <v>108</v>
      </c>
      <c r="M10" s="15">
        <v>18</v>
      </c>
      <c r="N10" s="15" t="s">
        <v>203</v>
      </c>
      <c r="O10" s="15" t="s">
        <v>90</v>
      </c>
      <c r="P10" s="15"/>
      <c r="Q10" s="15" t="s">
        <v>204</v>
      </c>
      <c r="R10" s="15" t="s">
        <v>90</v>
      </c>
      <c r="S10" s="15">
        <v>11</v>
      </c>
      <c r="T10" s="15" t="s">
        <v>205</v>
      </c>
      <c r="U10" s="15" t="s">
        <v>90</v>
      </c>
      <c r="V10" s="15"/>
      <c r="W10" s="15"/>
      <c r="X10" s="15"/>
      <c r="Y10" s="15">
        <v>14</v>
      </c>
      <c r="Z10" s="15" t="s">
        <v>206</v>
      </c>
      <c r="AA10" s="15" t="s">
        <v>90</v>
      </c>
      <c r="AB10" s="15">
        <v>29</v>
      </c>
      <c r="AC10" s="15" t="s">
        <v>207</v>
      </c>
      <c r="AD10" s="15" t="s">
        <v>90</v>
      </c>
      <c r="AE10" s="15">
        <v>14</v>
      </c>
      <c r="AF10" s="15" t="s">
        <v>208</v>
      </c>
      <c r="AG10" s="15" t="s">
        <v>90</v>
      </c>
      <c r="AH10" s="15">
        <v>22</v>
      </c>
      <c r="AI10" s="15" t="s">
        <v>209</v>
      </c>
      <c r="AJ10" s="15" t="s">
        <v>90</v>
      </c>
      <c r="AK10" s="15">
        <v>9</v>
      </c>
      <c r="AL10" s="15" t="s">
        <v>210</v>
      </c>
      <c r="AM10" s="15" t="s">
        <v>90</v>
      </c>
      <c r="AN10" s="15">
        <v>14</v>
      </c>
      <c r="AO10" s="15" t="s">
        <v>211</v>
      </c>
      <c r="AP10" s="15" t="s">
        <v>90</v>
      </c>
      <c r="AQ10" s="15">
        <v>11</v>
      </c>
      <c r="AR10" s="15" t="s">
        <v>212</v>
      </c>
      <c r="AS10" s="15" t="s">
        <v>90</v>
      </c>
      <c r="AT10" s="15">
        <v>8</v>
      </c>
      <c r="AU10" s="15" t="s">
        <v>198</v>
      </c>
      <c r="AV10" s="15" t="s">
        <v>90</v>
      </c>
    </row>
    <row r="11" spans="1:48">
      <c r="A11" s="15">
        <v>69</v>
      </c>
      <c r="B11" s="15" t="s">
        <v>214</v>
      </c>
      <c r="C11" s="15" t="s">
        <v>90</v>
      </c>
      <c r="D11" s="15"/>
      <c r="E11" s="15" t="s">
        <v>215</v>
      </c>
      <c r="F11" s="15" t="s">
        <v>90</v>
      </c>
      <c r="G11" s="15"/>
      <c r="H11" s="15" t="s">
        <v>216</v>
      </c>
      <c r="I11" s="15" t="s">
        <v>90</v>
      </c>
      <c r="J11" s="15">
        <v>14</v>
      </c>
      <c r="K11" s="15" t="s">
        <v>217</v>
      </c>
      <c r="L11" s="15" t="s">
        <v>90</v>
      </c>
      <c r="M11" s="15">
        <v>71</v>
      </c>
      <c r="N11" s="15" t="s">
        <v>218</v>
      </c>
      <c r="O11" s="15" t="s">
        <v>90</v>
      </c>
      <c r="P11" s="15"/>
      <c r="Q11" s="15" t="s">
        <v>219</v>
      </c>
      <c r="R11" s="15" t="s">
        <v>90</v>
      </c>
      <c r="S11" s="15">
        <v>13</v>
      </c>
      <c r="T11" s="15" t="s">
        <v>220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221</v>
      </c>
      <c r="AD11" s="15" t="s">
        <v>108</v>
      </c>
      <c r="AE11" s="15">
        <v>18</v>
      </c>
      <c r="AF11" s="15" t="s">
        <v>222</v>
      </c>
      <c r="AG11" s="15" t="s">
        <v>90</v>
      </c>
      <c r="AH11" s="15">
        <v>45</v>
      </c>
      <c r="AI11" s="15" t="s">
        <v>223</v>
      </c>
      <c r="AJ11" s="15" t="s">
        <v>90</v>
      </c>
      <c r="AK11" s="15">
        <v>10</v>
      </c>
      <c r="AL11" s="15" t="s">
        <v>224</v>
      </c>
      <c r="AM11" s="15" t="s">
        <v>90</v>
      </c>
      <c r="AN11" s="15">
        <v>17</v>
      </c>
      <c r="AO11" s="15" t="s">
        <v>225</v>
      </c>
      <c r="AP11" s="15" t="s">
        <v>90</v>
      </c>
      <c r="AQ11" s="15">
        <v>23</v>
      </c>
      <c r="AR11" s="15" t="s">
        <v>226</v>
      </c>
      <c r="AS11" s="15" t="s">
        <v>90</v>
      </c>
      <c r="AT11" s="15">
        <v>9</v>
      </c>
      <c r="AU11" s="15" t="s">
        <v>213</v>
      </c>
      <c r="AV11" s="15" t="s">
        <v>90</v>
      </c>
    </row>
    <row r="12" spans="1:48">
      <c r="A12" s="15">
        <v>90</v>
      </c>
      <c r="B12" s="15" t="s">
        <v>228</v>
      </c>
      <c r="C12" s="15" t="s">
        <v>90</v>
      </c>
      <c r="D12" s="15"/>
      <c r="E12" s="15" t="s">
        <v>229</v>
      </c>
      <c r="F12" s="15" t="s">
        <v>90</v>
      </c>
      <c r="G12" s="15"/>
      <c r="H12" s="15" t="s">
        <v>230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231</v>
      </c>
      <c r="R12" s="15" t="s">
        <v>108</v>
      </c>
      <c r="S12" s="15">
        <v>14</v>
      </c>
      <c r="T12" s="15" t="s">
        <v>232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233</v>
      </c>
      <c r="AD12" s="15" t="s">
        <v>90</v>
      </c>
      <c r="AE12" s="15">
        <v>20</v>
      </c>
      <c r="AF12" s="15" t="s">
        <v>234</v>
      </c>
      <c r="AG12" s="15" t="s">
        <v>90</v>
      </c>
      <c r="AH12" s="15">
        <v>67</v>
      </c>
      <c r="AI12" s="15" t="s">
        <v>235</v>
      </c>
      <c r="AJ12" s="15" t="s">
        <v>90</v>
      </c>
      <c r="AK12" s="15">
        <v>11</v>
      </c>
      <c r="AL12" s="15" t="s">
        <v>236</v>
      </c>
      <c r="AM12" s="15" t="s">
        <v>108</v>
      </c>
      <c r="AN12" s="15">
        <v>21</v>
      </c>
      <c r="AO12" s="15" t="s">
        <v>237</v>
      </c>
      <c r="AP12" s="15" t="s">
        <v>90</v>
      </c>
      <c r="AQ12" s="15">
        <v>28</v>
      </c>
      <c r="AR12" s="15" t="s">
        <v>238</v>
      </c>
      <c r="AS12" s="15" t="s">
        <v>90</v>
      </c>
      <c r="AT12" s="15">
        <v>10</v>
      </c>
      <c r="AU12" s="15" t="s">
        <v>227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240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241</v>
      </c>
      <c r="R13" s="15" t="s">
        <v>90</v>
      </c>
      <c r="S13" s="15">
        <v>20</v>
      </c>
      <c r="T13" s="15" t="s">
        <v>242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243</v>
      </c>
      <c r="AM13" s="15" t="s">
        <v>90</v>
      </c>
      <c r="AN13" s="15"/>
      <c r="AO13" s="15"/>
      <c r="AP13" s="15"/>
      <c r="AQ13" s="15"/>
      <c r="AR13" s="15"/>
      <c r="AS13" s="15"/>
      <c r="AT13" s="15">
        <v>11</v>
      </c>
      <c r="AU13" s="15" t="s">
        <v>239</v>
      </c>
      <c r="AV13" s="15" t="s">
        <v>90</v>
      </c>
    </row>
    <row r="14" spans="1:48">
      <c r="A14" s="15"/>
      <c r="B14" s="15"/>
      <c r="C14" s="15"/>
      <c r="D14" s="15"/>
      <c r="E14" s="15"/>
      <c r="F14" s="15"/>
      <c r="G14" s="15"/>
      <c r="H14" s="15" t="s">
        <v>244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 t="s">
        <v>397</v>
      </c>
      <c r="I15" s="15" t="s">
        <v>90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56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245</v>
      </c>
      <c r="B1" s="5" t="s">
        <v>0</v>
      </c>
      <c r="C1" s="5" t="s">
        <v>2</v>
      </c>
      <c r="D1" s="5" t="s">
        <v>246</v>
      </c>
      <c r="E1" s="5" t="s">
        <v>247</v>
      </c>
      <c r="F1" s="5" t="s">
        <v>248</v>
      </c>
      <c r="G1" s="5" t="s">
        <v>249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0 - MATTIA MERLO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NICO PAVANI</v>
      </c>
      <c r="F66" t="str">
        <f>IF(E66="","",Rosters!I7)</f>
        <v>No</v>
      </c>
      <c r="G66" t="str">
        <f t="shared" ref="G66:G129" si="3">IF(E66="","",IF(D66="","",D66&amp;" - ")&amp;E66&amp;IF(F66="Yes"," (C)",""))</f>
        <v>0 - NICO PAVANI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0</v>
      </c>
      <c r="E74" t="str">
        <f>IF(Rosters!H15="","",Rosters!H15)</f>
        <v>EDDY MAZZETTO</v>
      </c>
      <c r="F74" t="str">
        <f>IF(E74="","",Rosters!I15)</f>
        <v>No</v>
      </c>
      <c r="G74" t="str">
        <f t="shared" si="3"/>
        <v>0 - EDDY MAZZETTO</v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7</v>
      </c>
      <c r="E458" t="str">
        <f>IF(Rosters!AU9="","",Rosters!AU9)</f>
        <v>MATTEO BOLZANI</v>
      </c>
      <c r="F458" t="str">
        <f>IF(E458="","",Rosters!AV9)</f>
        <v>No</v>
      </c>
      <c r="G458" t="str">
        <f t="shared" si="15"/>
        <v>7 - MATTEO BOLZANI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8</v>
      </c>
      <c r="E459" t="str">
        <f>IF(Rosters!AU10="","",Rosters!AU10)</f>
        <v>MATTIA AYRTON MARIOTTO</v>
      </c>
      <c r="F459" t="str">
        <f>IF(E459="","",Rosters!AV10)</f>
        <v>No</v>
      </c>
      <c r="G459" t="str">
        <f t="shared" si="15"/>
        <v>8 - MATTIA AYRTON MARIOTTO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9</v>
      </c>
      <c r="E460" t="str">
        <f>IF(Rosters!AU11="","",Rosters!AU11)</f>
        <v>ANDREA BALDON</v>
      </c>
      <c r="F460" t="str">
        <f>IF(E460="","",Rosters!AV11)</f>
        <v>No</v>
      </c>
      <c r="G460" t="str">
        <f t="shared" si="15"/>
        <v>9 - ANDREA BALDON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10</v>
      </c>
      <c r="E461" t="str">
        <f>IF(Rosters!AU12="","",Rosters!AU12)</f>
        <v>RAFFAELE GAROFALO</v>
      </c>
      <c r="F461" t="str">
        <f>IF(E461="","",Rosters!AV12)</f>
        <v>No</v>
      </c>
      <c r="G461" t="str">
        <f t="shared" si="15"/>
        <v>10 - RAFFAELE GAROFALO</v>
      </c>
    </row>
    <row r="462" spans="1:7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11</v>
      </c>
      <c r="E462" t="str">
        <f>IF(Rosters!AU13="","",Rosters!AU13)</f>
        <v>ALEX BERGO</v>
      </c>
      <c r="F462" t="str">
        <f>IF(E462="","",Rosters!AV13)</f>
        <v>No</v>
      </c>
      <c r="G462" t="str">
        <f t="shared" si="15"/>
        <v>11 - ALEX BERGO</v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9" workbookViewId="0">
      <selection activeCell="F22" sqref="F22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250</v>
      </c>
      <c r="B1" s="5" t="s">
        <v>251</v>
      </c>
      <c r="C1" s="5" t="s">
        <v>1</v>
      </c>
      <c r="D1" s="5" t="s">
        <v>252</v>
      </c>
      <c r="E1" s="5" t="s">
        <v>253</v>
      </c>
      <c r="F1" s="8" t="s">
        <v>254</v>
      </c>
      <c r="G1" s="5" t="s">
        <v>255</v>
      </c>
      <c r="H1" s="5" t="s">
        <v>256</v>
      </c>
      <c r="I1" s="5" t="s">
        <v>257</v>
      </c>
      <c r="J1" s="5" t="s">
        <v>258</v>
      </c>
      <c r="K1" s="5" t="s">
        <v>56</v>
      </c>
      <c r="L1" s="5" t="s">
        <v>259</v>
      </c>
      <c r="M1" s="5" t="s">
        <v>260</v>
      </c>
      <c r="N1" s="5" t="s">
        <v>261</v>
      </c>
      <c r="O1" s="5" t="s">
        <v>262</v>
      </c>
      <c r="P1" s="5" t="s">
        <v>263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264</v>
      </c>
      <c r="B2" t="s">
        <v>1</v>
      </c>
      <c r="C2" t="s">
        <v>32</v>
      </c>
      <c r="D2">
        <v>1</v>
      </c>
      <c r="E2" t="s">
        <v>265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266</v>
      </c>
      <c r="B3" t="s">
        <v>1</v>
      </c>
      <c r="C3" t="s">
        <v>32</v>
      </c>
      <c r="D3">
        <v>1</v>
      </c>
      <c r="E3" t="s">
        <v>267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268</v>
      </c>
      <c r="B4" t="s">
        <v>1</v>
      </c>
      <c r="C4" t="s">
        <v>14</v>
      </c>
      <c r="D4">
        <v>1</v>
      </c>
      <c r="E4" t="s">
        <v>269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270</v>
      </c>
      <c r="B5" t="s">
        <v>1</v>
      </c>
      <c r="C5" t="s">
        <v>23</v>
      </c>
      <c r="D5">
        <v>1</v>
      </c>
      <c r="E5" t="s">
        <v>265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271</v>
      </c>
      <c r="B6" t="s">
        <v>1</v>
      </c>
      <c r="C6" t="s">
        <v>23</v>
      </c>
      <c r="D6">
        <v>1</v>
      </c>
      <c r="E6" t="s">
        <v>267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272</v>
      </c>
      <c r="B7" t="s">
        <v>1</v>
      </c>
      <c r="C7" t="s">
        <v>14</v>
      </c>
      <c r="D7">
        <v>1</v>
      </c>
      <c r="E7" t="s">
        <v>269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273</v>
      </c>
      <c r="B8" t="s">
        <v>1</v>
      </c>
      <c r="C8" t="s">
        <v>5</v>
      </c>
      <c r="D8">
        <v>1</v>
      </c>
      <c r="E8" t="s">
        <v>265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274</v>
      </c>
      <c r="B9" t="s">
        <v>1</v>
      </c>
      <c r="C9" t="s">
        <v>5</v>
      </c>
      <c r="D9">
        <v>1</v>
      </c>
      <c r="E9" t="s">
        <v>267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275</v>
      </c>
      <c r="B10" t="s">
        <v>1</v>
      </c>
      <c r="C10" t="s">
        <v>32</v>
      </c>
      <c r="D10">
        <v>2</v>
      </c>
      <c r="E10" t="s">
        <v>269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276</v>
      </c>
      <c r="B11" t="s">
        <v>1</v>
      </c>
      <c r="C11" t="s">
        <v>14</v>
      </c>
      <c r="D11">
        <v>2</v>
      </c>
      <c r="E11" t="s">
        <v>265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277</v>
      </c>
      <c r="B12" t="s">
        <v>1</v>
      </c>
      <c r="C12" t="s">
        <v>14</v>
      </c>
      <c r="D12">
        <v>2</v>
      </c>
      <c r="E12" t="s">
        <v>267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278</v>
      </c>
      <c r="B13" t="s">
        <v>1</v>
      </c>
      <c r="C13" t="s">
        <v>32</v>
      </c>
      <c r="D13">
        <v>2</v>
      </c>
      <c r="E13" t="s">
        <v>269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279</v>
      </c>
      <c r="B14" t="s">
        <v>1</v>
      </c>
      <c r="C14" t="s">
        <v>23</v>
      </c>
      <c r="D14">
        <v>2</v>
      </c>
      <c r="E14" t="s">
        <v>265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280</v>
      </c>
      <c r="B15" t="s">
        <v>1</v>
      </c>
      <c r="C15" t="s">
        <v>23</v>
      </c>
      <c r="D15">
        <v>2</v>
      </c>
      <c r="E15" t="s">
        <v>267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281</v>
      </c>
      <c r="B16" t="s">
        <v>1</v>
      </c>
      <c r="C16" t="s">
        <v>5</v>
      </c>
      <c r="D16">
        <v>2</v>
      </c>
      <c r="E16" t="s">
        <v>269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282</v>
      </c>
      <c r="B17" t="s">
        <v>1</v>
      </c>
      <c r="C17" t="s">
        <v>32</v>
      </c>
      <c r="D17">
        <v>3</v>
      </c>
      <c r="E17" t="s">
        <v>265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283</v>
      </c>
      <c r="B18" t="s">
        <v>1</v>
      </c>
      <c r="C18" t="s">
        <v>32</v>
      </c>
      <c r="D18">
        <v>3</v>
      </c>
      <c r="E18" t="s">
        <v>267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284</v>
      </c>
      <c r="B19" t="s">
        <v>1</v>
      </c>
      <c r="C19" t="s">
        <v>5</v>
      </c>
      <c r="D19">
        <v>2</v>
      </c>
      <c r="E19" t="s">
        <v>269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285</v>
      </c>
      <c r="B20" t="s">
        <v>1</v>
      </c>
      <c r="C20" t="s">
        <v>14</v>
      </c>
      <c r="D20">
        <v>3</v>
      </c>
      <c r="E20" t="s">
        <v>265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286</v>
      </c>
      <c r="B21" t="s">
        <v>1</v>
      </c>
      <c r="C21" t="s">
        <v>14</v>
      </c>
      <c r="D21">
        <v>3</v>
      </c>
      <c r="E21" t="s">
        <v>267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287</v>
      </c>
      <c r="B22" t="s">
        <v>1</v>
      </c>
      <c r="C22" t="s">
        <v>23</v>
      </c>
      <c r="D22">
        <v>3</v>
      </c>
      <c r="E22" t="s">
        <v>269</v>
      </c>
      <c r="F22" s="10">
        <v>0.72916666666666663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288</v>
      </c>
      <c r="B23" t="s">
        <v>1</v>
      </c>
      <c r="C23" t="s">
        <v>5</v>
      </c>
      <c r="D23">
        <v>3</v>
      </c>
      <c r="E23" t="s">
        <v>265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289</v>
      </c>
      <c r="B24" t="s">
        <v>1</v>
      </c>
      <c r="C24" t="s">
        <v>5</v>
      </c>
      <c r="D24">
        <v>3</v>
      </c>
      <c r="E24" t="s">
        <v>267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290</v>
      </c>
      <c r="B25" t="s">
        <v>1</v>
      </c>
      <c r="C25" t="s">
        <v>23</v>
      </c>
      <c r="D25">
        <v>3</v>
      </c>
      <c r="E25" t="s">
        <v>269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250</v>
      </c>
      <c r="B1" s="5" t="s">
        <v>291</v>
      </c>
      <c r="C1" s="5" t="s">
        <v>292</v>
      </c>
      <c r="D1" s="5" t="s">
        <v>58</v>
      </c>
      <c r="E1" s="5" t="s">
        <v>293</v>
      </c>
      <c r="F1" s="5" t="s">
        <v>294</v>
      </c>
      <c r="G1" s="5" t="s">
        <v>259</v>
      </c>
      <c r="H1" s="5" t="s">
        <v>295</v>
      </c>
      <c r="I1" s="5" t="s">
        <v>296</v>
      </c>
      <c r="J1" s="5" t="s">
        <v>297</v>
      </c>
      <c r="K1" s="5" t="s">
        <v>298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299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293</v>
      </c>
      <c r="B1" s="5" t="s">
        <v>300</v>
      </c>
      <c r="C1" s="5" t="s">
        <v>249</v>
      </c>
      <c r="D1" s="5" t="s">
        <v>301</v>
      </c>
      <c r="E1" s="5" t="s">
        <v>302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0 -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NICO PAVANI</v>
      </c>
      <c r="B66" t="str">
        <f>IF(A66="","",Players!C66)</f>
        <v>Moviola Utd</v>
      </c>
      <c r="C66" t="str">
        <f>IF(A66="","",Players!G66)</f>
        <v>0 - NICO PAVANI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>EDDY MAZZETTO</v>
      </c>
      <c r="B74" t="str">
        <f>IF(A74="","",Players!C74)</f>
        <v>Moviola Utd</v>
      </c>
      <c r="C74" t="str">
        <f>IF(A74="","",Players!G74)</f>
        <v>0 - EDDY MAZZETTO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0</v>
      </c>
      <c r="E74">
        <f t="shared" si="1"/>
        <v>-7.3999999999999996E-2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MATTEO BOLZANI</v>
      </c>
      <c r="B458" t="str">
        <f>IF(A458="","",Players!C458)</f>
        <v>Piadineria la Salsiccia</v>
      </c>
      <c r="C458" t="str">
        <f>IF(A458="","",Players!G458)</f>
        <v>7 - MATTEO BOLZANI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MATTIA AYRTON MARIOTTO</v>
      </c>
      <c r="B459" t="str">
        <f>IF(A459="","",Players!C459)</f>
        <v>Piadineria la Salsiccia</v>
      </c>
      <c r="C459" t="str">
        <f>IF(A459="","",Players!G459)</f>
        <v>8 - MATTIA AYRTON MARIOTTO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ANDREA BALDON</v>
      </c>
      <c r="B460" t="str">
        <f>IF(A460="","",Players!C460)</f>
        <v>Piadineria la Salsiccia</v>
      </c>
      <c r="C460" t="str">
        <f>IF(A460="","",Players!G460)</f>
        <v>9 - ANDREA BALDON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RAFFAELE GAROFALO</v>
      </c>
      <c r="B461" t="str">
        <f>IF(A461="","",Players!C461)</f>
        <v>Piadineria la Salsiccia</v>
      </c>
      <c r="C461" t="str">
        <f>IF(A461="","",Players!G461)</f>
        <v>10 - RAFFAELE GAROFALO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>ALEX BERGO</v>
      </c>
      <c r="B462" t="str">
        <f>IF(A462="","",Players!C462)</f>
        <v>Piadineria la Salsiccia</v>
      </c>
      <c r="C462" t="str">
        <f>IF(A462="","",Players!G462)</f>
        <v>11 - ALEX BERGO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303</v>
      </c>
      <c r="B1" s="5" t="s">
        <v>293</v>
      </c>
      <c r="C1" s="5" t="s">
        <v>300</v>
      </c>
      <c r="D1" s="5" t="s">
        <v>301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D25" sqref="D25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300</v>
      </c>
      <c r="C1" s="5" t="s">
        <v>304</v>
      </c>
      <c r="D1" s="5" t="s">
        <v>305</v>
      </c>
      <c r="E1" s="5" t="s">
        <v>306</v>
      </c>
      <c r="F1" s="5" t="s">
        <v>307</v>
      </c>
      <c r="G1" s="5" t="s">
        <v>308</v>
      </c>
      <c r="H1" s="5" t="s">
        <v>309</v>
      </c>
      <c r="I1" s="5" t="s">
        <v>310</v>
      </c>
      <c r="J1" s="5" t="s">
        <v>311</v>
      </c>
      <c r="K1" s="5" t="s">
        <v>312</v>
      </c>
      <c r="L1" s="5" t="s">
        <v>313</v>
      </c>
      <c r="M1" s="5" t="s">
        <v>302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303</v>
      </c>
      <c r="C1" s="5" t="s">
        <v>300</v>
      </c>
      <c r="D1" s="5" t="s">
        <v>314</v>
      </c>
      <c r="E1" s="5" t="s">
        <v>315</v>
      </c>
      <c r="F1" s="5" t="s">
        <v>316</v>
      </c>
      <c r="G1" s="5" t="s">
        <v>317</v>
      </c>
      <c r="H1" s="5" t="s">
        <v>318</v>
      </c>
      <c r="I1" s="5" t="s">
        <v>319</v>
      </c>
      <c r="J1" s="5" t="s">
        <v>309</v>
      </c>
      <c r="K1" s="5" t="s">
        <v>310</v>
      </c>
      <c r="L1" s="5" t="s">
        <v>311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F3" sqref="F3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250</v>
      </c>
      <c r="B1" s="5" t="s">
        <v>251</v>
      </c>
      <c r="C1" s="5" t="s">
        <v>1</v>
      </c>
      <c r="D1" s="5" t="s">
        <v>252</v>
      </c>
      <c r="E1" s="5" t="s">
        <v>253</v>
      </c>
      <c r="F1" s="5" t="s">
        <v>254</v>
      </c>
      <c r="G1" s="5" t="s">
        <v>255</v>
      </c>
      <c r="H1" s="5" t="s">
        <v>256</v>
      </c>
      <c r="I1" s="5" t="s">
        <v>257</v>
      </c>
      <c r="J1" s="5" t="s">
        <v>258</v>
      </c>
      <c r="K1" s="5" t="s">
        <v>56</v>
      </c>
      <c r="L1" s="5" t="s">
        <v>262</v>
      </c>
      <c r="M1" s="5" t="s">
        <v>263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320</v>
      </c>
      <c r="B2" t="s">
        <v>321</v>
      </c>
      <c r="E2" t="s">
        <v>265</v>
      </c>
      <c r="F2" s="12">
        <v>0.83333333333333337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322</v>
      </c>
      <c r="B3" t="s">
        <v>321</v>
      </c>
      <c r="E3" t="s">
        <v>267</v>
      </c>
      <c r="F3" s="12" t="s">
        <v>323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324</v>
      </c>
      <c r="B4" t="s">
        <v>321</v>
      </c>
      <c r="E4" t="s">
        <v>265</v>
      </c>
      <c r="F4" s="12" t="s">
        <v>325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326</v>
      </c>
      <c r="B5" t="s">
        <v>321</v>
      </c>
      <c r="E5" t="s">
        <v>267</v>
      </c>
      <c r="F5" s="12" t="s">
        <v>325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327</v>
      </c>
      <c r="B6" t="s">
        <v>328</v>
      </c>
      <c r="E6" t="s">
        <v>265</v>
      </c>
      <c r="F6" s="12" t="s">
        <v>329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330</v>
      </c>
      <c r="B7" t="s">
        <v>328</v>
      </c>
      <c r="E7" t="s">
        <v>267</v>
      </c>
      <c r="F7" s="12" t="s">
        <v>329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331</v>
      </c>
      <c r="B8" t="s">
        <v>332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" activePane="bottomLeft" state="frozen"/>
      <selection pane="bottomLeft" activeCell="I85" sqref="I85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250</v>
      </c>
      <c r="B1" s="5" t="s">
        <v>291</v>
      </c>
      <c r="C1" s="5" t="s">
        <v>292</v>
      </c>
      <c r="D1" s="5" t="s">
        <v>58</v>
      </c>
      <c r="E1" s="5" t="s">
        <v>293</v>
      </c>
      <c r="F1" s="5" t="s">
        <v>294</v>
      </c>
      <c r="G1" s="5" t="s">
        <v>259</v>
      </c>
      <c r="H1" s="5" t="s">
        <v>295</v>
      </c>
      <c r="I1" s="5" t="s">
        <v>296</v>
      </c>
      <c r="J1" s="5" t="s">
        <v>297</v>
      </c>
      <c r="K1" s="5" t="s">
        <v>298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333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M1" workbookViewId="0">
      <selection activeCell="Q16" sqref="Q16"/>
    </sheetView>
  </sheetViews>
  <sheetFormatPr defaultRowHeight="13.8"/>
  <cols>
    <col min="1" max="18" width="28" customWidth="1"/>
  </cols>
  <sheetData>
    <row r="1" spans="1:26">
      <c r="A1" s="5" t="s">
        <v>2</v>
      </c>
      <c r="B1" s="5" t="s">
        <v>334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335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336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337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338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339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NICO PAVANI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340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341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7 - MATTEO BOLZANI</v>
      </c>
    </row>
    <row r="9" spans="1:26">
      <c r="A9" t="s">
        <v>21</v>
      </c>
      <c r="B9" t="s">
        <v>342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8 - MATTIA AYRTON MARIOTTO</v>
      </c>
    </row>
    <row r="10" spans="1:26">
      <c r="A10" t="s">
        <v>24</v>
      </c>
      <c r="B10" t="s">
        <v>343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9 - ANDREA BALDON</v>
      </c>
    </row>
    <row r="11" spans="1:26">
      <c r="A11" t="s">
        <v>26</v>
      </c>
      <c r="B11" t="s">
        <v>344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10 - RAFFAELE GAROFALO</v>
      </c>
    </row>
    <row r="12" spans="1:26">
      <c r="A12" t="s">
        <v>28</v>
      </c>
      <c r="B12" t="s">
        <v>345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11 - ALEX BERGO</v>
      </c>
    </row>
    <row r="13" spans="1:26">
      <c r="A13" t="s">
        <v>30</v>
      </c>
      <c r="B13" t="s">
        <v>346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347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EDDY MAZZETTO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348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349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350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zoomScale="85" zoomScaleNormal="85" workbookViewId="0">
      <selection activeCell="F54" sqref="F54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351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9" t="s">
        <v>352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353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354</v>
      </c>
      <c r="B4" s="7" t="s">
        <v>355</v>
      </c>
      <c r="C4" s="7" t="s">
        <v>356</v>
      </c>
      <c r="D4" s="7" t="s">
        <v>357</v>
      </c>
      <c r="E4" s="7" t="s">
        <v>358</v>
      </c>
      <c r="F4" s="7" t="s">
        <v>359</v>
      </c>
      <c r="G4" s="7" t="s">
        <v>360</v>
      </c>
      <c r="H4" s="7" t="s">
        <v>361</v>
      </c>
      <c r="I4" s="7" t="s">
        <v>362</v>
      </c>
      <c r="J4" s="7" t="s">
        <v>363</v>
      </c>
      <c r="K4" s="7" t="s">
        <v>364</v>
      </c>
      <c r="L4" s="7" t="s">
        <v>365</v>
      </c>
      <c r="M4" s="1"/>
      <c r="N4" s="7" t="s">
        <v>355</v>
      </c>
      <c r="O4" s="7" t="s">
        <v>366</v>
      </c>
      <c r="P4" s="7" t="s">
        <v>356</v>
      </c>
      <c r="Q4" s="7" t="s">
        <v>367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9" t="s">
        <v>368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369</v>
      </c>
      <c r="B24" s="7" t="s">
        <v>370</v>
      </c>
      <c r="C24" s="7" t="s">
        <v>354</v>
      </c>
      <c r="D24" s="7" t="s">
        <v>371</v>
      </c>
      <c r="E24" s="7" t="s">
        <v>372</v>
      </c>
      <c r="F24" s="7" t="s">
        <v>373</v>
      </c>
      <c r="G24" s="7" t="s">
        <v>374</v>
      </c>
      <c r="H24" s="7" t="s">
        <v>375</v>
      </c>
      <c r="I24" s="7" t="s">
        <v>376</v>
      </c>
      <c r="J24" s="7" t="s">
        <v>377</v>
      </c>
      <c r="K24" s="7" t="s">
        <v>378</v>
      </c>
      <c r="L24" s="7" t="s">
        <v>379</v>
      </c>
      <c r="M24" s="7" t="s">
        <v>380</v>
      </c>
      <c r="N24" s="7" t="s">
        <v>381</v>
      </c>
      <c r="O24" s="7" t="s">
        <v>382</v>
      </c>
      <c r="P24" s="7" t="s">
        <v>383</v>
      </c>
      <c r="Q24" s="7" t="s">
        <v>384</v>
      </c>
      <c r="R24" s="7" t="s">
        <v>385</v>
      </c>
      <c r="S24" s="7" t="s">
        <v>386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9" t="s">
        <v>387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369</v>
      </c>
      <c r="B52" s="7" t="s">
        <v>370</v>
      </c>
      <c r="C52" s="7" t="s">
        <v>354</v>
      </c>
      <c r="D52" s="7" t="s">
        <v>371</v>
      </c>
      <c r="E52" s="7" t="s">
        <v>372</v>
      </c>
      <c r="F52" s="7" t="s">
        <v>373</v>
      </c>
      <c r="G52" s="1" t="s">
        <v>374</v>
      </c>
      <c r="H52" s="1" t="s">
        <v>375</v>
      </c>
      <c r="I52" s="1" t="s">
        <v>376</v>
      </c>
      <c r="J52" s="1" t="s">
        <v>377</v>
      </c>
      <c r="K52" s="1" t="s">
        <v>378</v>
      </c>
      <c r="L52" s="1" t="s">
        <v>382</v>
      </c>
      <c r="M52" s="1" t="s">
        <v>383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9" t="s">
        <v>388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369</v>
      </c>
      <c r="B62" s="7" t="s">
        <v>389</v>
      </c>
      <c r="C62" s="7" t="s">
        <v>390</v>
      </c>
      <c r="D62" s="7" t="s">
        <v>391</v>
      </c>
      <c r="E62" s="7" t="s">
        <v>366</v>
      </c>
      <c r="F62" s="7" t="s">
        <v>392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2026-06-30T13:55:19Z</dcterms:modified>
</cp:coreProperties>
</file>