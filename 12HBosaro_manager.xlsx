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6184A373-BD1C-4FF0-A8FA-4D1097399F4B}" xr6:coauthVersionLast="47" xr6:coauthVersionMax="47" xr10:uidLastSave="{00000000-0000-0000-0000-000000000000}"/>
  <bookViews>
    <workbookView xWindow="-108" yWindow="-108" windowWidth="23256" windowHeight="12456" firstSheet="6" activeTab="11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85" i="7" l="1"/>
  <c r="A16" i="13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E329" i="15"/>
  <c r="D329" i="15"/>
  <c r="B329" i="15"/>
  <c r="A329" i="15"/>
  <c r="F319" i="15"/>
  <c r="E319" i="15"/>
  <c r="D319" i="15"/>
  <c r="C319" i="15"/>
  <c r="B319" i="15"/>
  <c r="A319" i="15"/>
  <c r="E303" i="15"/>
  <c r="D303" i="15"/>
  <c r="A303" i="15"/>
  <c r="E292" i="15"/>
  <c r="D292" i="15"/>
  <c r="A292" i="15"/>
  <c r="F285" i="15"/>
  <c r="E285" i="15"/>
  <c r="D285" i="15"/>
  <c r="C285" i="15"/>
  <c r="B285" i="15"/>
  <c r="A285" i="15"/>
  <c r="E279" i="15"/>
  <c r="D279" i="15"/>
  <c r="A279" i="15"/>
  <c r="F273" i="15"/>
  <c r="E273" i="15"/>
  <c r="D273" i="15"/>
  <c r="C273" i="15"/>
  <c r="B273" i="15"/>
  <c r="A273" i="15"/>
  <c r="E267" i="15"/>
  <c r="D267" i="15"/>
  <c r="A267" i="15"/>
  <c r="F259" i="15"/>
  <c r="E259" i="15"/>
  <c r="D259" i="15"/>
  <c r="C259" i="15"/>
  <c r="B259" i="15"/>
  <c r="A259" i="15"/>
  <c r="E247" i="15"/>
  <c r="A247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E428" i="15"/>
  <c r="D428" i="15"/>
  <c r="A428" i="15"/>
  <c r="E427" i="15"/>
  <c r="D427" i="15"/>
  <c r="A427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E124" i="15"/>
  <c r="D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B79" i="13"/>
  <c r="G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B231" i="7"/>
  <c r="G224" i="7"/>
  <c r="C224" i="7"/>
  <c r="G218" i="7"/>
  <c r="B218" i="7"/>
  <c r="B279" i="15" s="1"/>
  <c r="G212" i="7"/>
  <c r="F212" i="7"/>
  <c r="H212" i="7" s="1"/>
  <c r="C212" i="7"/>
  <c r="B212" i="7"/>
  <c r="B206" i="7"/>
  <c r="A177" i="7"/>
  <c r="D177" i="7" s="1"/>
  <c r="A173" i="7"/>
  <c r="D173" i="7" s="1"/>
  <c r="A172" i="7"/>
  <c r="D172" i="7" s="1"/>
  <c r="F69" i="7"/>
  <c r="H69" i="7" s="1"/>
  <c r="G63" i="7"/>
  <c r="B63" i="7"/>
  <c r="B124" i="15" s="1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B268" i="7"/>
  <c r="G258" i="7"/>
  <c r="F258" i="7"/>
  <c r="H258" i="7" s="1"/>
  <c r="C258" i="7"/>
  <c r="B258" i="7"/>
  <c r="G242" i="7"/>
  <c r="B242" i="7"/>
  <c r="B303" i="15" s="1"/>
  <c r="F224" i="7"/>
  <c r="H224" i="7" s="1"/>
  <c r="B224" i="7"/>
  <c r="G206" i="7"/>
  <c r="G198" i="7"/>
  <c r="F198" i="7"/>
  <c r="H198" i="7" s="1"/>
  <c r="C198" i="7"/>
  <c r="B198" i="7"/>
  <c r="B186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F221" i="5"/>
  <c r="F220" i="5"/>
  <c r="F219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E246" i="15" l="1"/>
  <c r="A246" i="15"/>
  <c r="F79" i="13"/>
  <c r="B428" i="15"/>
  <c r="B427" i="15"/>
  <c r="F78" i="13"/>
  <c r="D185" i="7"/>
  <c r="B185" i="7"/>
  <c r="D77" i="13"/>
  <c r="A426" i="15"/>
  <c r="E426" i="15"/>
  <c r="F268" i="7"/>
  <c r="F242" i="7"/>
  <c r="C242" i="7"/>
  <c r="C303" i="15" s="1"/>
  <c r="F218" i="7"/>
  <c r="C218" i="7"/>
  <c r="C279" i="15" s="1"/>
  <c r="B292" i="15"/>
  <c r="F231" i="7"/>
  <c r="D2" i="7"/>
  <c r="D63" i="15" s="1"/>
  <c r="C206" i="7"/>
  <c r="C267" i="15" s="1"/>
  <c r="F206" i="7"/>
  <c r="B267" i="15"/>
  <c r="G218" i="5"/>
  <c r="C218" i="8" s="1"/>
  <c r="G220" i="5"/>
  <c r="C220" i="8" s="1"/>
  <c r="G219" i="5"/>
  <c r="C219" i="8" s="1"/>
  <c r="G221" i="5"/>
  <c r="C221" i="8" s="1"/>
  <c r="F63" i="7"/>
  <c r="D274" i="7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E318" i="15"/>
  <c r="D318" i="15"/>
  <c r="A318" i="15"/>
  <c r="G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E332" i="15"/>
  <c r="D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E106" i="15"/>
  <c r="D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B271" i="7"/>
  <c r="B62" i="7"/>
  <c r="C63" i="7" s="1"/>
  <c r="C124" i="15" s="1"/>
  <c r="G58" i="7"/>
  <c r="B58" i="7"/>
  <c r="E331" i="15"/>
  <c r="D331" i="15"/>
  <c r="B331" i="15"/>
  <c r="A331" i="15"/>
  <c r="E330" i="15"/>
  <c r="D330" i="15"/>
  <c r="A330" i="15"/>
  <c r="E328" i="15"/>
  <c r="D328" i="15"/>
  <c r="F186" i="7"/>
  <c r="H186" i="7" s="1"/>
  <c r="A328" i="15"/>
  <c r="E327" i="15"/>
  <c r="D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E317" i="15"/>
  <c r="D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E316" i="15"/>
  <c r="D316" i="15"/>
  <c r="A316" i="15"/>
  <c r="E315" i="15"/>
  <c r="D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E108" i="15"/>
  <c r="D108" i="15"/>
  <c r="A108" i="15"/>
  <c r="E107" i="15"/>
  <c r="D107" i="15"/>
  <c r="A107" i="15"/>
  <c r="E104" i="15"/>
  <c r="D104" i="15"/>
  <c r="A104" i="15"/>
  <c r="E103" i="15"/>
  <c r="A103" i="15"/>
  <c r="E101" i="15"/>
  <c r="A101" i="15"/>
  <c r="E96" i="15"/>
  <c r="D96" i="15"/>
  <c r="A96" i="15"/>
  <c r="G43" i="7"/>
  <c r="B42" i="7"/>
  <c r="B41" i="7"/>
  <c r="B40" i="7"/>
  <c r="G269" i="7"/>
  <c r="B269" i="7"/>
  <c r="G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B246" i="7"/>
  <c r="G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E308" i="15"/>
  <c r="D308" i="15"/>
  <c r="A308" i="15"/>
  <c r="E307" i="15"/>
  <c r="D307" i="15"/>
  <c r="B307" i="15"/>
  <c r="A307" i="15"/>
  <c r="E306" i="15"/>
  <c r="D306" i="15"/>
  <c r="A306" i="15"/>
  <c r="E305" i="15"/>
  <c r="D305" i="15"/>
  <c r="A305" i="15"/>
  <c r="E304" i="15"/>
  <c r="D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E293" i="15"/>
  <c r="D293" i="15"/>
  <c r="A293" i="15"/>
  <c r="E291" i="15"/>
  <c r="D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E283" i="15"/>
  <c r="D283" i="15"/>
  <c r="A283" i="15"/>
  <c r="E282" i="15"/>
  <c r="D282" i="15"/>
  <c r="A282" i="15"/>
  <c r="E281" i="15"/>
  <c r="D281" i="15"/>
  <c r="B51" i="7"/>
  <c r="B50" i="7"/>
  <c r="B49" i="7"/>
  <c r="G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B255" i="7"/>
  <c r="B316" i="15" s="1"/>
  <c r="G254" i="7"/>
  <c r="B254" i="7"/>
  <c r="B315" i="15" s="1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B247" i="7"/>
  <c r="B308" i="15" s="1"/>
  <c r="G245" i="7"/>
  <c r="B245" i="7"/>
  <c r="B306" i="15" s="1"/>
  <c r="G244" i="7"/>
  <c r="B244" i="7"/>
  <c r="B305" i="15" s="1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B232" i="7"/>
  <c r="B293" i="15" s="1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A281" i="15"/>
  <c r="E280" i="15"/>
  <c r="D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E105" i="15"/>
  <c r="D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E429" i="15"/>
  <c r="D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E125" i="15"/>
  <c r="D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C230" i="7"/>
  <c r="C291" i="15" s="1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B222" i="7"/>
  <c r="G221" i="7"/>
  <c r="B221" i="7"/>
  <c r="G220" i="7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B220" i="7"/>
  <c r="G219" i="7"/>
  <c r="C219" i="7"/>
  <c r="C280" i="15" s="1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E381" i="15"/>
  <c r="D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E340" i="15"/>
  <c r="D340" i="15"/>
  <c r="A340" i="15"/>
  <c r="E339" i="15"/>
  <c r="D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B221" i="8"/>
  <c r="B220" i="8"/>
  <c r="B219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E270" i="15"/>
  <c r="D270" i="15"/>
  <c r="A270" i="15"/>
  <c r="E269" i="15"/>
  <c r="D269" i="15"/>
  <c r="A269" i="15"/>
  <c r="E268" i="15"/>
  <c r="D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E256" i="15"/>
  <c r="D256" i="15"/>
  <c r="A256" i="15"/>
  <c r="E255" i="15"/>
  <c r="D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E184" i="15"/>
  <c r="D184" i="15"/>
  <c r="A184" i="15"/>
  <c r="E183" i="15"/>
  <c r="D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B32" i="13"/>
  <c r="B381" i="15" s="1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B209" i="7"/>
  <c r="G208" i="7"/>
  <c r="G207" i="7"/>
  <c r="B207" i="7"/>
  <c r="C207" i="7" s="1"/>
  <c r="C268" i="15" s="1"/>
  <c r="B204" i="7"/>
  <c r="G203" i="7"/>
  <c r="F203" i="7"/>
  <c r="H203" i="7" s="1"/>
  <c r="C203" i="7"/>
  <c r="B203" i="7"/>
  <c r="G202" i="7"/>
  <c r="F202" i="7"/>
  <c r="H202" i="7" s="1"/>
  <c r="C202" i="7"/>
  <c r="G195" i="7"/>
  <c r="G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B279" i="7"/>
  <c r="G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B123" i="7"/>
  <c r="B184" i="15" s="1"/>
  <c r="G122" i="7"/>
  <c r="B122" i="7"/>
  <c r="B183" i="15" s="1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E207" i="15"/>
  <c r="D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E405" i="15"/>
  <c r="D405" i="15"/>
  <c r="A405" i="15"/>
  <c r="E404" i="15"/>
  <c r="D404" i="15"/>
  <c r="A404" i="15"/>
  <c r="E403" i="15"/>
  <c r="D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E380" i="15"/>
  <c r="D380" i="15"/>
  <c r="A380" i="15"/>
  <c r="E379" i="15"/>
  <c r="D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B270" i="7"/>
  <c r="G267" i="7"/>
  <c r="B267" i="7"/>
  <c r="B328" i="15" s="1"/>
  <c r="G266" i="7"/>
  <c r="B266" i="7"/>
  <c r="G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B2" i="7"/>
  <c r="C468" i="8"/>
  <c r="E467" i="8"/>
  <c r="B467" i="8"/>
  <c r="B460" i="8"/>
  <c r="D468" i="8"/>
  <c r="C467" i="8"/>
  <c r="B461" i="8"/>
  <c r="A341" i="15"/>
  <c r="D341" i="15"/>
  <c r="E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D343" i="15"/>
  <c r="E343" i="15"/>
  <c r="A224" i="15"/>
  <c r="D224" i="15"/>
  <c r="E224" i="15"/>
  <c r="A223" i="15"/>
  <c r="D223" i="15"/>
  <c r="E223" i="15"/>
  <c r="A221" i="15"/>
  <c r="D221" i="15"/>
  <c r="E221" i="15"/>
  <c r="A220" i="15"/>
  <c r="D220" i="15"/>
  <c r="E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D231" i="15"/>
  <c r="E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D219" i="15"/>
  <c r="E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D235" i="15"/>
  <c r="E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D222" i="15"/>
  <c r="E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D167" i="15"/>
  <c r="E167" i="15"/>
  <c r="A166" i="15"/>
  <c r="D166" i="15"/>
  <c r="E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D342" i="15"/>
  <c r="E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D208" i="15"/>
  <c r="E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E127" i="15"/>
  <c r="D127" i="15"/>
  <c r="A127" i="15"/>
  <c r="E126" i="15"/>
  <c r="D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B80" i="13"/>
  <c r="B429" i="15" s="1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B56" i="13"/>
  <c r="G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B31" i="13"/>
  <c r="G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G280" i="7"/>
  <c r="D465" i="8"/>
  <c r="F176" i="7"/>
  <c r="H176" i="7" s="1"/>
  <c r="C176" i="7"/>
  <c r="G174" i="7"/>
  <c r="B174" i="7"/>
  <c r="G67" i="7"/>
  <c r="F67" i="7"/>
  <c r="H67" i="7" s="1"/>
  <c r="C67" i="7"/>
  <c r="B67" i="7"/>
  <c r="B66" i="7"/>
  <c r="B65" i="7"/>
  <c r="G246" i="5"/>
  <c r="G35" i="5"/>
  <c r="C289" i="7"/>
  <c r="B288" i="7"/>
  <c r="B285" i="7"/>
  <c r="G282" i="7"/>
  <c r="G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B163" i="7"/>
  <c r="B224" i="15" s="1"/>
  <c r="G162" i="7"/>
  <c r="B162" i="7"/>
  <c r="B223" i="15" s="1"/>
  <c r="G161" i="7"/>
  <c r="B161" i="7"/>
  <c r="G160" i="7"/>
  <c r="B160" i="7"/>
  <c r="B221" i="15" s="1"/>
  <c r="G159" i="7"/>
  <c r="B159" i="7"/>
  <c r="B220" i="15" s="1"/>
  <c r="G158" i="7"/>
  <c r="B158" i="7"/>
  <c r="B219" i="15" s="1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B147" i="7"/>
  <c r="B208" i="15" s="1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B106" i="7"/>
  <c r="B167" i="15" s="1"/>
  <c r="G105" i="7"/>
  <c r="B105" i="7"/>
  <c r="B166" i="15" s="1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G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G173" i="7"/>
  <c r="A234" i="15"/>
  <c r="D234" i="15"/>
  <c r="E234" i="15"/>
  <c r="B172" i="7"/>
  <c r="G172" i="7"/>
  <c r="A233" i="15"/>
  <c r="D233" i="15"/>
  <c r="E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G171" i="7"/>
  <c r="A232" i="15"/>
  <c r="D232" i="15"/>
  <c r="E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F428" i="15" l="1"/>
  <c r="H79" i="13"/>
  <c r="F427" i="15"/>
  <c r="H78" i="13"/>
  <c r="C79" i="13"/>
  <c r="C428" i="15" s="1"/>
  <c r="C78" i="13"/>
  <c r="C427" i="15" s="1"/>
  <c r="F80" i="13"/>
  <c r="C80" i="13"/>
  <c r="C429" i="15" s="1"/>
  <c r="B404" i="15"/>
  <c r="F55" i="13"/>
  <c r="C55" i="13"/>
  <c r="C404" i="15" s="1"/>
  <c r="C56" i="13"/>
  <c r="C405" i="15" s="1"/>
  <c r="B405" i="15"/>
  <c r="F56" i="13"/>
  <c r="F54" i="13"/>
  <c r="B403" i="15"/>
  <c r="C54" i="13"/>
  <c r="C403" i="15" s="1"/>
  <c r="B343" i="15"/>
  <c r="F282" i="7"/>
  <c r="F32" i="13"/>
  <c r="C32" i="13"/>
  <c r="C381" i="15" s="1"/>
  <c r="B380" i="15"/>
  <c r="F31" i="13"/>
  <c r="C31" i="13"/>
  <c r="C380" i="15" s="1"/>
  <c r="B379" i="15"/>
  <c r="F30" i="13"/>
  <c r="C30" i="13"/>
  <c r="C379" i="15" s="1"/>
  <c r="B342" i="15"/>
  <c r="F281" i="7"/>
  <c r="B318" i="15"/>
  <c r="F257" i="7"/>
  <c r="C257" i="7"/>
  <c r="C318" i="15" s="1"/>
  <c r="B317" i="15"/>
  <c r="F256" i="7"/>
  <c r="C256" i="7"/>
  <c r="C317" i="15" s="1"/>
  <c r="F255" i="7"/>
  <c r="C255" i="7"/>
  <c r="C316" i="15" s="1"/>
  <c r="F254" i="7"/>
  <c r="D11" i="8" s="1"/>
  <c r="E11" i="8" s="1"/>
  <c r="C254" i="7"/>
  <c r="C315" i="15" s="1"/>
  <c r="C268" i="7"/>
  <c r="C329" i="15" s="1"/>
  <c r="B327" i="15"/>
  <c r="F329" i="15"/>
  <c r="H268" i="7"/>
  <c r="F271" i="7"/>
  <c r="C271" i="7"/>
  <c r="C332" i="15" s="1"/>
  <c r="B332" i="15"/>
  <c r="F269" i="7"/>
  <c r="C269" i="7"/>
  <c r="C330" i="15" s="1"/>
  <c r="B330" i="15"/>
  <c r="F270" i="7"/>
  <c r="C270" i="7"/>
  <c r="C331" i="15" s="1"/>
  <c r="F267" i="7"/>
  <c r="C267" i="7"/>
  <c r="C328" i="15" s="1"/>
  <c r="F266" i="7"/>
  <c r="D41" i="8" s="1"/>
  <c r="E41" i="8" s="1"/>
  <c r="C266" i="7"/>
  <c r="C327" i="15" s="1"/>
  <c r="F279" i="7"/>
  <c r="C279" i="7"/>
  <c r="C340" i="15" s="1"/>
  <c r="B340" i="15"/>
  <c r="C278" i="7"/>
  <c r="C339" i="15" s="1"/>
  <c r="F278" i="7"/>
  <c r="B339" i="15"/>
  <c r="C280" i="7"/>
  <c r="C341" i="15" s="1"/>
  <c r="C281" i="7"/>
  <c r="C342" i="15" s="1"/>
  <c r="C282" i="7"/>
  <c r="C343" i="15" s="1"/>
  <c r="B341" i="15"/>
  <c r="F280" i="7"/>
  <c r="H282" i="7"/>
  <c r="F343" i="15"/>
  <c r="H281" i="7"/>
  <c r="F342" i="15"/>
  <c r="F303" i="15"/>
  <c r="H242" i="7"/>
  <c r="F246" i="7"/>
  <c r="C246" i="7"/>
  <c r="C307" i="15" s="1"/>
  <c r="F243" i="7"/>
  <c r="C243" i="7"/>
  <c r="C304" i="15" s="1"/>
  <c r="F247" i="7"/>
  <c r="C247" i="7"/>
  <c r="C308" i="15" s="1"/>
  <c r="F245" i="7"/>
  <c r="D250" i="8" s="1"/>
  <c r="E250" i="8" s="1"/>
  <c r="C245" i="7"/>
  <c r="C306" i="15" s="1"/>
  <c r="F244" i="7"/>
  <c r="C244" i="7"/>
  <c r="C305" i="15" s="1"/>
  <c r="F279" i="15"/>
  <c r="H218" i="7"/>
  <c r="B283" i="15"/>
  <c r="F222" i="7"/>
  <c r="B282" i="15"/>
  <c r="F221" i="7"/>
  <c r="C221" i="7"/>
  <c r="C282" i="15" s="1"/>
  <c r="B280" i="15"/>
  <c r="F219" i="7"/>
  <c r="D220" i="8" s="1"/>
  <c r="E220" i="8" s="1"/>
  <c r="B281" i="15"/>
  <c r="F220" i="7"/>
  <c r="D214" i="8" s="1"/>
  <c r="C220" i="7"/>
  <c r="C281" i="15" s="1"/>
  <c r="C222" i="7"/>
  <c r="C283" i="15" s="1"/>
  <c r="F292" i="15"/>
  <c r="H231" i="7"/>
  <c r="F232" i="7"/>
  <c r="C232" i="7"/>
  <c r="C293" i="15" s="1"/>
  <c r="C231" i="7"/>
  <c r="C292" i="15" s="1"/>
  <c r="B291" i="15"/>
  <c r="H230" i="7"/>
  <c r="F291" i="15"/>
  <c r="F267" i="15"/>
  <c r="H206" i="7"/>
  <c r="B270" i="15"/>
  <c r="F209" i="7"/>
  <c r="C209" i="7"/>
  <c r="C270" i="15" s="1"/>
  <c r="B268" i="15"/>
  <c r="F207" i="7"/>
  <c r="D36" i="8" s="1"/>
  <c r="E36" i="8" s="1"/>
  <c r="B269" i="15"/>
  <c r="F208" i="7"/>
  <c r="C208" i="7"/>
  <c r="C269" i="15" s="1"/>
  <c r="C195" i="7"/>
  <c r="C256" i="15" s="1"/>
  <c r="B256" i="15"/>
  <c r="F195" i="7"/>
  <c r="F256" i="15" s="1"/>
  <c r="B255" i="15"/>
  <c r="F194" i="7"/>
  <c r="C194" i="7"/>
  <c r="C255" i="15" s="1"/>
  <c r="F172" i="7"/>
  <c r="B233" i="15"/>
  <c r="F173" i="7"/>
  <c r="D70" i="8" s="1"/>
  <c r="E70" i="8" s="1"/>
  <c r="B234" i="15"/>
  <c r="B232" i="15"/>
  <c r="F171" i="7"/>
  <c r="F170" i="7"/>
  <c r="C170" i="7"/>
  <c r="C231" i="15" s="1"/>
  <c r="C173" i="7"/>
  <c r="C234" i="15" s="1"/>
  <c r="C172" i="7"/>
  <c r="C233" i="15" s="1"/>
  <c r="C171" i="7"/>
  <c r="C232" i="15" s="1"/>
  <c r="B235" i="15"/>
  <c r="F174" i="7"/>
  <c r="C174" i="7"/>
  <c r="C235" i="15" s="1"/>
  <c r="F146" i="7"/>
  <c r="C146" i="7"/>
  <c r="C207" i="15" s="1"/>
  <c r="F147" i="7"/>
  <c r="C147" i="7"/>
  <c r="C208" i="15" s="1"/>
  <c r="F163" i="7"/>
  <c r="D337" i="8" s="1"/>
  <c r="E337" i="8" s="1"/>
  <c r="C163" i="7"/>
  <c r="C224" i="15" s="1"/>
  <c r="F162" i="7"/>
  <c r="D334" i="8" s="1"/>
  <c r="E334" i="8" s="1"/>
  <c r="C162" i="7"/>
  <c r="C223" i="15" s="1"/>
  <c r="B222" i="15"/>
  <c r="F161" i="7"/>
  <c r="C161" i="7"/>
  <c r="C222" i="15" s="1"/>
  <c r="F160" i="7"/>
  <c r="D279" i="8" s="1"/>
  <c r="E279" i="8" s="1"/>
  <c r="C160" i="7"/>
  <c r="C221" i="15" s="1"/>
  <c r="F159" i="7"/>
  <c r="D277" i="8" s="1"/>
  <c r="E277" i="8" s="1"/>
  <c r="C159" i="7"/>
  <c r="C220" i="15" s="1"/>
  <c r="F158" i="7"/>
  <c r="D275" i="8" s="1"/>
  <c r="E275" i="8" s="1"/>
  <c r="C158" i="7"/>
  <c r="C219" i="15" s="1"/>
  <c r="D221" i="8"/>
  <c r="E221" i="8" s="1"/>
  <c r="D219" i="8"/>
  <c r="E219" i="8" s="1"/>
  <c r="D218" i="8"/>
  <c r="E218" i="8" s="1"/>
  <c r="F123" i="7"/>
  <c r="C123" i="7"/>
  <c r="C184" i="15" s="1"/>
  <c r="F122" i="7"/>
  <c r="C122" i="7"/>
  <c r="C183" i="15" s="1"/>
  <c r="F106" i="7"/>
  <c r="D430" i="8" s="1"/>
  <c r="E430" i="8" s="1"/>
  <c r="C106" i="7"/>
  <c r="C167" i="15" s="1"/>
  <c r="F105" i="7"/>
  <c r="C105" i="7"/>
  <c r="C166" i="15" s="1"/>
  <c r="F124" i="15"/>
  <c r="H63" i="7"/>
  <c r="F64" i="7"/>
  <c r="C64" i="7"/>
  <c r="C125" i="15" s="1"/>
  <c r="F66" i="7"/>
  <c r="B127" i="15"/>
  <c r="C66" i="7"/>
  <c r="C127" i="15" s="1"/>
  <c r="B126" i="15"/>
  <c r="F65" i="7"/>
  <c r="C65" i="7"/>
  <c r="C126" i="15" s="1"/>
  <c r="B104" i="15"/>
  <c r="F43" i="7"/>
  <c r="C43" i="7"/>
  <c r="C104" i="15" s="1"/>
  <c r="B107" i="15"/>
  <c r="C46" i="7"/>
  <c r="C107" i="15" s="1"/>
  <c r="F46" i="7"/>
  <c r="F45" i="7"/>
  <c r="C45" i="7"/>
  <c r="C106" i="15" s="1"/>
  <c r="B106" i="15"/>
  <c r="F47" i="7"/>
  <c r="C47" i="7"/>
  <c r="C108" i="15" s="1"/>
  <c r="B108" i="15"/>
  <c r="F44" i="7"/>
  <c r="C44" i="7"/>
  <c r="C105" i="15" s="1"/>
  <c r="F30" i="7"/>
  <c r="B91" i="15"/>
  <c r="B90" i="15"/>
  <c r="F29" i="7"/>
  <c r="H29" i="7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F28" i="7"/>
  <c r="C28" i="7"/>
  <c r="C89" i="15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D459" i="8" s="1"/>
  <c r="E459" i="8" s="1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D69" i="8" s="1"/>
  <c r="E69" i="8" s="1"/>
  <c r="G87" i="7"/>
  <c r="F87" i="7"/>
  <c r="D74" i="8" s="1"/>
  <c r="E74" i="8" s="1"/>
  <c r="G79" i="7"/>
  <c r="F79" i="7"/>
  <c r="D6" i="8" s="1"/>
  <c r="E6" i="8" s="1"/>
  <c r="G76" i="7"/>
  <c r="F76" i="7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D370" i="8" s="1"/>
  <c r="G102" i="7"/>
  <c r="F51" i="7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D454" i="8" s="1"/>
  <c r="E454" i="8" s="1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62" i="8"/>
  <c r="E362" i="8" s="1"/>
  <c r="C246" i="8"/>
  <c r="D242" i="8"/>
  <c r="E242" i="8" s="1"/>
  <c r="D216" i="8"/>
  <c r="D215" i="8"/>
  <c r="D212" i="8"/>
  <c r="D100" i="8"/>
  <c r="E100" i="8" s="1"/>
  <c r="D95" i="8"/>
  <c r="D94" i="8"/>
  <c r="D92" i="8"/>
  <c r="M16" i="10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C371" i="8"/>
  <c r="C365" i="8"/>
  <c r="C362" i="8"/>
  <c r="C399" i="8"/>
  <c r="C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C302" i="8"/>
  <c r="D302" i="8"/>
  <c r="E302" i="8" s="1"/>
  <c r="C281" i="8"/>
  <c r="D280" i="8"/>
  <c r="E280" i="8" s="1"/>
  <c r="C278" i="8"/>
  <c r="C277" i="8"/>
  <c r="C276" i="8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C35" i="8"/>
  <c r="D35" i="8"/>
  <c r="E35" i="8" s="1"/>
  <c r="D34" i="8"/>
  <c r="E34" i="8" s="1"/>
  <c r="D32" i="8"/>
  <c r="E32" i="8" s="1"/>
  <c r="C11" i="8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D399" i="8" s="1"/>
  <c r="C40" i="13"/>
  <c r="C389" i="15" s="1"/>
  <c r="C39" i="13"/>
  <c r="C388" i="15" s="1"/>
  <c r="G38" i="13"/>
  <c r="F38" i="13"/>
  <c r="C38" i="13"/>
  <c r="C387" i="15" s="1"/>
  <c r="G29" i="13"/>
  <c r="F29" i="13"/>
  <c r="D247" i="8" s="1"/>
  <c r="E247" i="8" s="1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C429" i="8"/>
  <c r="D429" i="8"/>
  <c r="E429" i="8" s="1"/>
  <c r="C428" i="8"/>
  <c r="D428" i="8"/>
  <c r="E428" i="8" s="1"/>
  <c r="C427" i="8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C336" i="8"/>
  <c r="C335" i="8"/>
  <c r="D335" i="8"/>
  <c r="E335" i="8" s="1"/>
  <c r="C334" i="8"/>
  <c r="C333" i="8"/>
  <c r="D333" i="8"/>
  <c r="E333" i="8" s="1"/>
  <c r="C332" i="8"/>
  <c r="D332" i="8"/>
  <c r="E332" i="8" s="1"/>
  <c r="C311" i="8"/>
  <c r="D311" i="8"/>
  <c r="E311" i="8" s="1"/>
  <c r="C309" i="8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C247" i="8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C69" i="8"/>
  <c r="C68" i="8"/>
  <c r="D68" i="8"/>
  <c r="E68" i="8" s="1"/>
  <c r="C67" i="8"/>
  <c r="D67" i="8"/>
  <c r="E67" i="8" s="1"/>
  <c r="C64" i="8"/>
  <c r="C63" i="8"/>
  <c r="D63" i="8"/>
  <c r="E63" i="8" s="1"/>
  <c r="C62" i="8"/>
  <c r="D62" i="8"/>
  <c r="E62" i="8" s="1"/>
  <c r="C41" i="8"/>
  <c r="C40" i="8"/>
  <c r="D40" i="8"/>
  <c r="E40" i="8" s="1"/>
  <c r="C39" i="8"/>
  <c r="C33" i="8"/>
  <c r="C32" i="8"/>
  <c r="C7" i="8"/>
  <c r="C6" i="8"/>
  <c r="C5" i="8"/>
  <c r="C4" i="8"/>
  <c r="C3" i="8"/>
  <c r="C2" i="8"/>
  <c r="D2" i="8"/>
  <c r="E2" i="8" s="1"/>
  <c r="F429" i="15" l="1"/>
  <c r="H80" i="13"/>
  <c r="D248" i="8"/>
  <c r="E248" i="8" s="1"/>
  <c r="F404" i="15"/>
  <c r="H55" i="13"/>
  <c r="F405" i="15"/>
  <c r="H56" i="13"/>
  <c r="F403" i="15"/>
  <c r="H54" i="13"/>
  <c r="D398" i="8"/>
  <c r="E398" i="8" s="1"/>
  <c r="F381" i="15"/>
  <c r="H32" i="13"/>
  <c r="F380" i="15"/>
  <c r="H31" i="13"/>
  <c r="F379" i="15"/>
  <c r="H30" i="13"/>
  <c r="D7" i="8"/>
  <c r="E7" i="8" s="1"/>
  <c r="D309" i="8"/>
  <c r="E309" i="8" s="1"/>
  <c r="D66" i="8"/>
  <c r="E66" i="8" s="1"/>
  <c r="H172" i="7"/>
  <c r="F233" i="15"/>
  <c r="F318" i="15"/>
  <c r="H257" i="7"/>
  <c r="F317" i="15"/>
  <c r="H256" i="7"/>
  <c r="F316" i="15"/>
  <c r="H255" i="7"/>
  <c r="F315" i="15"/>
  <c r="H254" i="7"/>
  <c r="F332" i="15"/>
  <c r="H271" i="7"/>
  <c r="F330" i="15"/>
  <c r="H269" i="7"/>
  <c r="F331" i="15"/>
  <c r="H270" i="7"/>
  <c r="F328" i="15"/>
  <c r="H267" i="7"/>
  <c r="F327" i="15"/>
  <c r="H266" i="7"/>
  <c r="D281" i="8"/>
  <c r="E281" i="8" s="1"/>
  <c r="D303" i="8"/>
  <c r="E303" i="8" s="1"/>
  <c r="F340" i="15"/>
  <c r="H279" i="7"/>
  <c r="F339" i="15"/>
  <c r="H278" i="7"/>
  <c r="F341" i="15"/>
  <c r="H280" i="7"/>
  <c r="D246" i="8"/>
  <c r="E246" i="8" s="1"/>
  <c r="D213" i="8"/>
  <c r="E213" i="8" s="1"/>
  <c r="F307" i="15"/>
  <c r="H246" i="7"/>
  <c r="F304" i="15"/>
  <c r="H243" i="7"/>
  <c r="F308" i="15"/>
  <c r="H247" i="7"/>
  <c r="F306" i="15"/>
  <c r="H245" i="7"/>
  <c r="F305" i="15"/>
  <c r="H244" i="7"/>
  <c r="F283" i="15"/>
  <c r="H222" i="7"/>
  <c r="F282" i="15"/>
  <c r="H221" i="7"/>
  <c r="F280" i="15"/>
  <c r="H219" i="7"/>
  <c r="F281" i="15"/>
  <c r="H220" i="7"/>
  <c r="F293" i="15"/>
  <c r="H232" i="7"/>
  <c r="F270" i="15"/>
  <c r="H209" i="7"/>
  <c r="F268" i="15"/>
  <c r="H207" i="7"/>
  <c r="F269" i="15"/>
  <c r="H208" i="7"/>
  <c r="H195" i="7"/>
  <c r="D427" i="8"/>
  <c r="E427" i="8" s="1"/>
  <c r="F255" i="15"/>
  <c r="H194" i="7"/>
  <c r="F234" i="15"/>
  <c r="H173" i="7"/>
  <c r="D64" i="8"/>
  <c r="E64" i="8" s="1"/>
  <c r="F232" i="15"/>
  <c r="H171" i="7"/>
  <c r="F231" i="15"/>
  <c r="H170" i="7"/>
  <c r="F235" i="15"/>
  <c r="H174" i="7"/>
  <c r="H30" i="7"/>
  <c r="F91" i="15"/>
  <c r="F207" i="15"/>
  <c r="H146" i="7"/>
  <c r="F208" i="15"/>
  <c r="H147" i="7"/>
  <c r="F88" i="15"/>
  <c r="H27" i="7"/>
  <c r="F224" i="15"/>
  <c r="H163" i="7"/>
  <c r="F223" i="15"/>
  <c r="H162" i="7"/>
  <c r="F222" i="15"/>
  <c r="H161" i="7"/>
  <c r="F221" i="15"/>
  <c r="H160" i="7"/>
  <c r="F220" i="15"/>
  <c r="H159" i="7"/>
  <c r="F219" i="15"/>
  <c r="H158" i="7"/>
  <c r="D152" i="8"/>
  <c r="E152" i="8" s="1"/>
  <c r="F90" i="15"/>
  <c r="F184" i="15"/>
  <c r="H123" i="7"/>
  <c r="F183" i="15"/>
  <c r="H122" i="7"/>
  <c r="D187" i="8"/>
  <c r="E187" i="8" s="1"/>
  <c r="D65" i="8"/>
  <c r="E65" i="8" s="1"/>
  <c r="D367" i="8"/>
  <c r="E367" i="8" s="1"/>
  <c r="D4" i="8"/>
  <c r="E4" i="8" s="1"/>
  <c r="D33" i="8"/>
  <c r="E33" i="8" s="1"/>
  <c r="F167" i="15"/>
  <c r="H106" i="7"/>
  <c r="F166" i="15"/>
  <c r="H105" i="7"/>
  <c r="D5" i="8"/>
  <c r="E5" i="8" s="1"/>
  <c r="H51" i="7"/>
  <c r="D310" i="8"/>
  <c r="E310" i="8" s="1"/>
  <c r="F125" i="15"/>
  <c r="H64" i="7"/>
  <c r="F127" i="15"/>
  <c r="H66" i="7"/>
  <c r="F126" i="15"/>
  <c r="H65" i="7"/>
  <c r="H42" i="7"/>
  <c r="D249" i="8"/>
  <c r="E249" i="8" s="1"/>
  <c r="F104" i="15"/>
  <c r="H43" i="7"/>
  <c r="F107" i="15"/>
  <c r="H46" i="7"/>
  <c r="F106" i="15"/>
  <c r="H45" i="7"/>
  <c r="F108" i="15"/>
  <c r="H47" i="7"/>
  <c r="F105" i="15"/>
  <c r="H44" i="7"/>
  <c r="D369" i="8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215" i="8"/>
  <c r="E216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63" i="8"/>
  <c r="E189" i="8"/>
  <c r="E396" i="8"/>
  <c r="E182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<sst xmlns="http://schemas.openxmlformats.org/spreadsheetml/2006/main" count="1066" uniqueCount="485">
  <si>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</si>
  <si>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</si>
  <si>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</si>
  <si>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</si>
  <si>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</si>
  <si>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</si>
  <si>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</si>
  <si>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</si>
  <si>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</si>
  <si>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</si>
  <si>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</si>
  <si>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</si>
  <si>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</si>
  <si>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</si>
  <si>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</si>
  <si>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</si>
  <si>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</si>
  <si>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</si>
  <si>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</si>
  <si>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</si>
  <si>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</si>
  <si>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</si>
  <si>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</si>
  <si>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</si>
  <si>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</si>
  <si>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</si>
  <si>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</si>
  <si>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</si>
  <si>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</si>
  <si>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</si>
  <si>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</si>
  <si>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</si>
  <si>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</si>
  <si>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</si>
  <si>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</si>
  <si>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</si>
  <si>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</si>
  <si>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</si>
  <si>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</si>
  <si>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</si>
  <si>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</si>
  <si>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</si>
  <si>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</si>
  <si>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</si>
  <si>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</si>
  <si>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</si>
  <si>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</si>
  <si>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</si>
  <si>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</si>
  <si>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</si>
  <si>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</si>
  <si>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</si>
  <si>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</si>
  <si>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</si>
  <si>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</si>
  <si>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</si>
  <si>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</si>
  <si>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</si>
  <si>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</si>
  <si>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</si>
  <si>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</si>
  <si>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</si>
  <si>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</si>
  <si>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</si>
  <si>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</si>
  <si>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</si>
  <si>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</si>
  <si>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</si>
  <si>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</si>
  <si>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</si>
  <si>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</si>
  <si>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</si>
  <si>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</si>
  <si>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</si>
  <si>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</si>
  <si>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</si>
  <si>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</si>
  <si>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</si>
  <si>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</si>
  <si>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</si>
  <si>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</si>
  <si>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</si>
  <si>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</si>
  <si>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</si>
  <si>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</si>
  <si>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</si>
  <si>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</si>
  <si>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</si>
  <si>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</si>
  <si>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</si>
  <si>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</si>
  <si>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</si>
  <si>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</si>
  <si>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</si>
  <si>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</si>
  <si>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</si>
  <si>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</si>
  <si>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</si>
  <si>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</si>
  <si>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</si>
  <si>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</si>
  <si>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</si>
  <si>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</si>
  <si>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</si>
  <si>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</si>
  <si>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</si>
  <si>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</si>
  <si>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</si>
  <si>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</si>
  <si>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</si>
  <si>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</si>
  <si>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</si>
  <si>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</si>
  <si>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</si>
  <si>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</si>
  <si>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</si>
  <si>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</si>
  <si>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</si>
  <si>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</si>
  <si>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</si>
  <si>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</si>
  <si>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</si>
  <si>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</si>
  <si>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</si>
  <si>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</si>
  <si>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</si>
  <si>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</si>
  <si>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</si>
  <si>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</si>
  <si>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</si>
  <si>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</si>
  <si>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</si>
  <si>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</si>
  <si>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</si>
  <si>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</si>
  <si>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</si>
  <si>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</si>
  <si>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</si>
  <si>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</si>
  <si>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</si>
  <si>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</si>
  <si>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</si>
  <si>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</si>
  <si>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</si>
  <si>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</si>
  <si>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</si>
  <si>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</si>
  <si>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</si>
  <si>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</si>
  <si>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</si>
  <si>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</si>
  <si>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</si>
  <si>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</si>
  <si>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</si>
  <si>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</si>
  <si>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</si>
  <si>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</si>
  <si>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</si>
  <si>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</si>
  <si>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</si>
  <si>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</si>
  <si>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</si>
  <si>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</si>
  <si>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</si>
  <si>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</si>
  <si>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</si>
  <si>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</si>
  <si>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</si>
  <si>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</si>
  <si>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</si>
  <si>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</si>
  <si>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</si>
  <si>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</si>
  <si>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</si>
  <si>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</si>
  <si>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</si>
  <si>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</si>
  <si>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</si>
  <si>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</si>
  <si>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</si>
  <si>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</si>
  <si>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</si>
  <si>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</si>
  <si>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</si>
  <si>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</si>
  <si>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</si>
  <si>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</si>
  <si>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</si>
  <si>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</si>
  <si>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</si>
  <si>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</si>
  <si>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</si>
  <si>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</si>
  <si>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</si>
  <si>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</si>
  <si>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</si>
  <si>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</si>
  <si>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</si>
  <si>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</si>
  <si>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</si>
  <si>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</si>
  <si>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</si>
  <si>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</si>
  <si>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</si>
  <si>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</si>
  <si>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</si>
  <si>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</si>
  <si>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</si>
  <si>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</si>
  <si>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</si>
  <si>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</si>
  <si>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</si>
  <si>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</si>
  <si>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</si>
  <si>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</si>
  <si>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</si>
  <si>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</si>
  <si>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</si>
  <si>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</si>
  <si>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</si>
  <si>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</si>
  <si>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</si>
  <si>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</si>
  <si>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</si>
  <si>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</si>
  <si>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</si>
  <si>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</si>
  <si>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</si>
  <si>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</si>
  <si>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</si>
  <si>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</si>
  <si>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</si>
  <si>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</si>
  <si>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</si>
  <si>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</si>
  <si>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</si>
  <si>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</si>
  <si>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</si>
  <si>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</si>
  <si>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</si>
  <si>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</si>
  <si>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</si>
  <si>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</si>
  <si>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</si>
  <si>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</si>
  <si>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</si>
  <si>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</si>
  <si>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</si>
  <si>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</si>
  <si>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</si>
  <si>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</si>
  <si>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</si>
  <si>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</si>
  <si>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</si>
  <si>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</si>
  <si>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</si>
  <si>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</si>
  <si>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</si>
  <si>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</si>
  <si>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</si>
  <si>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</si>
  <si>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</si>
  <si>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</si>
  <si>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</si>
  <si>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</si>
  <si>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</si>
  <si>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</si>
  <si>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</si>
  <si>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</si>
  <si>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</si>
  <si>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</si>
  <si>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</si>
  <si>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</si>
  <si>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</si>
  <si>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</si>
  <si>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</si>
  <si>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</si>
  <si>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</si>
  <si>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</si>
  <si>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</si>
  <si>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</si>
  <si>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</si>
  <si>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</si>
  <si>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</si>
  <si>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</si>
  <si>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</si>
  <si>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</si>
  <si>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</si>
  <si>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</si>
  <si>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</si>
  <si>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</si>
  <si>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</si>
  <si>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</si>
  <si>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</si>
  <si>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</si>
  <si>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</si>
  <si>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</si>
  <si>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</si>
  <si>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</si>
  <si>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</si>
  <si>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</si>
  <si>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</si>
  <si>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</si>
  <si>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</si>
  <si>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</si>
  <si>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</si>
  <si>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</si>
  <si>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</si>
  <si>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</si>
  <si>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</si>
  <si>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</si>
  <si>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</si>
  <si>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</si>
  <si>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</si>
  <si>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</si>
  <si>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</si>
  <si>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</si>
  <si>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</si>
  <si>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</si>
  <si>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</si>
  <si>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</si>
  <si>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</si>
  <si>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</si>
  <si>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</si>
  <si>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</si>
  <si>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</si>
  <si>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</si>
  <si>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</si>
  <si>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</si>
  <si>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</si>
  <si>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</si>
  <si>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</si>
  <si>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</si>
  <si>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</si>
  <si>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</si>
  <si>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</si>
  <si>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</si>
  <si>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</si>
  <si>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</si>
  <si>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</si>
  <si>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</si>
  <si>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</si>
  <si>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</si>
  <si>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</si>
  <si>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</si>
  <si>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</si>
  <si>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</si>
  <si>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</si>
  <si>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</si>
  <si>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</si>
  <si>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</si>
  <si>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</si>
  <si>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</si>
  <si>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</si>
  <si>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</si>
  <si>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</si>
  <si>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</si>
  <si>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</si>
  <si>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</si>
  <si>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</si>
  <si>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</si>
  <si>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</si>
  <si>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</si>
  <si>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</si>
  <si>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</si>
  <si>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</si>
  <si>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</si>
  <si>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</si>
  <si>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</si>
  <si>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</si>
  <si>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</si>
  <si>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</si>
  <si>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</si>
  <si>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</si>
  <si>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</si>
  <si>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</si>
  <si>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</si>
  <si>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</si>
  <si>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</si>
  <si>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</si>
  <si>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</si>
  <si>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</si>
  <si>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</si>
  <si>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</si>
  <si>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</si>
  <si>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</si>
  <si>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</si>
  <si>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</si>
  <si>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</si>
  <si>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</si>
  <si>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</si>
  <si>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</si>
  <si>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</si>
  <si>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</si>
  <si>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</si>
  <si>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</si>
  <si>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</si>
  <si>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</si>
  <si>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</si>
  <si>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</si>
  <si>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</si>
  <si>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</si>
  <si>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</si>
  <si>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</si>
  <si>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</si>
  <si>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</si>
  <si>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</si>
  <si>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</si>
  <si>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</si>
  <si>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</si>
  <si>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</si>
  <si>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</si>
  <si>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</si>
  <si>
    <t>3 - LEONARDO MAGGIO</t>
  </si>
  <si>
    <t>10 - ANDREI BARZAGHIDEANU</t>
  </si>
  <si>
    <t>14 - VLAD GABRIEL DUMINICA</t>
  </si>
  <si>
    <t>14 - EDOARDO CAVALLARI</t>
  </si>
  <si>
    <t>18 - MATTEO FERRO</t>
  </si>
  <si>
    <t>9 - IGNAZIO BADALÌ</t>
  </si>
  <si>
    <t>5 - MATTEO LONGO</t>
  </si>
  <si>
    <t>10 - GIANLUCA FREZZATI</t>
  </si>
  <si>
    <t>17 - NICOLA BARONI</t>
  </si>
  <si>
    <t>Mariotto</t>
  </si>
  <si>
    <t>Dobrozi</t>
  </si>
  <si>
    <t>Kevin</t>
  </si>
  <si>
    <t>Nikola</t>
  </si>
  <si>
    <t>Mattia</t>
  </si>
  <si>
    <t>Matteo</t>
  </si>
  <si>
    <t>Bolzani</t>
  </si>
  <si>
    <t>Castellan</t>
  </si>
  <si>
    <t>99 - GIOVANNI BALLO</t>
  </si>
  <si>
    <t>7 - NICHOLAS MILAN</t>
  </si>
  <si>
    <t>20 - IVAN DENIS SHEVERAK</t>
  </si>
  <si>
    <t>7 - NICHOLAS MOSCHINI</t>
  </si>
  <si>
    <t>10 - FILIPPO CLEMENTE</t>
  </si>
  <si>
    <t>6 - DAVIDE BEDESCHI</t>
  </si>
  <si>
    <t>3 - KEVIN DOBROZI</t>
  </si>
  <si>
    <t>23 - EMANUELE VERONESE</t>
  </si>
  <si>
    <t>70 - FILIPPO SCARANELLO</t>
  </si>
  <si>
    <t>20 - NICO PAVANI</t>
  </si>
  <si>
    <t>2 - MATTEO NATALI</t>
  </si>
  <si>
    <t>ANTONIO CIRILLO</t>
  </si>
  <si>
    <t>MOUMOUNI BAMOGO</t>
  </si>
  <si>
    <t>DAVIDE SALVIATO</t>
  </si>
  <si>
    <t>POKOU ANTHONY</t>
  </si>
  <si>
    <t>ABDO ARAUFY</t>
  </si>
  <si>
    <t>8 - MATTEO SAVIOLI (C)</t>
  </si>
  <si>
    <t>10 - SAMUEL BONSU (C)</t>
  </si>
  <si>
    <t xml:space="preserve">Marco </t>
  </si>
  <si>
    <t>Previato</t>
  </si>
  <si>
    <t>Elia</t>
  </si>
  <si>
    <t>Naglieri</t>
  </si>
  <si>
    <t>10 - NICCOLO' PALTANIN</t>
  </si>
  <si>
    <t>19 - MATTEO CAMPION</t>
  </si>
  <si>
    <t>29 - LUCA BERNARDINELLO</t>
  </si>
  <si>
    <t>95 - MATTIA COLTRO</t>
  </si>
  <si>
    <t>7 - OTMAN SOUATI</t>
  </si>
  <si>
    <t>11 - ISMAIL ECHCHARI</t>
  </si>
  <si>
    <t>7 - FRANCESCO BERARDI</t>
  </si>
  <si>
    <t>8 - LUCA BACCO</t>
  </si>
  <si>
    <t>9 - FRANCESCO DADDATO</t>
  </si>
  <si>
    <t>7 - EDDY MAZZETTO</t>
  </si>
  <si>
    <t>10 - LUCA MARINI</t>
  </si>
  <si>
    <t>Gianluca</t>
  </si>
  <si>
    <t>Pavan</t>
  </si>
  <si>
    <t>10 - ALEX BERTIPAGLIA (C)</t>
  </si>
  <si>
    <t>9 - ANDREA GREGGIO</t>
  </si>
  <si>
    <t>8 - AHMED ZOUZAF</t>
  </si>
  <si>
    <t>7 - MATTIA ZAGO</t>
  </si>
  <si>
    <t>77 - POKOU ANTHONY</t>
  </si>
  <si>
    <t>11 - FILIPPO VENDRAMIN</t>
  </si>
  <si>
    <t>10 - LUCA CHERUBIN (C)</t>
  </si>
  <si>
    <t>4 - AMIN MASSAGHRI (C)</t>
  </si>
  <si>
    <t>6 - MARCO THOMPSON</t>
  </si>
  <si>
    <t>7 - TOMMASO ZANGIROLAMI</t>
  </si>
  <si>
    <t>2 - LUCA NONNATO</t>
  </si>
  <si>
    <t>4 - ABDESSAMAD BAGHROUCH</t>
  </si>
  <si>
    <t>90 - MATTEO COL</t>
  </si>
  <si>
    <t>3 - GABRIELE BARBIERATO</t>
  </si>
  <si>
    <t>10 - RAFFAELE GAROFALO</t>
  </si>
  <si>
    <t>9 - ANDREA BALDON</t>
  </si>
  <si>
    <t>8 - GIACOMO BORTOLIERO</t>
  </si>
  <si>
    <t>14 - FABIO FERRARI</t>
  </si>
  <si>
    <t>8 - FRANCESCO MARANGON</t>
  </si>
  <si>
    <t>1 - MATTIA BELLUCCO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</si>
</sst>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E10" sqref="E10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385</v>
      </c>
      <c r="B7" s="16" t="s">
        <v>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F8" sqref="F8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10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W1" workbookViewId="0">
      <pane ySplit="2" topLeftCell="A3" activePane="bottomLeft" state="frozen"/>
      <selection pane="bottomLeft" activeCell="Z13" sqref="Z13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>
        <v>7</v>
      </c>
      <c r="E3" s="15" t="s">
        <v>91</v>
      </c>
      <c r="F3" s="15" t="s">
        <v>90</v>
      </c>
      <c r="G3" s="15">
        <v>1</v>
      </c>
      <c r="H3" s="15" t="s">
        <v>393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 x14ac:dyDescent="0.3">
      <c r="A4" s="15">
        <v>99</v>
      </c>
      <c r="B4" s="15" t="s">
        <v>105</v>
      </c>
      <c r="C4" s="15" t="s">
        <v>90</v>
      </c>
      <c r="D4" s="15">
        <v>20</v>
      </c>
      <c r="E4" s="15" t="s">
        <v>106</v>
      </c>
      <c r="F4" s="15" t="s">
        <v>90</v>
      </c>
      <c r="G4" s="15">
        <v>23</v>
      </c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398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 x14ac:dyDescent="0.3">
      <c r="A5" s="15">
        <v>5</v>
      </c>
      <c r="B5" s="15" t="s">
        <v>121</v>
      </c>
      <c r="C5" s="15" t="s">
        <v>90</v>
      </c>
      <c r="D5" s="15">
        <v>2</v>
      </c>
      <c r="E5" s="15" t="s">
        <v>122</v>
      </c>
      <c r="F5" s="15" t="s">
        <v>90</v>
      </c>
      <c r="G5" s="15">
        <v>8</v>
      </c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 x14ac:dyDescent="0.3">
      <c r="A6" s="15">
        <v>7</v>
      </c>
      <c r="B6" s="15" t="s">
        <v>137</v>
      </c>
      <c r="C6" s="15" t="s">
        <v>90</v>
      </c>
      <c r="D6" s="15">
        <v>19</v>
      </c>
      <c r="E6" s="15" t="s">
        <v>392</v>
      </c>
      <c r="F6" s="15" t="s">
        <v>90</v>
      </c>
      <c r="G6" s="15">
        <v>70</v>
      </c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399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401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 x14ac:dyDescent="0.3">
      <c r="A7" s="15">
        <v>8</v>
      </c>
      <c r="B7" s="15" t="s">
        <v>150</v>
      </c>
      <c r="C7" s="15" t="s">
        <v>90</v>
      </c>
      <c r="D7" s="15">
        <v>8</v>
      </c>
      <c r="E7" s="15" t="s">
        <v>151</v>
      </c>
      <c r="F7" s="15" t="s">
        <v>90</v>
      </c>
      <c r="G7" s="15">
        <v>7</v>
      </c>
      <c r="H7" s="15" t="s">
        <v>394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 x14ac:dyDescent="0.3">
      <c r="A8" s="15">
        <v>10</v>
      </c>
      <c r="B8" s="15" t="s">
        <v>164</v>
      </c>
      <c r="C8" s="15" t="s">
        <v>90</v>
      </c>
      <c r="D8" s="15">
        <v>3</v>
      </c>
      <c r="E8" s="15" t="s">
        <v>165</v>
      </c>
      <c r="F8" s="15" t="s">
        <v>90</v>
      </c>
      <c r="G8" s="15">
        <v>5</v>
      </c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1</v>
      </c>
      <c r="W8" s="15" t="s">
        <v>441</v>
      </c>
      <c r="X8" s="15" t="s">
        <v>90</v>
      </c>
      <c r="Y8" s="15">
        <v>8</v>
      </c>
      <c r="Z8" s="15" t="s">
        <v>171</v>
      </c>
      <c r="AA8" s="15" t="s">
        <v>90</v>
      </c>
      <c r="AB8" s="15">
        <v>19</v>
      </c>
      <c r="AC8" s="15" t="s">
        <v>172</v>
      </c>
      <c r="AD8" s="15" t="s">
        <v>90</v>
      </c>
      <c r="AE8" s="15">
        <v>10</v>
      </c>
      <c r="AF8" s="15" t="s">
        <v>173</v>
      </c>
      <c r="AG8" s="15" t="s">
        <v>108</v>
      </c>
      <c r="AH8" s="15">
        <v>11</v>
      </c>
      <c r="AI8" s="15" t="s">
        <v>174</v>
      </c>
      <c r="AJ8" s="15" t="s">
        <v>90</v>
      </c>
      <c r="AK8" s="15">
        <v>7</v>
      </c>
      <c r="AL8" s="15" t="s">
        <v>175</v>
      </c>
      <c r="AM8" s="15" t="s">
        <v>90</v>
      </c>
      <c r="AN8" s="15">
        <v>9</v>
      </c>
      <c r="AO8" s="15" t="s">
        <v>176</v>
      </c>
      <c r="AP8" s="15" t="s">
        <v>90</v>
      </c>
      <c r="AQ8" s="15">
        <v>9</v>
      </c>
      <c r="AR8" s="15" t="s">
        <v>177</v>
      </c>
      <c r="AS8" s="15" t="s">
        <v>90</v>
      </c>
      <c r="AT8" s="15">
        <v>6</v>
      </c>
      <c r="AU8" s="15" t="s">
        <v>178</v>
      </c>
      <c r="AV8" s="15" t="s">
        <v>90</v>
      </c>
    </row>
    <row r="9" spans="1:48" x14ac:dyDescent="0.3">
      <c r="A9" s="15">
        <v>11</v>
      </c>
      <c r="B9" s="15" t="s">
        <v>390</v>
      </c>
      <c r="C9" s="15" t="s">
        <v>90</v>
      </c>
      <c r="D9" s="15">
        <v>14</v>
      </c>
      <c r="E9" s="15" t="s">
        <v>179</v>
      </c>
      <c r="F9" s="15" t="s">
        <v>108</v>
      </c>
      <c r="G9" s="15">
        <v>45</v>
      </c>
      <c r="H9" s="15" t="s">
        <v>180</v>
      </c>
      <c r="I9" s="15" t="s">
        <v>90</v>
      </c>
      <c r="J9" s="15">
        <v>10</v>
      </c>
      <c r="K9" s="15" t="s">
        <v>181</v>
      </c>
      <c r="L9" s="15" t="s">
        <v>90</v>
      </c>
      <c r="M9" s="15">
        <v>15</v>
      </c>
      <c r="N9" s="15" t="s">
        <v>182</v>
      </c>
      <c r="O9" s="15" t="s">
        <v>90</v>
      </c>
      <c r="P9" s="15">
        <v>1</v>
      </c>
      <c r="Q9" s="15" t="s">
        <v>183</v>
      </c>
      <c r="R9" s="15" t="s">
        <v>90</v>
      </c>
      <c r="S9" s="15">
        <v>10</v>
      </c>
      <c r="T9" s="15" t="s">
        <v>184</v>
      </c>
      <c r="U9" s="15" t="s">
        <v>90</v>
      </c>
      <c r="V9" s="15">
        <v>8</v>
      </c>
      <c r="W9" s="15" t="s">
        <v>442</v>
      </c>
      <c r="X9" s="15" t="s">
        <v>90</v>
      </c>
      <c r="Y9" s="15">
        <v>10</v>
      </c>
      <c r="Z9" s="15" t="s">
        <v>396</v>
      </c>
      <c r="AA9" s="15" t="s">
        <v>90</v>
      </c>
      <c r="AB9" s="15">
        <v>21</v>
      </c>
      <c r="AC9" s="15" t="s">
        <v>185</v>
      </c>
      <c r="AD9" s="15" t="s">
        <v>90</v>
      </c>
      <c r="AE9" s="15">
        <v>11</v>
      </c>
      <c r="AF9" s="15" t="s">
        <v>186</v>
      </c>
      <c r="AG9" s="15" t="s">
        <v>90</v>
      </c>
      <c r="AH9" s="15">
        <v>19</v>
      </c>
      <c r="AI9" s="15" t="s">
        <v>187</v>
      </c>
      <c r="AJ9" s="15" t="s">
        <v>90</v>
      </c>
      <c r="AK9" s="15">
        <v>8</v>
      </c>
      <c r="AL9" s="15" t="s">
        <v>188</v>
      </c>
      <c r="AM9" s="15" t="s">
        <v>90</v>
      </c>
      <c r="AN9" s="15">
        <v>10</v>
      </c>
      <c r="AO9" s="15" t="s">
        <v>189</v>
      </c>
      <c r="AP9" s="15" t="s">
        <v>108</v>
      </c>
      <c r="AQ9" s="15">
        <v>10</v>
      </c>
      <c r="AR9" s="15" t="s">
        <v>190</v>
      </c>
      <c r="AS9" s="15" t="s">
        <v>108</v>
      </c>
      <c r="AT9" s="15">
        <v>8</v>
      </c>
      <c r="AU9" s="15" t="s">
        <v>191</v>
      </c>
      <c r="AV9" s="15" t="s">
        <v>90</v>
      </c>
    </row>
    <row r="10" spans="1:48" x14ac:dyDescent="0.3">
      <c r="A10" s="15">
        <v>23</v>
      </c>
      <c r="B10" s="15" t="s">
        <v>192</v>
      </c>
      <c r="C10" s="15" t="s">
        <v>108</v>
      </c>
      <c r="D10" s="15">
        <v>1</v>
      </c>
      <c r="E10" s="15" t="s">
        <v>193</v>
      </c>
      <c r="F10" s="15" t="s">
        <v>90</v>
      </c>
      <c r="G10" s="15">
        <v>2</v>
      </c>
      <c r="H10" s="15" t="s">
        <v>194</v>
      </c>
      <c r="I10" s="15" t="s">
        <v>90</v>
      </c>
      <c r="J10" s="15">
        <v>11</v>
      </c>
      <c r="K10" s="15" t="s">
        <v>195</v>
      </c>
      <c r="L10" s="15" t="s">
        <v>108</v>
      </c>
      <c r="M10" s="15">
        <v>18</v>
      </c>
      <c r="N10" s="15" t="s">
        <v>196</v>
      </c>
      <c r="O10" s="15" t="s">
        <v>90</v>
      </c>
      <c r="P10" s="15">
        <v>4</v>
      </c>
      <c r="Q10" s="15" t="s">
        <v>197</v>
      </c>
      <c r="R10" s="15" t="s">
        <v>90</v>
      </c>
      <c r="S10" s="15">
        <v>11</v>
      </c>
      <c r="T10" s="15" t="s">
        <v>198</v>
      </c>
      <c r="U10" s="15" t="s">
        <v>90</v>
      </c>
      <c r="V10" s="15">
        <v>5</v>
      </c>
      <c r="W10" s="15" t="s">
        <v>443</v>
      </c>
      <c r="X10" s="15" t="s">
        <v>90</v>
      </c>
      <c r="Y10" s="15">
        <v>17</v>
      </c>
      <c r="Z10" s="15" t="s">
        <v>199</v>
      </c>
      <c r="AA10" s="15" t="s">
        <v>90</v>
      </c>
      <c r="AB10" s="15">
        <v>29</v>
      </c>
      <c r="AC10" s="15" t="s">
        <v>200</v>
      </c>
      <c r="AD10" s="15" t="s">
        <v>90</v>
      </c>
      <c r="AE10" s="15">
        <v>14</v>
      </c>
      <c r="AF10" s="15" t="s">
        <v>201</v>
      </c>
      <c r="AG10" s="15" t="s">
        <v>90</v>
      </c>
      <c r="AH10" s="15">
        <v>22</v>
      </c>
      <c r="AI10" s="15" t="s">
        <v>202</v>
      </c>
      <c r="AJ10" s="15" t="s">
        <v>90</v>
      </c>
      <c r="AK10" s="15">
        <v>9</v>
      </c>
      <c r="AL10" s="15" t="s">
        <v>203</v>
      </c>
      <c r="AM10" s="15" t="s">
        <v>90</v>
      </c>
      <c r="AN10" s="15">
        <v>14</v>
      </c>
      <c r="AO10" s="15" t="s">
        <v>204</v>
      </c>
      <c r="AP10" s="15" t="s">
        <v>90</v>
      </c>
      <c r="AQ10" s="15">
        <v>11</v>
      </c>
      <c r="AR10" s="15" t="s">
        <v>205</v>
      </c>
      <c r="AS10" s="15" t="s">
        <v>90</v>
      </c>
      <c r="AT10" s="15">
        <v>9</v>
      </c>
      <c r="AU10" s="15" t="s">
        <v>206</v>
      </c>
      <c r="AV10" s="15" t="s">
        <v>90</v>
      </c>
    </row>
    <row r="11" spans="1:48" x14ac:dyDescent="0.3">
      <c r="A11" s="15">
        <v>69</v>
      </c>
      <c r="B11" s="15" t="s">
        <v>207</v>
      </c>
      <c r="C11" s="15" t="s">
        <v>90</v>
      </c>
      <c r="D11" s="15">
        <v>18</v>
      </c>
      <c r="E11" s="15" t="s">
        <v>208</v>
      </c>
      <c r="F11" s="15" t="s">
        <v>90</v>
      </c>
      <c r="G11" s="15">
        <v>9</v>
      </c>
      <c r="H11" s="15" t="s">
        <v>209</v>
      </c>
      <c r="I11" s="15" t="s">
        <v>90</v>
      </c>
      <c r="J11" s="15">
        <v>14</v>
      </c>
      <c r="K11" s="15" t="s">
        <v>210</v>
      </c>
      <c r="L11" s="15" t="s">
        <v>90</v>
      </c>
      <c r="M11" s="15">
        <v>71</v>
      </c>
      <c r="N11" s="15" t="s">
        <v>211</v>
      </c>
      <c r="O11" s="15" t="s">
        <v>90</v>
      </c>
      <c r="P11" s="15">
        <v>6</v>
      </c>
      <c r="Q11" s="15" t="s">
        <v>212</v>
      </c>
      <c r="R11" s="15" t="s">
        <v>90</v>
      </c>
      <c r="S11" s="15">
        <v>13</v>
      </c>
      <c r="T11" s="15" t="s">
        <v>213</v>
      </c>
      <c r="U11" s="15" t="s">
        <v>90</v>
      </c>
      <c r="V11" s="15">
        <v>77</v>
      </c>
      <c r="W11" s="15" t="s">
        <v>444</v>
      </c>
      <c r="X11" s="15" t="s">
        <v>90</v>
      </c>
      <c r="Y11" s="15">
        <v>7</v>
      </c>
      <c r="Z11" s="15" t="s">
        <v>397</v>
      </c>
      <c r="AA11" s="15" t="s">
        <v>90</v>
      </c>
      <c r="AB11" s="15">
        <v>63</v>
      </c>
      <c r="AC11" s="15" t="s">
        <v>214</v>
      </c>
      <c r="AD11" s="15" t="s">
        <v>108</v>
      </c>
      <c r="AE11" s="15">
        <v>18</v>
      </c>
      <c r="AF11" s="15" t="s">
        <v>215</v>
      </c>
      <c r="AG11" s="15" t="s">
        <v>90</v>
      </c>
      <c r="AH11" s="15">
        <v>45</v>
      </c>
      <c r="AI11" s="15" t="s">
        <v>216</v>
      </c>
      <c r="AJ11" s="15" t="s">
        <v>90</v>
      </c>
      <c r="AK11" s="15">
        <v>10</v>
      </c>
      <c r="AL11" s="15" t="s">
        <v>217</v>
      </c>
      <c r="AM11" s="15" t="s">
        <v>90</v>
      </c>
      <c r="AN11" s="15">
        <v>17</v>
      </c>
      <c r="AO11" s="15" t="s">
        <v>218</v>
      </c>
      <c r="AP11" s="15" t="s">
        <v>90</v>
      </c>
      <c r="AQ11" s="15">
        <v>23</v>
      </c>
      <c r="AR11" s="15" t="s">
        <v>219</v>
      </c>
      <c r="AS11" s="15" t="s">
        <v>90</v>
      </c>
      <c r="AT11" s="15">
        <v>10</v>
      </c>
      <c r="AU11" s="15" t="s">
        <v>220</v>
      </c>
      <c r="AV11" s="15" t="s">
        <v>90</v>
      </c>
    </row>
    <row r="12" spans="1:48" x14ac:dyDescent="0.3">
      <c r="A12" s="15">
        <v>90</v>
      </c>
      <c r="B12" s="15" t="s">
        <v>391</v>
      </c>
      <c r="C12" s="15" t="s">
        <v>90</v>
      </c>
      <c r="D12" s="15">
        <v>4</v>
      </c>
      <c r="E12" s="15" t="s">
        <v>221</v>
      </c>
      <c r="F12" s="15" t="s">
        <v>90</v>
      </c>
      <c r="G12" s="15">
        <v>6</v>
      </c>
      <c r="H12" s="15" t="s">
        <v>222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223</v>
      </c>
      <c r="R12" s="15" t="s">
        <v>90</v>
      </c>
      <c r="S12" s="15">
        <v>14</v>
      </c>
      <c r="T12" s="15" t="s">
        <v>224</v>
      </c>
      <c r="U12" s="15" t="s">
        <v>90</v>
      </c>
      <c r="V12" s="15">
        <v>9</v>
      </c>
      <c r="W12" s="15" t="s">
        <v>445</v>
      </c>
      <c r="X12" s="15" t="s">
        <v>90</v>
      </c>
      <c r="Y12" s="15"/>
      <c r="Z12" s="15"/>
      <c r="AA12" s="15"/>
      <c r="AB12" s="15">
        <v>95</v>
      </c>
      <c r="AC12" s="15" t="s">
        <v>225</v>
      </c>
      <c r="AD12" s="15" t="s">
        <v>90</v>
      </c>
      <c r="AE12" s="15">
        <v>20</v>
      </c>
      <c r="AF12" s="15" t="s">
        <v>226</v>
      </c>
      <c r="AG12" s="15" t="s">
        <v>90</v>
      </c>
      <c r="AH12" s="15">
        <v>67</v>
      </c>
      <c r="AI12" s="15" t="s">
        <v>227</v>
      </c>
      <c r="AJ12" s="15" t="s">
        <v>90</v>
      </c>
      <c r="AK12" s="15">
        <v>11</v>
      </c>
      <c r="AL12" s="15" t="s">
        <v>228</v>
      </c>
      <c r="AM12" s="15" t="s">
        <v>108</v>
      </c>
      <c r="AN12" s="15">
        <v>21</v>
      </c>
      <c r="AO12" s="15" t="s">
        <v>229</v>
      </c>
      <c r="AP12" s="15" t="s">
        <v>90</v>
      </c>
      <c r="AQ12" s="15">
        <v>28</v>
      </c>
      <c r="AR12" s="15" t="s">
        <v>230</v>
      </c>
      <c r="AS12" s="15" t="s">
        <v>90</v>
      </c>
      <c r="AT12" s="15">
        <v>11</v>
      </c>
      <c r="AU12" s="15" t="s">
        <v>231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>
        <v>4</v>
      </c>
      <c r="H13" s="15" t="s">
        <v>232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233</v>
      </c>
      <c r="R13" s="15" t="s">
        <v>90</v>
      </c>
      <c r="S13" s="15">
        <v>17</v>
      </c>
      <c r="T13" s="15" t="s">
        <v>234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235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400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>
        <v>10</v>
      </c>
      <c r="H14" s="15" t="s">
        <v>236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>
        <v>20</v>
      </c>
      <c r="H15" s="15" t="s">
        <v>395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237</v>
      </c>
      <c r="B1" s="5" t="s">
        <v>0</v>
      </c>
      <c r="C1" s="5" t="s">
        <v>2</v>
      </c>
      <c r="D1" s="5" t="s">
        <v>238</v>
      </c>
      <c r="E1" s="5" t="s">
        <v>239</v>
      </c>
      <c r="F1" s="5" t="s">
        <v>240</v>
      </c>
      <c r="G1" s="5" t="s">
        <v>241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99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99 -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7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7 -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20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20 -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2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2 -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19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19 - DANIIL YAKIMENKO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8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8 -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3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3 -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14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14 -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1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1 -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18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18 -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4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4 -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1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1 - MATTIA MERLO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23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23 -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8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8 -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70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70 -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7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7 - EDDY MAZZETTO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5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5 -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45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45 -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2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2 -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9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9 -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6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6 -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4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4 -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10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10 - MATTEO SENO</v>
      </c>
    </row>
    <row r="74" spans="1:7" x14ac:dyDescent="0.3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20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20 - NICO PAVANI</v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1</v>
      </c>
      <c r="E217" t="str">
        <f>IF(Rosters!W8="","",Rosters!W8)</f>
        <v>ANTONIO CIRILLO</v>
      </c>
      <c r="F217" t="str">
        <f>IF(E217="","",Rosters!X8)</f>
        <v>No</v>
      </c>
      <c r="G217" t="str">
        <f t="shared" si="7"/>
        <v>1 - ANTONIO CIRILLO</v>
      </c>
    </row>
    <row r="218" spans="1:7" x14ac:dyDescent="0.3">
      <c r="A218" t="str">
        <f t="shared" si="6"/>
        <v>P217</v>
      </c>
      <c r="B218" t="str">
        <f>IF(E218="","",Teams!A9)</f>
        <v>T08</v>
      </c>
      <c r="C218" t="str">
        <f>IF(E218="","",Teams!C9)</f>
        <v>Beverton</v>
      </c>
      <c r="D218">
        <f>IF(E218="","",Rosters!V9)</f>
        <v>8</v>
      </c>
      <c r="E218" t="str">
        <f>IF(Rosters!W9="","",Rosters!W9)</f>
        <v>MOUMOUNI BAMOGO</v>
      </c>
      <c r="F218" t="str">
        <f>IF(E218="","",Rosters!X9)</f>
        <v>No</v>
      </c>
      <c r="G218" t="str">
        <f t="shared" si="7"/>
        <v>8 - MOUMOUNI BAMOGO</v>
      </c>
    </row>
    <row r="219" spans="1:7" x14ac:dyDescent="0.3">
      <c r="A219" t="str">
        <f t="shared" si="6"/>
        <v>P218</v>
      </c>
      <c r="B219" t="str">
        <f>IF(E219="","",Teams!A9)</f>
        <v>T08</v>
      </c>
      <c r="C219" t="str">
        <f>IF(E219="","",Teams!C9)</f>
        <v>Beverton</v>
      </c>
      <c r="D219">
        <f>IF(E219="","",Rosters!V10)</f>
        <v>5</v>
      </c>
      <c r="E219" t="str">
        <f>IF(Rosters!W10="","",Rosters!W10)</f>
        <v>DAVIDE SALVIATO</v>
      </c>
      <c r="F219" t="str">
        <f>IF(E219="","",Rosters!X10)</f>
        <v>No</v>
      </c>
      <c r="G219" t="str">
        <f t="shared" si="7"/>
        <v>5 - DAVIDE SALVIATO</v>
      </c>
    </row>
    <row r="220" spans="1:7" x14ac:dyDescent="0.3">
      <c r="A220" t="str">
        <f t="shared" si="6"/>
        <v>P219</v>
      </c>
      <c r="B220" t="str">
        <f>IF(E220="","",Teams!A9)</f>
        <v>T08</v>
      </c>
      <c r="C220" t="str">
        <f>IF(E220="","",Teams!C9)</f>
        <v>Beverton</v>
      </c>
      <c r="D220">
        <f>IF(E220="","",Rosters!V11)</f>
        <v>77</v>
      </c>
      <c r="E220" t="str">
        <f>IF(Rosters!W11="","",Rosters!W11)</f>
        <v>POKOU ANTHONY</v>
      </c>
      <c r="F220" t="str">
        <f>IF(E220="","",Rosters!X11)</f>
        <v>No</v>
      </c>
      <c r="G220" t="str">
        <f t="shared" si="7"/>
        <v>77 - POKOU ANTHONY</v>
      </c>
    </row>
    <row r="221" spans="1:7" x14ac:dyDescent="0.3">
      <c r="A221" t="str">
        <f t="shared" si="6"/>
        <v>P220</v>
      </c>
      <c r="B221" t="str">
        <f>IF(E221="","",Teams!A9)</f>
        <v>T08</v>
      </c>
      <c r="C221" t="str">
        <f>IF(E221="","",Teams!C9)</f>
        <v>Beverton</v>
      </c>
      <c r="D221">
        <f>IF(E221="","",Rosters!V12)</f>
        <v>9</v>
      </c>
      <c r="E221" t="str">
        <f>IF(Rosters!W12="","",Rosters!W12)</f>
        <v>ABDO ARAUFY</v>
      </c>
      <c r="F221" t="str">
        <f>IF(E221="","",Rosters!X12)</f>
        <v>No</v>
      </c>
      <c r="G221" t="str">
        <f t="shared" si="7"/>
        <v>9 - ABDO ARAUFY</v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17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17 - VLAD GABRIEL DUMINICA</v>
      </c>
    </row>
    <row r="250" spans="1:7" x14ac:dyDescent="0.3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7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7 - TOMMASO ZANGIROLAMI</v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7" workbookViewId="0">
      <selection activeCell="K23" sqref="K23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8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256</v>
      </c>
      <c r="B2" t="s">
        <v>1</v>
      </c>
      <c r="C2" t="s">
        <v>32</v>
      </c>
      <c r="D2">
        <v>1</v>
      </c>
      <c r="E2" t="s">
        <v>257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 x14ac:dyDescent="0.3">
      <c r="A3" t="s">
        <v>258</v>
      </c>
      <c r="B3" t="s">
        <v>1</v>
      </c>
      <c r="C3" t="s">
        <v>32</v>
      </c>
      <c r="D3">
        <v>1</v>
      </c>
      <c r="E3" t="s">
        <v>259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 x14ac:dyDescent="0.3">
      <c r="A4" t="s">
        <v>260</v>
      </c>
      <c r="B4" t="s">
        <v>1</v>
      </c>
      <c r="C4" t="s">
        <v>14</v>
      </c>
      <c r="D4">
        <v>1</v>
      </c>
      <c r="E4" t="s">
        <v>261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 x14ac:dyDescent="0.3">
      <c r="A5" t="s">
        <v>262</v>
      </c>
      <c r="B5" t="s">
        <v>1</v>
      </c>
      <c r="C5" t="s">
        <v>23</v>
      </c>
      <c r="D5">
        <v>1</v>
      </c>
      <c r="E5" t="s">
        <v>257</v>
      </c>
      <c r="F5" s="10">
        <v>0.61458333333333337</v>
      </c>
      <c r="G5" t="s">
        <v>24</v>
      </c>
      <c r="H5" t="s">
        <v>26</v>
      </c>
      <c r="I5" s="2">
        <v>5</v>
      </c>
      <c r="J5" s="2">
        <v>0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5 - 0 Pink 5ive</v>
      </c>
    </row>
    <row r="6" spans="1:26" x14ac:dyDescent="0.3">
      <c r="A6" t="s">
        <v>263</v>
      </c>
      <c r="B6" t="s">
        <v>1</v>
      </c>
      <c r="C6" t="s">
        <v>23</v>
      </c>
      <c r="D6">
        <v>1</v>
      </c>
      <c r="E6" t="s">
        <v>259</v>
      </c>
      <c r="F6" s="10">
        <v>0.61458333333333337</v>
      </c>
      <c r="G6" t="s">
        <v>28</v>
      </c>
      <c r="H6" t="s">
        <v>30</v>
      </c>
      <c r="I6" s="2">
        <v>2</v>
      </c>
      <c r="J6" s="2">
        <v>0</v>
      </c>
      <c r="K6" s="2"/>
      <c r="L6" t="str">
        <f t="shared" si="0"/>
        <v>Complete</v>
      </c>
      <c r="M6">
        <f>IF(OR(I6="",J6=""),"",IF(I6&gt;J6,Settings!$B$2,IF(I6&lt;J6,Settings!$B$5,IF(K6=G6,Settings!$B$3,IF(K6=H6,Settings!$B$4,"")))))</f>
        <v>3</v>
      </c>
      <c r="N6">
        <f>IF(OR(I6="",J6=""),"",IF(J6&gt;I6,Settings!$B$2,IF(J6&lt;I6,Settings!$B$5,IF(K6=H6,Settings!$B$3,IF(K6=G6,Settings!$B$4,"")))))</f>
        <v>0</v>
      </c>
      <c r="O6" t="str">
        <f t="shared" si="1"/>
        <v>Barrio Boys</v>
      </c>
      <c r="P6" t="str">
        <f t="shared" si="2"/>
        <v>Barrio Boys 2 - 0 Cani</v>
      </c>
    </row>
    <row r="7" spans="1:26" x14ac:dyDescent="0.3">
      <c r="A7" t="s">
        <v>264</v>
      </c>
      <c r="B7" t="s">
        <v>1</v>
      </c>
      <c r="C7" t="s">
        <v>14</v>
      </c>
      <c r="D7">
        <v>1</v>
      </c>
      <c r="E7" t="s">
        <v>261</v>
      </c>
      <c r="F7" s="10">
        <v>0.61458333333333337</v>
      </c>
      <c r="G7" t="s">
        <v>19</v>
      </c>
      <c r="H7" t="s">
        <v>21</v>
      </c>
      <c r="I7" s="2">
        <v>5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5 - 0 Beverton</v>
      </c>
    </row>
    <row r="8" spans="1:26" x14ac:dyDescent="0.3">
      <c r="A8" t="s">
        <v>265</v>
      </c>
      <c r="B8" t="s">
        <v>1</v>
      </c>
      <c r="C8" t="s">
        <v>5</v>
      </c>
      <c r="D8">
        <v>1</v>
      </c>
      <c r="E8" t="s">
        <v>257</v>
      </c>
      <c r="F8" s="10">
        <v>0.63541666666666663</v>
      </c>
      <c r="G8" t="s">
        <v>6</v>
      </c>
      <c r="H8" t="s">
        <v>8</v>
      </c>
      <c r="I8" s="2">
        <v>2</v>
      </c>
      <c r="J8" s="2">
        <v>1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2 - 1 FC Internazionale Rovigo</v>
      </c>
    </row>
    <row r="9" spans="1:26" x14ac:dyDescent="0.3">
      <c r="A9" t="s">
        <v>266</v>
      </c>
      <c r="B9" t="s">
        <v>1</v>
      </c>
      <c r="C9" t="s">
        <v>5</v>
      </c>
      <c r="D9">
        <v>1</v>
      </c>
      <c r="E9" t="s">
        <v>259</v>
      </c>
      <c r="F9" s="10">
        <v>0.63541666666666663</v>
      </c>
      <c r="G9" t="s">
        <v>10</v>
      </c>
      <c r="H9" t="s">
        <v>12</v>
      </c>
      <c r="I9" s="2">
        <v>3</v>
      </c>
      <c r="J9" s="2">
        <v>0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3</v>
      </c>
      <c r="N9">
        <f>IF(OR(I9="",J9=""),"",IF(J9&gt;I9,Settings!$B$2,IF(J9&lt;I9,Settings!$B$5,IF(K9=H9,Settings!$B$3,IF(K9=G9,Settings!$B$4,"")))))</f>
        <v>0</v>
      </c>
      <c r="O9" t="str">
        <f t="shared" si="1"/>
        <v>Moviola Utd</v>
      </c>
      <c r="P9" t="str">
        <f t="shared" si="2"/>
        <v>Moviola Utd 3 - 0 Astolfi Impianti Elettrici</v>
      </c>
    </row>
    <row r="10" spans="1:26" x14ac:dyDescent="0.3">
      <c r="A10" t="s">
        <v>267</v>
      </c>
      <c r="B10" t="s">
        <v>1</v>
      </c>
      <c r="C10" t="s">
        <v>32</v>
      </c>
      <c r="D10">
        <v>2</v>
      </c>
      <c r="E10" t="s">
        <v>261</v>
      </c>
      <c r="F10" s="10">
        <v>0.63541666666666663</v>
      </c>
      <c r="G10" t="s">
        <v>33</v>
      </c>
      <c r="H10" t="s">
        <v>37</v>
      </c>
      <c r="I10" s="2">
        <v>7</v>
      </c>
      <c r="J10" s="2">
        <v>2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3</v>
      </c>
      <c r="N10">
        <f>IF(OR(I10="",J10=""),"",IF(J10&gt;I10,Settings!$B$2,IF(J10&lt;I10,Settings!$B$5,IF(K10=H10,Settings!$B$3,IF(K10=G10,Settings!$B$4,"")))))</f>
        <v>0</v>
      </c>
      <c r="O10" t="str">
        <f t="shared" si="1"/>
        <v>All Blacks</v>
      </c>
      <c r="P10" t="str">
        <f t="shared" si="2"/>
        <v>All Blacks 7 - 2 Coca Juniors</v>
      </c>
    </row>
    <row r="11" spans="1:26" x14ac:dyDescent="0.3">
      <c r="A11" t="s">
        <v>268</v>
      </c>
      <c r="B11" t="s">
        <v>1</v>
      </c>
      <c r="C11" t="s">
        <v>14</v>
      </c>
      <c r="D11">
        <v>2</v>
      </c>
      <c r="E11" t="s">
        <v>257</v>
      </c>
      <c r="F11" s="10">
        <v>0.65625</v>
      </c>
      <c r="G11" t="s">
        <v>15</v>
      </c>
      <c r="H11" t="s">
        <v>19</v>
      </c>
      <c r="I11" s="2">
        <v>0</v>
      </c>
      <c r="J11" s="2">
        <v>5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0 - 5 AS Bancatore</v>
      </c>
    </row>
    <row r="12" spans="1:26" x14ac:dyDescent="0.3">
      <c r="A12" t="s">
        <v>269</v>
      </c>
      <c r="B12" t="s">
        <v>1</v>
      </c>
      <c r="C12" t="s">
        <v>14</v>
      </c>
      <c r="D12">
        <v>2</v>
      </c>
      <c r="E12" t="s">
        <v>259</v>
      </c>
      <c r="F12" s="10">
        <v>0.65625</v>
      </c>
      <c r="G12" t="s">
        <v>17</v>
      </c>
      <c r="H12" t="s">
        <v>21</v>
      </c>
      <c r="I12" s="2">
        <v>1</v>
      </c>
      <c r="J12" s="2">
        <v>1</v>
      </c>
      <c r="K12" s="2" t="s">
        <v>17</v>
      </c>
      <c r="L12" t="str">
        <f t="shared" si="0"/>
        <v>Complete</v>
      </c>
      <c r="M12">
        <f>IF(OR(I12="",J12=""),"",IF(I12&gt;J12,Settings!$B$2,IF(I12&lt;J12,Settings!$B$5,IF(K12=G12,Settings!$B$3,IF(K12=H12,Settings!$B$4,"")))))</f>
        <v>2</v>
      </c>
      <c r="N12">
        <f>IF(OR(I12="",J12=""),"",IF(J12&gt;I12,Settings!$B$2,IF(J12&lt;I12,Settings!$B$5,IF(K12=H12,Settings!$B$3,IF(K12=G12,Settings!$B$4,"")))))</f>
        <v>1</v>
      </c>
      <c r="O12" t="str">
        <f t="shared" si="1"/>
        <v>Vecchie Glorie Rovigo</v>
      </c>
      <c r="P12" t="str">
        <f t="shared" si="2"/>
        <v>Vecchie Glorie Rovigo 1 - 1 Beverton (rigori: Vecchie Glorie Rovigo)</v>
      </c>
    </row>
    <row r="13" spans="1:26" x14ac:dyDescent="0.3">
      <c r="A13" t="s">
        <v>270</v>
      </c>
      <c r="B13" t="s">
        <v>1</v>
      </c>
      <c r="C13" t="s">
        <v>32</v>
      </c>
      <c r="D13">
        <v>2</v>
      </c>
      <c r="E13" t="s">
        <v>261</v>
      </c>
      <c r="F13" s="10">
        <v>0.65625</v>
      </c>
      <c r="G13" t="s">
        <v>35</v>
      </c>
      <c r="H13" t="s">
        <v>39</v>
      </c>
      <c r="I13" s="2">
        <v>0</v>
      </c>
      <c r="J13" s="2">
        <v>0</v>
      </c>
      <c r="K13" s="2" t="s">
        <v>35</v>
      </c>
      <c r="L13" t="str">
        <f t="shared" si="0"/>
        <v>Complete</v>
      </c>
      <c r="M13">
        <f>IF(OR(I13="",J13=""),"",IF(I13&gt;J13,Settings!$B$2,IF(I13&lt;J13,Settings!$B$5,IF(K13=G13,Settings!$B$3,IF(K13=H13,Settings!$B$4,"")))))</f>
        <v>2</v>
      </c>
      <c r="N13">
        <f>IF(OR(I13="",J13=""),"",IF(J13&gt;I13,Settings!$B$2,IF(J13&lt;I13,Settings!$B$5,IF(K13=H13,Settings!$B$3,IF(K13=G13,Settings!$B$4,"")))))</f>
        <v>1</v>
      </c>
      <c r="O13" t="str">
        <f t="shared" si="1"/>
        <v>Boldò Glimt</v>
      </c>
      <c r="P13" t="str">
        <f t="shared" si="2"/>
        <v>Boldò Glimt 0 - 0 Piadineria la Salsiccia (rigori: Boldò Glimt)</v>
      </c>
    </row>
    <row r="14" spans="1:26" x14ac:dyDescent="0.3">
      <c r="A14" t="s">
        <v>271</v>
      </c>
      <c r="B14" t="s">
        <v>1</v>
      </c>
      <c r="C14" t="s">
        <v>23</v>
      </c>
      <c r="D14">
        <v>2</v>
      </c>
      <c r="E14" t="s">
        <v>257</v>
      </c>
      <c r="F14" s="10">
        <v>0.6875</v>
      </c>
      <c r="G14" t="s">
        <v>24</v>
      </c>
      <c r="H14" t="s">
        <v>28</v>
      </c>
      <c r="I14" s="2">
        <v>1</v>
      </c>
      <c r="J14" s="2">
        <v>1</v>
      </c>
      <c r="K14" s="2" t="s">
        <v>28</v>
      </c>
      <c r="L14" t="str">
        <f t="shared" si="0"/>
        <v>Complete</v>
      </c>
      <c r="M14">
        <f>IF(OR(I14="",J14=""),"",IF(I14&gt;J14,Settings!$B$2,IF(I14&lt;J14,Settings!$B$5,IF(K14=G14,Settings!$B$3,IF(K14=H14,Settings!$B$4,"")))))</f>
        <v>1</v>
      </c>
      <c r="N14">
        <f>IF(OR(I14="",J14=""),"",IF(J14&gt;I14,Settings!$B$2,IF(J14&lt;I14,Settings!$B$5,IF(K14=H14,Settings!$B$3,IF(K14=G14,Settings!$B$4,"")))))</f>
        <v>2</v>
      </c>
      <c r="O14" t="str">
        <f t="shared" si="1"/>
        <v>Barrio Boys</v>
      </c>
      <c r="P14" t="str">
        <f t="shared" si="2"/>
        <v>Leoni di Ricky 1 - 1 Barrio Boys (rigori: Barrio Boys)</v>
      </c>
    </row>
    <row r="15" spans="1:26" x14ac:dyDescent="0.3">
      <c r="A15" t="s">
        <v>272</v>
      </c>
      <c r="B15" t="s">
        <v>1</v>
      </c>
      <c r="C15" t="s">
        <v>23</v>
      </c>
      <c r="D15">
        <v>2</v>
      </c>
      <c r="E15" t="s">
        <v>259</v>
      </c>
      <c r="F15" s="10">
        <v>0.6875</v>
      </c>
      <c r="G15" t="s">
        <v>26</v>
      </c>
      <c r="H15" t="s">
        <v>30</v>
      </c>
      <c r="I15" s="2">
        <v>4</v>
      </c>
      <c r="J15" s="2">
        <v>2</v>
      </c>
      <c r="K15" s="2"/>
      <c r="L15" t="str">
        <f t="shared" si="0"/>
        <v>Complete</v>
      </c>
      <c r="M15">
        <f>IF(OR(I15="",J15=""),"",IF(I15&gt;J15,Settings!$B$2,IF(I15&lt;J15,Settings!$B$5,IF(K15=G15,Settings!$B$3,IF(K15=H15,Settings!$B$4,"")))))</f>
        <v>3</v>
      </c>
      <c r="N15">
        <f>IF(OR(I15="",J15=""),"",IF(J15&gt;I15,Settings!$B$2,IF(J15&lt;I15,Settings!$B$5,IF(K15=H15,Settings!$B$3,IF(K15=G15,Settings!$B$4,"")))))</f>
        <v>0</v>
      </c>
      <c r="O15" t="str">
        <f t="shared" si="1"/>
        <v>Pink 5ive</v>
      </c>
      <c r="P15" t="str">
        <f t="shared" si="2"/>
        <v>Pink 5ive 4 - 2 Cani</v>
      </c>
    </row>
    <row r="16" spans="1:26" x14ac:dyDescent="0.3">
      <c r="A16" t="s">
        <v>273</v>
      </c>
      <c r="B16" t="s">
        <v>1</v>
      </c>
      <c r="C16" t="s">
        <v>5</v>
      </c>
      <c r="D16">
        <v>2</v>
      </c>
      <c r="E16" t="s">
        <v>261</v>
      </c>
      <c r="F16" s="10">
        <v>0.6875</v>
      </c>
      <c r="G16" t="s">
        <v>6</v>
      </c>
      <c r="H16" t="s">
        <v>10</v>
      </c>
      <c r="I16" s="2">
        <v>1</v>
      </c>
      <c r="J16" s="2">
        <v>4</v>
      </c>
      <c r="K16" s="2"/>
      <c r="L16" t="str">
        <f t="shared" si="0"/>
        <v>Complete</v>
      </c>
      <c r="M16">
        <f>IF(OR(I16="",J16=""),"",IF(I16&gt;J16,Settings!$B$2,IF(I16&lt;J16,Settings!$B$5,IF(K16=G16,Settings!$B$3,IF(K16=H16,Settings!$B$4,"")))))</f>
        <v>0</v>
      </c>
      <c r="N16">
        <f>IF(OR(I16="",J16=""),"",IF(J16&gt;I16,Settings!$B$2,IF(J16&lt;I16,Settings!$B$5,IF(K16=H16,Settings!$B$3,IF(K16=G16,Settings!$B$4,"")))))</f>
        <v>3</v>
      </c>
      <c r="O16" t="str">
        <f t="shared" si="1"/>
        <v>Moviola Utd</v>
      </c>
      <c r="P16" t="str">
        <f t="shared" si="2"/>
        <v>Fatine FC 1 - 4 Moviola Utd</v>
      </c>
    </row>
    <row r="17" spans="1:16" x14ac:dyDescent="0.3">
      <c r="A17" t="s">
        <v>274</v>
      </c>
      <c r="B17" t="s">
        <v>1</v>
      </c>
      <c r="C17" t="s">
        <v>32</v>
      </c>
      <c r="D17">
        <v>3</v>
      </c>
      <c r="E17" t="s">
        <v>257</v>
      </c>
      <c r="F17" s="10">
        <v>0.70833333333333337</v>
      </c>
      <c r="G17" t="s">
        <v>33</v>
      </c>
      <c r="H17" t="s">
        <v>39</v>
      </c>
      <c r="I17" s="2">
        <v>0</v>
      </c>
      <c r="J17" s="2">
        <v>0</v>
      </c>
      <c r="K17" s="2" t="s">
        <v>39</v>
      </c>
      <c r="L17" t="str">
        <f t="shared" si="0"/>
        <v>Complete</v>
      </c>
      <c r="M17">
        <f>IF(OR(I17="",J17=""),"",IF(I17&gt;J17,Settings!$B$2,IF(I17&lt;J17,Settings!$B$5,IF(K17=G17,Settings!$B$3,IF(K17=H17,Settings!$B$4,"")))))</f>
        <v>1</v>
      </c>
      <c r="N17">
        <f>IF(OR(I17="",J17=""),"",IF(J17&gt;I17,Settings!$B$2,IF(J17&lt;I17,Settings!$B$5,IF(K17=H17,Settings!$B$3,IF(K17=G17,Settings!$B$4,"")))))</f>
        <v>2</v>
      </c>
      <c r="O17" t="str">
        <f t="shared" si="1"/>
        <v>Piadineria la Salsiccia</v>
      </c>
      <c r="P17" t="str">
        <f t="shared" si="2"/>
        <v>All Blacks 0 - 0 Piadineria la Salsiccia (rigori: Piadineria la Salsiccia)</v>
      </c>
    </row>
    <row r="18" spans="1:16" x14ac:dyDescent="0.3">
      <c r="A18" t="s">
        <v>275</v>
      </c>
      <c r="B18" t="s">
        <v>1</v>
      </c>
      <c r="C18" t="s">
        <v>32</v>
      </c>
      <c r="D18">
        <v>3</v>
      </c>
      <c r="E18" t="s">
        <v>259</v>
      </c>
      <c r="F18" s="10">
        <v>0.70833333333333337</v>
      </c>
      <c r="G18" t="s">
        <v>35</v>
      </c>
      <c r="H18" t="s">
        <v>37</v>
      </c>
      <c r="I18" s="2">
        <v>1</v>
      </c>
      <c r="J18" s="2">
        <v>1</v>
      </c>
      <c r="K18" s="2" t="s">
        <v>35</v>
      </c>
      <c r="L18" t="str">
        <f t="shared" si="0"/>
        <v>Complete</v>
      </c>
      <c r="M18">
        <f>IF(OR(I18="",J18=""),"",IF(I18&gt;J18,Settings!$B$2,IF(I18&lt;J18,Settings!$B$5,IF(K18=G18,Settings!$B$3,IF(K18=H18,Settings!$B$4,"")))))</f>
        <v>2</v>
      </c>
      <c r="N18">
        <f>IF(OR(I18="",J18=""),"",IF(J18&gt;I18,Settings!$B$2,IF(J18&lt;I18,Settings!$B$5,IF(K18=H18,Settings!$B$3,IF(K18=G18,Settings!$B$4,"")))))</f>
        <v>1</v>
      </c>
      <c r="O18" t="str">
        <f t="shared" si="1"/>
        <v>Boldò Glimt</v>
      </c>
      <c r="P18" t="str">
        <f t="shared" si="2"/>
        <v>Boldò Glimt 1 - 1 Coca Juniors (rigori: Boldò Glimt)</v>
      </c>
    </row>
    <row r="19" spans="1:16" x14ac:dyDescent="0.3">
      <c r="A19" t="s">
        <v>276</v>
      </c>
      <c r="B19" t="s">
        <v>1</v>
      </c>
      <c r="C19" t="s">
        <v>5</v>
      </c>
      <c r="D19">
        <v>2</v>
      </c>
      <c r="E19" t="s">
        <v>261</v>
      </c>
      <c r="F19" s="10">
        <v>0.70833333333333337</v>
      </c>
      <c r="G19" t="s">
        <v>8</v>
      </c>
      <c r="H19" t="s">
        <v>12</v>
      </c>
      <c r="I19" s="2">
        <v>4</v>
      </c>
      <c r="J19" s="2">
        <v>0</v>
      </c>
      <c r="K19" s="2"/>
      <c r="L19" t="str">
        <f t="shared" si="0"/>
        <v>Complete</v>
      </c>
      <c r="M19">
        <f>IF(OR(I19="",J19=""),"",IF(I19&gt;J19,Settings!$B$2,IF(I19&lt;J19,Settings!$B$5,IF(K19=G19,Settings!$B$3,IF(K19=H19,Settings!$B$4,"")))))</f>
        <v>3</v>
      </c>
      <c r="N19">
        <f>IF(OR(I19="",J19=""),"",IF(J19&gt;I19,Settings!$B$2,IF(J19&lt;I19,Settings!$B$5,IF(K19=H19,Settings!$B$3,IF(K19=G19,Settings!$B$4,"")))))</f>
        <v>0</v>
      </c>
      <c r="O19" t="str">
        <f t="shared" si="1"/>
        <v>FC Internazionale Rovigo</v>
      </c>
      <c r="P19" t="str">
        <f t="shared" si="2"/>
        <v>FC Internazionale Rovigo 4 - 0 Astolfi Impianti Elettrici</v>
      </c>
    </row>
    <row r="20" spans="1:16" x14ac:dyDescent="0.3">
      <c r="A20" t="s">
        <v>277</v>
      </c>
      <c r="B20" t="s">
        <v>1</v>
      </c>
      <c r="C20" t="s">
        <v>14</v>
      </c>
      <c r="D20">
        <v>3</v>
      </c>
      <c r="E20" t="s">
        <v>257</v>
      </c>
      <c r="F20" s="10">
        <v>0.72916666666666663</v>
      </c>
      <c r="G20" t="s">
        <v>15</v>
      </c>
      <c r="H20" t="s">
        <v>21</v>
      </c>
      <c r="I20" s="2">
        <v>1</v>
      </c>
      <c r="J20" s="2">
        <v>4</v>
      </c>
      <c r="K20" s="2"/>
      <c r="L20" t="str">
        <f t="shared" si="0"/>
        <v>Complete</v>
      </c>
      <c r="M20">
        <f>IF(OR(I20="",J20=""),"",IF(I20&gt;J20,Settings!$B$2,IF(I20&lt;J20,Settings!$B$5,IF(K20=G20,Settings!$B$3,IF(K20=H20,Settings!$B$4,"")))))</f>
        <v>0</v>
      </c>
      <c r="N20">
        <f>IF(OR(I20="",J20=""),"",IF(J20&gt;I20,Settings!$B$2,IF(J20&lt;I20,Settings!$B$5,IF(K20=H20,Settings!$B$3,IF(K20=G20,Settings!$B$4,"")))))</f>
        <v>3</v>
      </c>
      <c r="O20" t="str">
        <f t="shared" si="1"/>
        <v>Beverton</v>
      </c>
      <c r="P20" t="str">
        <f t="shared" si="2"/>
        <v>Totani 1 - 4 Beverton</v>
      </c>
    </row>
    <row r="21" spans="1:16" x14ac:dyDescent="0.3">
      <c r="A21" t="s">
        <v>278</v>
      </c>
      <c r="B21" t="s">
        <v>1</v>
      </c>
      <c r="C21" t="s">
        <v>14</v>
      </c>
      <c r="D21">
        <v>3</v>
      </c>
      <c r="E21" t="s">
        <v>259</v>
      </c>
      <c r="F21" s="10">
        <v>0.72916666666666663</v>
      </c>
      <c r="G21" t="s">
        <v>17</v>
      </c>
      <c r="H21" t="s">
        <v>19</v>
      </c>
      <c r="I21" s="2">
        <v>0</v>
      </c>
      <c r="J21" s="2">
        <v>3</v>
      </c>
      <c r="K21" s="2"/>
      <c r="L21" t="str">
        <f t="shared" si="0"/>
        <v>Complete</v>
      </c>
      <c r="M21">
        <f>IF(OR(I21="",J21=""),"",IF(I21&gt;J21,Settings!$B$2,IF(I21&lt;J21,Settings!$B$5,IF(K21=G21,Settings!$B$3,IF(K21=H21,Settings!$B$4,"")))))</f>
        <v>0</v>
      </c>
      <c r="N21">
        <f>IF(OR(I21="",J21=""),"",IF(J21&gt;I21,Settings!$B$2,IF(J21&lt;I21,Settings!$B$5,IF(K21=H21,Settings!$B$3,IF(K21=G21,Settings!$B$4,"")))))</f>
        <v>3</v>
      </c>
      <c r="O21" t="str">
        <f t="shared" si="1"/>
        <v>AS Bancatore</v>
      </c>
      <c r="P21" t="str">
        <f t="shared" si="2"/>
        <v>Vecchie Glorie Rovigo 0 - 3 AS Bancatore</v>
      </c>
    </row>
    <row r="22" spans="1:16" x14ac:dyDescent="0.3">
      <c r="A22" t="s">
        <v>279</v>
      </c>
      <c r="B22" t="s">
        <v>1</v>
      </c>
      <c r="C22" t="s">
        <v>23</v>
      </c>
      <c r="D22">
        <v>3</v>
      </c>
      <c r="E22" t="s">
        <v>261</v>
      </c>
      <c r="F22" s="10">
        <v>0.72916666666666663</v>
      </c>
      <c r="G22" t="s">
        <v>24</v>
      </c>
      <c r="H22" t="s">
        <v>30</v>
      </c>
      <c r="I22" s="2">
        <v>6</v>
      </c>
      <c r="J22" s="2">
        <v>0</v>
      </c>
      <c r="K22" s="2"/>
      <c r="L22" t="str">
        <f t="shared" si="0"/>
        <v>Complete</v>
      </c>
      <c r="M22">
        <f>IF(OR(I22="",J22=""),"",IF(I22&gt;J22,Settings!$B$2,IF(I22&lt;J22,Settings!$B$5,IF(K22=G22,Settings!$B$3,IF(K22=H22,Settings!$B$4,"")))))</f>
        <v>3</v>
      </c>
      <c r="N22">
        <f>IF(OR(I22="",J22=""),"",IF(J22&gt;I22,Settings!$B$2,IF(J22&lt;I22,Settings!$B$5,IF(K22=H22,Settings!$B$3,IF(K22=G22,Settings!$B$4,"")))))</f>
        <v>0</v>
      </c>
      <c r="O22" t="str">
        <f t="shared" si="1"/>
        <v>Leoni di Ricky</v>
      </c>
      <c r="P22" t="str">
        <f t="shared" si="2"/>
        <v>Leoni di Ricky 6 - 0 Cani</v>
      </c>
    </row>
    <row r="23" spans="1:16" x14ac:dyDescent="0.3">
      <c r="A23" t="s">
        <v>280</v>
      </c>
      <c r="B23" t="s">
        <v>1</v>
      </c>
      <c r="C23" t="s">
        <v>5</v>
      </c>
      <c r="D23">
        <v>3</v>
      </c>
      <c r="E23" t="s">
        <v>257</v>
      </c>
      <c r="F23" s="10">
        <v>0.75</v>
      </c>
      <c r="G23" t="s">
        <v>6</v>
      </c>
      <c r="H23" t="s">
        <v>12</v>
      </c>
      <c r="I23" s="2">
        <v>4</v>
      </c>
      <c r="J23" s="2">
        <v>0</v>
      </c>
      <c r="K23" s="2"/>
      <c r="L23" t="str">
        <f t="shared" si="0"/>
        <v>Complete</v>
      </c>
      <c r="M23">
        <f>IF(OR(I23="",J23=""),"",IF(I23&gt;J23,Settings!$B$2,IF(I23&lt;J23,Settings!$B$5,IF(K23=G23,Settings!$B$3,IF(K23=H23,Settings!$B$4,"")))))</f>
        <v>3</v>
      </c>
      <c r="N23">
        <f>IF(OR(I23="",J23=""),"",IF(J23&gt;I23,Settings!$B$2,IF(J23&lt;I23,Settings!$B$5,IF(K23=H23,Settings!$B$3,IF(K23=G23,Settings!$B$4,"")))))</f>
        <v>0</v>
      </c>
      <c r="O23" t="str">
        <f t="shared" si="1"/>
        <v>Fatine FC</v>
      </c>
      <c r="P23" t="str">
        <f t="shared" si="2"/>
        <v>Fatine FC 4 - 0 Astolfi Impianti Elettrici</v>
      </c>
    </row>
    <row r="24" spans="1:16" x14ac:dyDescent="0.3">
      <c r="A24" t="s">
        <v>281</v>
      </c>
      <c r="B24" t="s">
        <v>1</v>
      </c>
      <c r="C24" t="s">
        <v>5</v>
      </c>
      <c r="D24">
        <v>3</v>
      </c>
      <c r="E24" t="s">
        <v>259</v>
      </c>
      <c r="F24" s="10">
        <v>0.75</v>
      </c>
      <c r="G24" t="s">
        <v>8</v>
      </c>
      <c r="H24" t="s">
        <v>10</v>
      </c>
      <c r="I24" s="2">
        <v>1</v>
      </c>
      <c r="J24" s="2">
        <v>1</v>
      </c>
      <c r="K24" s="2" t="s">
        <v>8</v>
      </c>
      <c r="L24" t="str">
        <f t="shared" si="0"/>
        <v>Complete</v>
      </c>
      <c r="M24">
        <f>IF(OR(I24="",J24=""),"",IF(I24&gt;J24,Settings!$B$2,IF(I24&lt;J24,Settings!$B$5,IF(K24=G24,Settings!$B$3,IF(K24=H24,Settings!$B$4,"")))))</f>
        <v>2</v>
      </c>
      <c r="N24">
        <f>IF(OR(I24="",J24=""),"",IF(J24&gt;I24,Settings!$B$2,IF(J24&lt;I24,Settings!$B$5,IF(K24=H24,Settings!$B$3,IF(K24=G24,Settings!$B$4,"")))))</f>
        <v>1</v>
      </c>
      <c r="O24" t="str">
        <f t="shared" si="1"/>
        <v>FC Internazionale Rovigo</v>
      </c>
      <c r="P24" t="str">
        <f t="shared" si="2"/>
        <v>FC Internazionale Rovigo 1 - 1 Moviola Utd (rigori: FC Internazionale Rovigo)</v>
      </c>
    </row>
    <row r="25" spans="1:16" x14ac:dyDescent="0.3">
      <c r="A25" t="s">
        <v>282</v>
      </c>
      <c r="B25" t="s">
        <v>1</v>
      </c>
      <c r="C25" t="s">
        <v>23</v>
      </c>
      <c r="D25">
        <v>3</v>
      </c>
      <c r="E25" t="s">
        <v>261</v>
      </c>
      <c r="F25" s="10">
        <v>0.75</v>
      </c>
      <c r="G25" t="s">
        <v>26</v>
      </c>
      <c r="H25" t="s">
        <v>28</v>
      </c>
      <c r="I25" s="2">
        <v>1</v>
      </c>
      <c r="J25" s="2">
        <v>4</v>
      </c>
      <c r="K25" s="2"/>
      <c r="L25" t="str">
        <f t="shared" si="0"/>
        <v>Complete</v>
      </c>
      <c r="M25">
        <f>IF(OR(I25="",J25=""),"",IF(I25&gt;J25,Settings!$B$2,IF(I25&lt;J25,Settings!$B$5,IF(K25=G25,Settings!$B$3,IF(K25=H25,Settings!$B$4,"")))))</f>
        <v>0</v>
      </c>
      <c r="N25">
        <f>IF(OR(I25="",J25=""),"",IF(J25&gt;I25,Settings!$B$2,IF(J25&lt;I25,Settings!$B$5,IF(K25=H25,Settings!$B$3,IF(K25=G25,Settings!$B$4,"")))))</f>
        <v>3</v>
      </c>
      <c r="O25" t="str">
        <f t="shared" si="1"/>
        <v>Barrio Boys</v>
      </c>
      <c r="P25" t="str">
        <f t="shared" si="2"/>
        <v>Pink 5ive 1 - 4 Barrio Boys</v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opLeftCell="A254" workbookViewId="0">
      <selection activeCell="E258" sqref="E258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403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402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402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407</v>
      </c>
      <c r="E14" s="2" t="s">
        <v>408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404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404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404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409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409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410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411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412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405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406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413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413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413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Leoni di Ricky</v>
      </c>
      <c r="C41">
        <f>IF(A41="","",COUNTIFS($A$2:A41,A41,$B$2:B41,B41))</f>
        <v>4</v>
      </c>
      <c r="D41" s="2" t="str">
        <f t="shared" si="0"/>
        <v>Goal</v>
      </c>
      <c r="E41" s="2" t="s">
        <v>414</v>
      </c>
      <c r="F41" t="str">
        <f t="shared" si="1"/>
        <v>Leoni di Ricky</v>
      </c>
      <c r="G41" t="str">
        <f t="shared" si="2"/>
        <v>OK</v>
      </c>
      <c r="H41" t="str">
        <f>IF(F41="","",VLOOKUP(F41,Validation!$A$2:$B$17,2,FALSE))</f>
        <v>Validation!$K$2:$K$31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Leoni di Ricky</v>
      </c>
      <c r="C42">
        <f>IF(A42="","",COUNTIFS($A$2:A42,A42,$B$2:B42,B42))</f>
        <v>5</v>
      </c>
      <c r="D42" s="2" t="str">
        <f t="shared" si="0"/>
        <v>Goal</v>
      </c>
      <c r="E42" s="2" t="s">
        <v>415</v>
      </c>
      <c r="F42" t="str">
        <f t="shared" si="1"/>
        <v>Leoni di Ricky</v>
      </c>
      <c r="G42" t="str">
        <f t="shared" si="2"/>
        <v>OK</v>
      </c>
      <c r="H42" t="str">
        <f>IF(F42="","",VLOOKUP(F42,Validation!$A$2:$B$17,2,FALSE))</f>
        <v>Validation!$K$2:$K$31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416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417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418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>M06</v>
      </c>
      <c r="B63" t="str">
        <f>IF(A63="","",IF(J63&lt;=INDEX(Matches!$I$2:$I$25,I63-1),INDEX(Matches!$G$2:$G$25,I63-1),INDEX(Matches!$H$2:$H$25,I63-1)))</f>
        <v>AS Bancatore</v>
      </c>
      <c r="C63">
        <f>IF(A63="","",COUNTIFS($A$2:A63,A63,$B$2:B63,B63))</f>
        <v>2</v>
      </c>
      <c r="D63" s="2" t="str">
        <f t="shared" si="0"/>
        <v>Goal</v>
      </c>
      <c r="E63" s="2" t="s">
        <v>418</v>
      </c>
      <c r="F63" t="str">
        <f t="shared" si="1"/>
        <v>AS Bancatore</v>
      </c>
      <c r="G63" t="str">
        <f t="shared" si="2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>M06</v>
      </c>
      <c r="B64" t="str">
        <f>IF(A64="","",IF(J64&lt;=INDEX(Matches!$I$2:$I$25,I64-1),INDEX(Matches!$G$2:$G$25,I64-1),INDEX(Matches!$H$2:$H$25,I64-1)))</f>
        <v>AS Bancatore</v>
      </c>
      <c r="C64">
        <f>IF(A64="","",COUNTIFS($A$2:A64,A64,$B$2:B64,B64))</f>
        <v>3</v>
      </c>
      <c r="D64" s="2" t="str">
        <f t="shared" si="0"/>
        <v>Goal</v>
      </c>
      <c r="E64" s="2" t="s">
        <v>419</v>
      </c>
      <c r="F64" t="str">
        <f t="shared" si="1"/>
        <v>AS Bancatore</v>
      </c>
      <c r="G64" t="str">
        <f t="shared" si="2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>M06</v>
      </c>
      <c r="B65" t="str">
        <f>IF(A65="","",IF(J65&lt;=INDEX(Matches!$I$2:$I$25,I65-1),INDEX(Matches!$G$2:$G$25,I65-1),INDEX(Matches!$H$2:$H$25,I65-1)))</f>
        <v>AS Bancatore</v>
      </c>
      <c r="C65">
        <f>IF(A65="","",COUNTIFS($A$2:A65,A65,$B$2:B65,B65))</f>
        <v>4</v>
      </c>
      <c r="D65" s="2" t="str">
        <f t="shared" si="0"/>
        <v>Goal</v>
      </c>
      <c r="E65" s="2" t="s">
        <v>420</v>
      </c>
      <c r="F65" t="str">
        <f t="shared" si="1"/>
        <v>AS Bancatore</v>
      </c>
      <c r="G65" t="str">
        <f t="shared" si="2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>M06</v>
      </c>
      <c r="B66" t="str">
        <f>IF(A66="","",IF(J66&lt;=INDEX(Matches!$I$2:$I$25,I66-1),INDEX(Matches!$G$2:$G$25,I66-1),INDEX(Matches!$H$2:$H$25,I66-1)))</f>
        <v>AS Bancatore</v>
      </c>
      <c r="C66">
        <f>IF(A66="","",COUNTIFS($A$2:A66,A66,$B$2:B66,B66))</f>
        <v>5</v>
      </c>
      <c r="D66" s="2" t="str">
        <f t="shared" ref="D66:D129" si="3">IF(A66="","","Goal")</f>
        <v>Goal</v>
      </c>
      <c r="E66" s="2" t="s">
        <v>421</v>
      </c>
      <c r="F66" t="str">
        <f t="shared" ref="F66:F129" si="4">IF(A66="","",IF(D66="Autogol","",IF(D66="Goal",B66,"")))</f>
        <v>AS Bancatore</v>
      </c>
      <c r="G66" t="str">
        <f t="shared" ref="G66:G129" si="5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Validation!$I$2:$I$31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430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431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FC Internazionale Rovigo</v>
      </c>
      <c r="C76">
        <f>IF(A76="","",COUNTIFS($A$2:A76,A76,$B$2:B76,B76))</f>
        <v>1</v>
      </c>
      <c r="D76" s="2" t="str">
        <f t="shared" si="3"/>
        <v>Goal</v>
      </c>
      <c r="E76" s="2" t="s">
        <v>432</v>
      </c>
      <c r="F76" t="str">
        <f t="shared" si="4"/>
        <v>FC Internazionale Rovigo</v>
      </c>
      <c r="G76" t="str">
        <f t="shared" si="5"/>
        <v>OK</v>
      </c>
      <c r="H76" t="str">
        <f>IF(F76="","",VLOOKUP(F76,Validation!$A$2:$B$17,2,FALSE))</f>
        <v>Validation!$D$2:$D$31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438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Validation!$E$2:$E$31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439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Validation!$E$2:$E$31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Moviola Utd</v>
      </c>
      <c r="C88">
        <f>IF(A88="","",COUNTIFS($A$2:A88,A88,$B$2:B88,B88))</f>
        <v>3</v>
      </c>
      <c r="D88" s="2" t="str">
        <f t="shared" si="3"/>
        <v>Goal</v>
      </c>
      <c r="E88" s="2" t="s">
        <v>440</v>
      </c>
      <c r="F88" t="str">
        <f t="shared" si="4"/>
        <v>Moviola Utd</v>
      </c>
      <c r="G88" t="str">
        <f t="shared" si="5"/>
        <v>OK</v>
      </c>
      <c r="H88" t="str">
        <f>IF(F88="","",VLOOKUP(F88,Validation!$A$2:$B$17,2,FALSE))</f>
        <v>Validation!$E$2:$E$31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403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Validation!$O$2:$O$31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403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Validation!$O$2:$O$31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403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Validation!$O$2:$O$31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All Blacks</v>
      </c>
      <c r="C101">
        <f>IF(A101="","",COUNTIFS($A$2:A101,A101,$B$2:B101,B101))</f>
        <v>4</v>
      </c>
      <c r="D101" s="2" t="str">
        <f t="shared" si="3"/>
        <v>Goal</v>
      </c>
      <c r="E101" s="2" t="s">
        <v>433</v>
      </c>
      <c r="F101" t="str">
        <f t="shared" si="4"/>
        <v>All Blacks</v>
      </c>
      <c r="G101" t="str">
        <f t="shared" si="5"/>
        <v>OK</v>
      </c>
      <c r="H101" t="str">
        <f>IF(F101="","",VLOOKUP(F101,Validation!$A$2:$B$17,2,FALSE))</f>
        <v>Validation!$O$2:$O$31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All Blacks</v>
      </c>
      <c r="C102">
        <f>IF(A102="","",COUNTIFS($A$2:A102,A102,$B$2:B102,B102))</f>
        <v>5</v>
      </c>
      <c r="D102" s="2" t="str">
        <f t="shared" si="3"/>
        <v>Goal</v>
      </c>
      <c r="E102" s="2" t="s">
        <v>433</v>
      </c>
      <c r="F102" t="str">
        <f t="shared" si="4"/>
        <v>All Blacks</v>
      </c>
      <c r="G102" t="str">
        <f t="shared" si="5"/>
        <v>OK</v>
      </c>
      <c r="H102" t="str">
        <f>IF(F102="","",VLOOKUP(F102,Validation!$A$2:$B$17,2,FALSE))</f>
        <v>Validation!$O$2:$O$31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All Blacks</v>
      </c>
      <c r="C103">
        <f>IF(A103="","",COUNTIFS($A$2:A103,A103,$B$2:B103,B103))</f>
        <v>6</v>
      </c>
      <c r="D103" s="2" t="str">
        <f t="shared" si="3"/>
        <v>Goal</v>
      </c>
      <c r="E103" s="2" t="s">
        <v>434</v>
      </c>
      <c r="F103" t="str">
        <f t="shared" si="4"/>
        <v>All Blacks</v>
      </c>
      <c r="G103" t="str">
        <f t="shared" si="5"/>
        <v>OK</v>
      </c>
      <c r="H103" t="str">
        <f>IF(F103="","",VLOOKUP(F103,Validation!$A$2:$B$17,2,FALSE))</f>
        <v>Validation!$O$2:$O$31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All Blacks</v>
      </c>
      <c r="C104">
        <f>IF(A104="","",COUNTIFS($A$2:A104,A104,$B$2:B104,B104))</f>
        <v>7</v>
      </c>
      <c r="D104" s="2" t="str">
        <f t="shared" si="3"/>
        <v>Goal</v>
      </c>
      <c r="E104" s="2" t="s">
        <v>435</v>
      </c>
      <c r="F104" t="str">
        <f t="shared" si="4"/>
        <v>All Blacks</v>
      </c>
      <c r="G104" t="str">
        <f t="shared" si="5"/>
        <v>OK</v>
      </c>
      <c r="H104" t="str">
        <f>IF(F104="","",VLOOKUP(F104,Validation!$A$2:$B$17,2,FALSE))</f>
        <v>Validation!$O$2:$O$31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>M09</v>
      </c>
      <c r="B105" t="str">
        <f>IF(A105="","",IF(J105&lt;=INDEX(Matches!$I$2:$I$25,I105-1),INDEX(Matches!$G$2:$G$25,I105-1),INDEX(Matches!$H$2:$H$25,I105-1)))</f>
        <v>Coca Juniors</v>
      </c>
      <c r="C105">
        <f>IF(A105="","",COUNTIFS($A$2:A105,A105,$B$2:B105,B105))</f>
        <v>1</v>
      </c>
      <c r="D105" s="2" t="str">
        <f t="shared" si="3"/>
        <v>Goal</v>
      </c>
      <c r="E105" s="2" t="s">
        <v>436</v>
      </c>
      <c r="F105" t="str">
        <f t="shared" si="4"/>
        <v>Coca Juniors</v>
      </c>
      <c r="G105" t="str">
        <f t="shared" si="5"/>
        <v>OK</v>
      </c>
      <c r="H105" t="str">
        <f>IF(F105="","",VLOOKUP(F105,Validation!$A$2:$B$17,2,FALSE))</f>
        <v>Validation!$Q$2:$Q$31</v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>M09</v>
      </c>
      <c r="B106" t="str">
        <f>IF(A106="","",IF(J106&lt;=INDEX(Matches!$I$2:$I$25,I106-1),INDEX(Matches!$G$2:$G$25,I106-1),INDEX(Matches!$H$2:$H$25,I106-1)))</f>
        <v>Coca Juniors</v>
      </c>
      <c r="C106">
        <f>IF(A106="","",COUNTIFS($A$2:A106,A106,$B$2:B106,B106))</f>
        <v>2</v>
      </c>
      <c r="D106" s="2" t="str">
        <f t="shared" si="3"/>
        <v>Goal</v>
      </c>
      <c r="E106" s="2" t="s">
        <v>437</v>
      </c>
      <c r="F106" t="str">
        <f t="shared" si="4"/>
        <v>Coca Juniors</v>
      </c>
      <c r="G106" t="str">
        <f t="shared" si="5"/>
        <v>OK</v>
      </c>
      <c r="H106" t="str">
        <f>IF(F106="","",VLOOKUP(F106,Validation!$A$2:$B$17,2,FALSE))</f>
        <v>Validation!$Q$2:$Q$31</v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AS Bancatore</v>
      </c>
      <c r="C110">
        <f>IF(A110="","",COUNTIFS($A$2:A110,A110,$B$2:B110,B110))</f>
        <v>1</v>
      </c>
      <c r="D110" s="2" t="str">
        <f t="shared" si="3"/>
        <v>Goal</v>
      </c>
      <c r="E110" s="2" t="s">
        <v>418</v>
      </c>
      <c r="F110" t="str">
        <f t="shared" si="4"/>
        <v>AS Bancatore</v>
      </c>
      <c r="G110" t="str">
        <f t="shared" si="5"/>
        <v>OK</v>
      </c>
      <c r="H110" t="str">
        <f>IF(F110="","",VLOOKUP(F110,Validation!$A$2:$B$17,2,FALSE))</f>
        <v>Validation!$I$2:$I$31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AS Bancatore</v>
      </c>
      <c r="C111">
        <f>IF(A111="","",COUNTIFS($A$2:A111,A111,$B$2:B111,B111))</f>
        <v>2</v>
      </c>
      <c r="D111" s="2" t="str">
        <f t="shared" si="3"/>
        <v>Goal</v>
      </c>
      <c r="E111" s="2" t="s">
        <v>418</v>
      </c>
      <c r="F111" t="str">
        <f t="shared" si="4"/>
        <v>AS Bancatore</v>
      </c>
      <c r="G111" t="str">
        <f t="shared" si="5"/>
        <v>OK</v>
      </c>
      <c r="H111" t="str">
        <f>IF(F111="","",VLOOKUP(F111,Validation!$A$2:$B$17,2,FALSE))</f>
        <v>Validation!$I$2:$I$31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3</v>
      </c>
      <c r="D112" s="2" t="str">
        <f t="shared" si="3"/>
        <v>Goal</v>
      </c>
      <c r="E112" s="2" t="s">
        <v>418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Validation!$I$2:$I$31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4</v>
      </c>
      <c r="D113" s="2" t="str">
        <f t="shared" si="3"/>
        <v>Goal</v>
      </c>
      <c r="E113" s="2" t="s">
        <v>446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Validation!$I$2:$I$31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5</v>
      </c>
      <c r="D114" s="2" t="str">
        <f t="shared" si="3"/>
        <v>Goal</v>
      </c>
      <c r="E114" s="2" t="s">
        <v>421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Validation!$I$2:$I$31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>M11</v>
      </c>
      <c r="B122" t="str">
        <f>IF(A122="","",IF(J122&lt;=INDEX(Matches!$I$2:$I$25,I122-1),INDEX(Matches!$G$2:$G$25,I122-1),INDEX(Matches!$H$2:$H$25,I122-1)))</f>
        <v>Vecchie Glorie Rovigo</v>
      </c>
      <c r="C122">
        <f>IF(A122="","",COUNTIFS($A$2:A122,A122,$B$2:B122,B122))</f>
        <v>1</v>
      </c>
      <c r="D122" s="2" t="str">
        <f t="shared" si="3"/>
        <v>Goal</v>
      </c>
      <c r="E122" s="2" t="s">
        <v>409</v>
      </c>
      <c r="F122" t="str">
        <f t="shared" si="4"/>
        <v>Vecchie Glorie Rovigo</v>
      </c>
      <c r="G122" t="str">
        <f t="shared" si="5"/>
        <v>OK</v>
      </c>
      <c r="H122" t="str">
        <f>IF(F122="","",VLOOKUP(F122,Validation!$A$2:$B$17,2,FALSE))</f>
        <v>Validation!$H$2:$H$31</v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>M11</v>
      </c>
      <c r="B123" t="str">
        <f>IF(A123="","",IF(J123&lt;=INDEX(Matches!$I$2:$I$25,I123-1),INDEX(Matches!$G$2:$G$25,I123-1),INDEX(Matches!$H$2:$H$25,I123-1)))</f>
        <v>Beverton</v>
      </c>
      <c r="C123">
        <f>IF(A123="","",COUNTIFS($A$2:A123,A123,$B$2:B123,B123))</f>
        <v>1</v>
      </c>
      <c r="D123" s="2" t="str">
        <f t="shared" si="3"/>
        <v>Goal</v>
      </c>
      <c r="E123" s="2" t="s">
        <v>447</v>
      </c>
      <c r="F123" t="str">
        <f t="shared" si="4"/>
        <v>Beverton</v>
      </c>
      <c r="G123" t="str">
        <f t="shared" si="5"/>
        <v>OK</v>
      </c>
      <c r="H123" t="str">
        <f>IF(F123="","",VLOOKUP(F123,Validation!$A$2:$B$17,2,FALSE))</f>
        <v>Validation!$J$2:$J$31</v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>M13</v>
      </c>
      <c r="B146" t="str">
        <f>IF(A146="","",IF(J146&lt;=INDEX(Matches!$I$2:$I$25,I146-1),INDEX(Matches!$G$2:$G$25,I146-1),INDEX(Matches!$H$2:$H$25,I146-1)))</f>
        <v>Leoni di Ricky</v>
      </c>
      <c r="C146">
        <f>IF(A146="","",COUNTIFS($A$2:A146,A146,$B$2:B146,B146))</f>
        <v>1</v>
      </c>
      <c r="D146" s="2" t="str">
        <f t="shared" si="6"/>
        <v>Goal</v>
      </c>
      <c r="E146" s="2" t="s">
        <v>415</v>
      </c>
      <c r="F146" t="str">
        <f t="shared" si="7"/>
        <v>Leoni di Ricky</v>
      </c>
      <c r="G146" t="str">
        <f t="shared" si="8"/>
        <v>OK</v>
      </c>
      <c r="H146" t="str">
        <f>IF(F146="","",VLOOKUP(F146,Validation!$A$2:$B$17,2,FALSE))</f>
        <v>Validation!$K$2:$K$31</v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>M13</v>
      </c>
      <c r="B147" t="str">
        <f>IF(A147="","",IF(J147&lt;=INDEX(Matches!$I$2:$I$25,I147-1),INDEX(Matches!$G$2:$G$25,I147-1),INDEX(Matches!$H$2:$H$25,I147-1)))</f>
        <v>Barrio Boys</v>
      </c>
      <c r="C147">
        <f>IF(A147="","",COUNTIFS($A$2:A147,A147,$B$2:B147,B147))</f>
        <v>1</v>
      </c>
      <c r="D147" s="2" t="str">
        <f t="shared" si="6"/>
        <v>Goal</v>
      </c>
      <c r="E147" s="2" t="s">
        <v>458</v>
      </c>
      <c r="F147" t="str">
        <f t="shared" si="7"/>
        <v>Barrio Boys</v>
      </c>
      <c r="G147" t="str">
        <f t="shared" si="8"/>
        <v>OK</v>
      </c>
      <c r="H147" t="str">
        <f>IF(F147="","",VLOOKUP(F147,Validation!$A$2:$B$17,2,FALSE))</f>
        <v>Validation!$M$2:$M$31</v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>M14</v>
      </c>
      <c r="B158" t="str">
        <f>IF(A158="","",IF(J158&lt;=INDEX(Matches!$I$2:$I$25,I158-1),INDEX(Matches!$G$2:$G$25,I158-1),INDEX(Matches!$H$2:$H$25,I158-1)))</f>
        <v>Pink 5ive</v>
      </c>
      <c r="C158">
        <f>IF(A158="","",COUNTIFS($A$2:A158,A158,$B$2:B158,B158))</f>
        <v>1</v>
      </c>
      <c r="D158" s="2" t="str">
        <f t="shared" si="6"/>
        <v>Goal</v>
      </c>
      <c r="E158" s="2" t="s">
        <v>452</v>
      </c>
      <c r="F158" t="str">
        <f t="shared" si="7"/>
        <v>Pink 5ive</v>
      </c>
      <c r="G158" t="str">
        <f t="shared" si="8"/>
        <v>OK</v>
      </c>
      <c r="H158" t="str">
        <f>IF(F158="","",VLOOKUP(F158,Validation!$A$2:$B$17,2,FALSE))</f>
        <v>Validation!$L$2:$L$31</v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>M14</v>
      </c>
      <c r="B159" t="str">
        <f>IF(A159="","",IF(J159&lt;=INDEX(Matches!$I$2:$I$25,I159-1),INDEX(Matches!$G$2:$G$25,I159-1),INDEX(Matches!$H$2:$H$25,I159-1)))</f>
        <v>Pink 5ive</v>
      </c>
      <c r="C159">
        <f>IF(A159="","",COUNTIFS($A$2:A159,A159,$B$2:B159,B159))</f>
        <v>2</v>
      </c>
      <c r="D159" s="2" t="str">
        <f t="shared" si="6"/>
        <v>Goal</v>
      </c>
      <c r="E159" s="2" t="s">
        <v>453</v>
      </c>
      <c r="F159" t="str">
        <f t="shared" si="7"/>
        <v>Pink 5ive</v>
      </c>
      <c r="G159" t="str">
        <f t="shared" si="8"/>
        <v>OK</v>
      </c>
      <c r="H159" t="str">
        <f>IF(F159="","",VLOOKUP(F159,Validation!$A$2:$B$17,2,FALSE))</f>
        <v>Validation!$L$2:$L$31</v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>M14</v>
      </c>
      <c r="B160" t="str">
        <f>IF(A160="","",IF(J160&lt;=INDEX(Matches!$I$2:$I$25,I160-1),INDEX(Matches!$G$2:$G$25,I160-1),INDEX(Matches!$H$2:$H$25,I160-1)))</f>
        <v>Pink 5ive</v>
      </c>
      <c r="C160">
        <f>IF(A160="","",COUNTIFS($A$2:A160,A160,$B$2:B160,B160))</f>
        <v>3</v>
      </c>
      <c r="D160" s="2" t="str">
        <f t="shared" si="6"/>
        <v>Goal</v>
      </c>
      <c r="E160" s="2" t="s">
        <v>454</v>
      </c>
      <c r="F160" t="str">
        <f t="shared" si="7"/>
        <v>Pink 5ive</v>
      </c>
      <c r="G160" t="str">
        <f t="shared" si="8"/>
        <v>OK</v>
      </c>
      <c r="H160" t="str">
        <f>IF(F160="","",VLOOKUP(F160,Validation!$A$2:$B$17,2,FALSE))</f>
        <v>Validation!$L$2:$L$31</v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>M14</v>
      </c>
      <c r="B161" t="str">
        <f>IF(A161="","",IF(J161&lt;=INDEX(Matches!$I$2:$I$25,I161-1),INDEX(Matches!$G$2:$G$25,I161-1),INDEX(Matches!$H$2:$H$25,I161-1)))</f>
        <v>Pink 5ive</v>
      </c>
      <c r="C161">
        <f>IF(A161="","",COUNTIFS($A$2:A161,A161,$B$2:B161,B161))</f>
        <v>4</v>
      </c>
      <c r="D161" s="2" t="str">
        <f t="shared" si="6"/>
        <v>Goal</v>
      </c>
      <c r="E161" s="2" t="s">
        <v>455</v>
      </c>
      <c r="F161" t="str">
        <f t="shared" si="7"/>
        <v>Pink 5ive</v>
      </c>
      <c r="G161" t="str">
        <f t="shared" si="8"/>
        <v>OK</v>
      </c>
      <c r="H161" t="str">
        <f>IF(F161="","",VLOOKUP(F161,Validation!$A$2:$B$17,2,FALSE))</f>
        <v>Validation!$L$2:$L$31</v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>M14</v>
      </c>
      <c r="B162" t="str">
        <f>IF(A162="","",IF(J162&lt;=INDEX(Matches!$I$2:$I$25,I162-1),INDEX(Matches!$G$2:$G$25,I162-1),INDEX(Matches!$H$2:$H$25,I162-1)))</f>
        <v>Cani</v>
      </c>
      <c r="C162">
        <f>IF(A162="","",COUNTIFS($A$2:A162,A162,$B$2:B162,B162))</f>
        <v>1</v>
      </c>
      <c r="D162" s="2" t="str">
        <f t="shared" si="6"/>
        <v>Goal</v>
      </c>
      <c r="E162" s="2" t="s">
        <v>456</v>
      </c>
      <c r="F162" t="str">
        <f t="shared" si="7"/>
        <v>Cani</v>
      </c>
      <c r="G162" t="str">
        <f t="shared" si="8"/>
        <v>OK</v>
      </c>
      <c r="H162" t="str">
        <f>IF(F162="","",VLOOKUP(F162,Validation!$A$2:$B$17,2,FALSE))</f>
        <v>Validation!$N$2:$N$31</v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>M14</v>
      </c>
      <c r="B163" t="str">
        <f>IF(A163="","",IF(J163&lt;=INDEX(Matches!$I$2:$I$25,I163-1),INDEX(Matches!$G$2:$G$25,I163-1),INDEX(Matches!$H$2:$H$25,I163-1)))</f>
        <v>Cani</v>
      </c>
      <c r="C163">
        <f>IF(A163="","",COUNTIFS($A$2:A163,A163,$B$2:B163,B163))</f>
        <v>2</v>
      </c>
      <c r="D163" s="2" t="str">
        <f t="shared" si="6"/>
        <v>Goal</v>
      </c>
      <c r="E163" s="2" t="s">
        <v>457</v>
      </c>
      <c r="F163" t="str">
        <f t="shared" si="7"/>
        <v>Cani</v>
      </c>
      <c r="G163" t="str">
        <f t="shared" si="8"/>
        <v>OK</v>
      </c>
      <c r="H163" t="str">
        <f>IF(F163="","",VLOOKUP(F163,Validation!$A$2:$B$17,2,FALSE))</f>
        <v>Validation!$N$2:$N$31</v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>M15</v>
      </c>
      <c r="B170" t="str">
        <f>IF(A170="","",IF(J170&lt;=INDEX(Matches!$I$2:$I$25,I170-1),INDEX(Matches!$G$2:$G$25,I170-1),INDEX(Matches!$H$2:$H$25,I170-1)))</f>
        <v>Fatine FC</v>
      </c>
      <c r="C170">
        <f>IF(A170="","",COUNTIFS($A$2:A170,A170,$B$2:B170,B170))</f>
        <v>1</v>
      </c>
      <c r="D170" s="2" t="str">
        <f t="shared" si="6"/>
        <v>Goal</v>
      </c>
      <c r="E170" s="2" t="s">
        <v>462</v>
      </c>
      <c r="F170" t="str">
        <f t="shared" si="7"/>
        <v>Fatine FC</v>
      </c>
      <c r="G170" t="str">
        <f t="shared" si="8"/>
        <v>OK</v>
      </c>
      <c r="H170" t="str">
        <f>IF(F170="","",VLOOKUP(F170,Validation!$A$2:$B$17,2,FALSE))</f>
        <v>Validation!$C$2:$C$31</v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>M15</v>
      </c>
      <c r="B171" t="str">
        <f>IF(A171="","",IF(J171&lt;=INDEX(Matches!$I$2:$I$25,I171-1),INDEX(Matches!$G$2:$G$25,I171-1),INDEX(Matches!$H$2:$H$25,I171-1)))</f>
        <v>Moviola Utd</v>
      </c>
      <c r="C171">
        <f>IF(A171="","",COUNTIFS($A$2:A171,A171,$B$2:B171,B171))</f>
        <v>1</v>
      </c>
      <c r="D171" s="2" t="str">
        <f t="shared" si="6"/>
        <v>Goal</v>
      </c>
      <c r="E171" s="2" t="s">
        <v>459</v>
      </c>
      <c r="F171" t="str">
        <f t="shared" si="7"/>
        <v>Moviola Utd</v>
      </c>
      <c r="G171" t="str">
        <f t="shared" si="8"/>
        <v>OK</v>
      </c>
      <c r="H171" t="str">
        <f>IF(F171="","",VLOOKUP(F171,Validation!$A$2:$B$17,2,FALSE))</f>
        <v>Validation!$E$2:$E$31</v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>M15</v>
      </c>
      <c r="B172" t="str">
        <f>IF(A172="","",IF(J172&lt;=INDEX(Matches!$I$2:$I$25,I172-1),INDEX(Matches!$G$2:$G$25,I172-1),INDEX(Matches!$H$2:$H$25,I172-1)))</f>
        <v>Moviola Utd</v>
      </c>
      <c r="C172">
        <f>IF(A172="","",COUNTIFS($A$2:A172,A172,$B$2:B172,B172))</f>
        <v>2</v>
      </c>
      <c r="D172" s="2" t="str">
        <f t="shared" si="6"/>
        <v>Goal</v>
      </c>
      <c r="E172" s="2" t="s">
        <v>438</v>
      </c>
      <c r="F172" t="str">
        <f t="shared" si="7"/>
        <v>Moviola Utd</v>
      </c>
      <c r="G172" t="str">
        <f t="shared" si="8"/>
        <v>OK</v>
      </c>
      <c r="H172" t="str">
        <f>IF(F172="","",VLOOKUP(F172,Validation!$A$2:$B$17,2,FALSE))</f>
        <v>Validation!$E$2:$E$31</v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>M15</v>
      </c>
      <c r="B173" t="str">
        <f>IF(A173="","",IF(J173&lt;=INDEX(Matches!$I$2:$I$25,I173-1),INDEX(Matches!$G$2:$G$25,I173-1),INDEX(Matches!$H$2:$H$25,I173-1)))</f>
        <v>Moviola Utd</v>
      </c>
      <c r="C173">
        <f>IF(A173="","",COUNTIFS($A$2:A173,A173,$B$2:B173,B173))</f>
        <v>3</v>
      </c>
      <c r="D173" s="2" t="str">
        <f t="shared" si="6"/>
        <v>Goal</v>
      </c>
      <c r="E173" s="2" t="s">
        <v>460</v>
      </c>
      <c r="F173" t="str">
        <f t="shared" si="7"/>
        <v>Moviola Utd</v>
      </c>
      <c r="G173" t="str">
        <f t="shared" si="8"/>
        <v>OK</v>
      </c>
      <c r="H173" t="str">
        <f>IF(F173="","",VLOOKUP(F173,Validation!$A$2:$B$17,2,FALSE))</f>
        <v>Validation!$E$2:$E$31</v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>M15</v>
      </c>
      <c r="B174" t="str">
        <f>IF(A174="","",IF(J174&lt;=INDEX(Matches!$I$2:$I$25,I174-1),INDEX(Matches!$G$2:$G$25,I174-1),INDEX(Matches!$H$2:$H$25,I174-1)))</f>
        <v>Moviola Utd</v>
      </c>
      <c r="C174">
        <f>IF(A174="","",COUNTIFS($A$2:A174,A174,$B$2:B174,B174))</f>
        <v>4</v>
      </c>
      <c r="D174" s="2" t="str">
        <f t="shared" si="6"/>
        <v>Goal</v>
      </c>
      <c r="E174" s="2" t="s">
        <v>461</v>
      </c>
      <c r="F174" t="str">
        <f t="shared" si="7"/>
        <v>Moviola Utd</v>
      </c>
      <c r="G174" t="str">
        <f t="shared" si="8"/>
        <v>OK</v>
      </c>
      <c r="H174" t="str">
        <f>IF(F174="","",VLOOKUP(F174,Validation!$A$2:$B$17,2,FALSE))</f>
        <v>Validation!$E$2:$E$31</v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>M17</v>
      </c>
      <c r="B194" t="str">
        <f>IF(A194="","",IF(J194&lt;=INDEX(Matches!$I$2:$I$25,I194-1),INDEX(Matches!$G$2:$G$25,I194-1),INDEX(Matches!$H$2:$H$25,I194-1)))</f>
        <v>Boldò Glimt</v>
      </c>
      <c r="C194">
        <f>IF(A194="","",COUNTIFS($A$2:A194,A194,$B$2:B194,B194))</f>
        <v>1</v>
      </c>
      <c r="D194" s="2" t="str">
        <f t="shared" ref="D194:D257" si="9">IF(A194="","","Goal")</f>
        <v>Goal</v>
      </c>
      <c r="E194" s="2" t="s">
        <v>465</v>
      </c>
      <c r="F194" t="str">
        <f t="shared" ref="F194:F257" si="10">IF(A194="","",IF(D194="Autogol","",IF(D194="Goal",B194,"")))</f>
        <v>Boldò Glimt</v>
      </c>
      <c r="G194" t="str">
        <f t="shared" ref="G194:G257" si="11">IF(A194="","",IF(D194="","Manca tipo",IF(D194="Goal",IF(E194="","Manca giocatore","OK"),IF(D194="Autogol",IF(E194&lt;&gt;"","Autogol: svuota Player","OK"),"Tipo non valido"))))</f>
        <v>OK</v>
      </c>
      <c r="H194" t="str">
        <f>IF(F194="","",VLOOKUP(F194,Validation!$A$2:$B$17,2,FALSE))</f>
        <v>Validation!$P$2:$P$31</v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>M17</v>
      </c>
      <c r="B195" t="str">
        <f>IF(A195="","",IF(J195&lt;=INDEX(Matches!$I$2:$I$25,I195-1),INDEX(Matches!$G$2:$G$25,I195-1),INDEX(Matches!$H$2:$H$25,I195-1)))</f>
        <v>Coca Juniors</v>
      </c>
      <c r="C195">
        <f>IF(A195="","",COUNTIFS($A$2:A195,A195,$B$2:B195,B195))</f>
        <v>1</v>
      </c>
      <c r="D195" s="2" t="str">
        <f t="shared" si="9"/>
        <v>Goal</v>
      </c>
      <c r="E195" s="2" t="s">
        <v>466</v>
      </c>
      <c r="F195" t="str">
        <f t="shared" si="10"/>
        <v>Coca Juniors</v>
      </c>
      <c r="G195" t="str">
        <f t="shared" si="11"/>
        <v>OK</v>
      </c>
      <c r="H195" t="str">
        <f>IF(F195="","",VLOOKUP(F195,Validation!$A$2:$B$17,2,FALSE))</f>
        <v>Validation!$Q$2:$Q$31</v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>M18</v>
      </c>
      <c r="B206" t="str">
        <f>IF(A206="","",IF(J206&lt;=INDEX(Matches!$I$2:$I$25,I206-1),INDEX(Matches!$G$2:$G$25,I206-1),INDEX(Matches!$H$2:$H$25,I206-1)))</f>
        <v>FC Internazionale Rovigo</v>
      </c>
      <c r="C206">
        <f>IF(A206="","",COUNTIFS($A$2:A206,A206,$B$2:B206,B206))</f>
        <v>1</v>
      </c>
      <c r="D206" s="2" t="str">
        <f t="shared" si="9"/>
        <v>Goal</v>
      </c>
      <c r="E206" s="2" t="s">
        <v>467</v>
      </c>
      <c r="F206" t="str">
        <f t="shared" si="10"/>
        <v>FC Internazionale Rovigo</v>
      </c>
      <c r="G206" t="str">
        <f t="shared" si="11"/>
        <v>OK</v>
      </c>
      <c r="H206" t="str">
        <f>IF(F206="","",VLOOKUP(F206,Validation!$A$2:$B$17,2,FALSE))</f>
        <v>Validation!$D$2:$D$31</v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>M18</v>
      </c>
      <c r="B207" t="str">
        <f>IF(A207="","",IF(J207&lt;=INDEX(Matches!$I$2:$I$25,I207-1),INDEX(Matches!$G$2:$G$25,I207-1),INDEX(Matches!$H$2:$H$25,I207-1)))</f>
        <v>FC Internazionale Rovigo</v>
      </c>
      <c r="C207">
        <f>IF(A207="","",COUNTIFS($A$2:A207,A207,$B$2:B207,B207))</f>
        <v>2</v>
      </c>
      <c r="D207" s="2" t="str">
        <f t="shared" si="9"/>
        <v>Goal</v>
      </c>
      <c r="E207" s="2" t="s">
        <v>467</v>
      </c>
      <c r="F207" t="str">
        <f t="shared" si="10"/>
        <v>FC Internazionale Rovigo</v>
      </c>
      <c r="G207" t="str">
        <f t="shared" si="11"/>
        <v>OK</v>
      </c>
      <c r="H207" t="str">
        <f>IF(F207="","",VLOOKUP(F207,Validation!$A$2:$B$17,2,FALSE))</f>
        <v>Validation!$D$2:$D$31</v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>M18</v>
      </c>
      <c r="B208" t="str">
        <f>IF(A208="","",IF(J208&lt;=INDEX(Matches!$I$2:$I$25,I208-1),INDEX(Matches!$G$2:$G$25,I208-1),INDEX(Matches!$H$2:$H$25,I208-1)))</f>
        <v>FC Internazionale Rovigo</v>
      </c>
      <c r="C208">
        <f>IF(A208="","",COUNTIFS($A$2:A208,A208,$B$2:B208,B208))</f>
        <v>3</v>
      </c>
      <c r="D208" s="2" t="str">
        <f t="shared" si="9"/>
        <v>Goal</v>
      </c>
      <c r="E208" s="2" t="s">
        <v>432</v>
      </c>
      <c r="F208" t="str">
        <f t="shared" si="10"/>
        <v>FC Internazionale Rovigo</v>
      </c>
      <c r="G208" t="str">
        <f t="shared" si="11"/>
        <v>OK</v>
      </c>
      <c r="H208" t="str">
        <f>IF(F208="","",VLOOKUP(F208,Validation!$A$2:$B$17,2,FALSE))</f>
        <v>Validation!$D$2:$D$31</v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>M18</v>
      </c>
      <c r="B209" t="str">
        <f>IF(A209="","",IF(J209&lt;=INDEX(Matches!$I$2:$I$25,I209-1),INDEX(Matches!$G$2:$G$25,I209-1),INDEX(Matches!$H$2:$H$25,I209-1)))</f>
        <v>FC Internazionale Rovigo</v>
      </c>
      <c r="C209">
        <f>IF(A209="","",COUNTIFS($A$2:A209,A209,$B$2:B209,B209))</f>
        <v>4</v>
      </c>
      <c r="D209" s="2" t="s">
        <v>48</v>
      </c>
      <c r="E209" s="2"/>
      <c r="F209" t="str">
        <f t="shared" si="10"/>
        <v/>
      </c>
      <c r="G209" t="str">
        <f t="shared" si="11"/>
        <v>OK</v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>M19</v>
      </c>
      <c r="B218" t="str">
        <f>IF(A218="","",IF(J218&lt;=INDEX(Matches!$I$2:$I$25,I218-1),INDEX(Matches!$G$2:$G$25,I218-1),INDEX(Matches!$H$2:$H$25,I218-1)))</f>
        <v>Totani</v>
      </c>
      <c r="C218">
        <f>IF(A218="","",COUNTIFS($A$2:A218,A218,$B$2:B218,B218))</f>
        <v>1</v>
      </c>
      <c r="D218" s="2" t="str">
        <f t="shared" si="9"/>
        <v>Goal</v>
      </c>
      <c r="E218" s="2" t="s">
        <v>471</v>
      </c>
      <c r="F218" t="str">
        <f t="shared" si="10"/>
        <v>Totani</v>
      </c>
      <c r="G218" t="str">
        <f t="shared" si="11"/>
        <v>OK</v>
      </c>
      <c r="H218" t="str">
        <f>IF(F218="","",VLOOKUP(F218,Validation!$A$2:$B$17,2,FALSE))</f>
        <v>Validation!$G$2:$G$31</v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>M19</v>
      </c>
      <c r="B219" t="str">
        <f>IF(A219="","",IF(J219&lt;=INDEX(Matches!$I$2:$I$25,I219-1),INDEX(Matches!$G$2:$G$25,I219-1),INDEX(Matches!$H$2:$H$25,I219-1)))</f>
        <v>Beverton</v>
      </c>
      <c r="C219">
        <f>IF(A219="","",COUNTIFS($A$2:A219,A219,$B$2:B219,B219))</f>
        <v>1</v>
      </c>
      <c r="D219" s="2" t="str">
        <f t="shared" si="9"/>
        <v>Goal</v>
      </c>
      <c r="E219" s="2" t="s">
        <v>469</v>
      </c>
      <c r="F219" t="str">
        <f t="shared" si="10"/>
        <v>Beverton</v>
      </c>
      <c r="G219" t="str">
        <f t="shared" si="11"/>
        <v>OK</v>
      </c>
      <c r="H219" t="str">
        <f>IF(F219="","",VLOOKUP(F219,Validation!$A$2:$B$17,2,FALSE))</f>
        <v>Validation!$J$2:$J$31</v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>M19</v>
      </c>
      <c r="B220" t="str">
        <f>IF(A220="","",IF(J220&lt;=INDEX(Matches!$I$2:$I$25,I220-1),INDEX(Matches!$G$2:$G$25,I220-1),INDEX(Matches!$H$2:$H$25,I220-1)))</f>
        <v>Beverton</v>
      </c>
      <c r="C220">
        <f>IF(A220="","",COUNTIFS($A$2:A220,A220,$B$2:B220,B220))</f>
        <v>2</v>
      </c>
      <c r="D220" s="2" t="str">
        <f t="shared" si="9"/>
        <v>Goal</v>
      </c>
      <c r="E220" s="2" t="s">
        <v>470</v>
      </c>
      <c r="F220" t="str">
        <f t="shared" si="10"/>
        <v>Beverton</v>
      </c>
      <c r="G220" t="str">
        <f t="shared" si="11"/>
        <v>OK</v>
      </c>
      <c r="H220" t="str">
        <f>IF(F220="","",VLOOKUP(F220,Validation!$A$2:$B$17,2,FALSE))</f>
        <v>Validation!$J$2:$J$31</v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>M19</v>
      </c>
      <c r="B221" t="str">
        <f>IF(A221="","",IF(J221&lt;=INDEX(Matches!$I$2:$I$25,I221-1),INDEX(Matches!$G$2:$G$25,I221-1),INDEX(Matches!$H$2:$H$25,I221-1)))</f>
        <v>Beverton</v>
      </c>
      <c r="C221">
        <f>IF(A221="","",COUNTIFS($A$2:A221,A221,$B$2:B221,B221))</f>
        <v>3</v>
      </c>
      <c r="D221" s="2" t="str">
        <f t="shared" si="9"/>
        <v>Goal</v>
      </c>
      <c r="E221" s="2" t="s">
        <v>447</v>
      </c>
      <c r="F221" t="str">
        <f t="shared" si="10"/>
        <v>Beverton</v>
      </c>
      <c r="G221" t="str">
        <f t="shared" si="11"/>
        <v>OK</v>
      </c>
      <c r="H221" t="str">
        <f>IF(F221="","",VLOOKUP(F221,Validation!$A$2:$B$17,2,FALSE))</f>
        <v>Validation!$J$2:$J$31</v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>M19</v>
      </c>
      <c r="B222" t="str">
        <f>IF(A222="","",IF(J222&lt;=INDEX(Matches!$I$2:$I$25,I222-1),INDEX(Matches!$G$2:$G$25,I222-1),INDEX(Matches!$H$2:$H$25,I222-1)))</f>
        <v>Beverton</v>
      </c>
      <c r="C222">
        <f>IF(A222="","",COUNTIFS($A$2:A222,A222,$B$2:B222,B222))</f>
        <v>4</v>
      </c>
      <c r="D222" s="2" t="s">
        <v>48</v>
      </c>
      <c r="E222" s="2"/>
      <c r="F222" t="str">
        <f t="shared" si="10"/>
        <v/>
      </c>
      <c r="G222" t="str">
        <f t="shared" si="11"/>
        <v>OK</v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>M20</v>
      </c>
      <c r="B230" t="str">
        <f>IF(A230="","",IF(J230&lt;=INDEX(Matches!$I$2:$I$25,I230-1),INDEX(Matches!$G$2:$G$25,I230-1),INDEX(Matches!$H$2:$H$25,I230-1)))</f>
        <v>AS Bancatore</v>
      </c>
      <c r="C230">
        <f>IF(A230="","",COUNTIFS($A$2:A230,A230,$B$2:B230,B230))</f>
        <v>1</v>
      </c>
      <c r="D230" s="2" t="str">
        <f t="shared" si="9"/>
        <v>Goal</v>
      </c>
      <c r="E230" s="2" t="s">
        <v>468</v>
      </c>
      <c r="F230" t="str">
        <f t="shared" si="10"/>
        <v>AS Bancatore</v>
      </c>
      <c r="G230" t="str">
        <f t="shared" si="11"/>
        <v>OK</v>
      </c>
      <c r="H230" t="str">
        <f>IF(F230="","",VLOOKUP(F230,Validation!$A$2:$B$17,2,FALSE))</f>
        <v>Validation!$I$2:$I$31</v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>M20</v>
      </c>
      <c r="B231" t="str">
        <f>IF(A231="","",IF(J231&lt;=INDEX(Matches!$I$2:$I$25,I231-1),INDEX(Matches!$G$2:$G$25,I231-1),INDEX(Matches!$H$2:$H$25,I231-1)))</f>
        <v>AS Bancatore</v>
      </c>
      <c r="C231">
        <f>IF(A231="","",COUNTIFS($A$2:A231,A231,$B$2:B231,B231))</f>
        <v>2</v>
      </c>
      <c r="D231" s="2" t="str">
        <f t="shared" si="9"/>
        <v>Goal</v>
      </c>
      <c r="E231" s="2" t="s">
        <v>421</v>
      </c>
      <c r="F231" t="str">
        <f t="shared" si="10"/>
        <v>AS Bancatore</v>
      </c>
      <c r="G231" t="str">
        <f t="shared" si="11"/>
        <v>OK</v>
      </c>
      <c r="H231" t="str">
        <f>IF(F231="","",VLOOKUP(F231,Validation!$A$2:$B$17,2,FALSE))</f>
        <v>Validation!$I$2:$I$31</v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>M20</v>
      </c>
      <c r="B232" t="str">
        <f>IF(A232="","",IF(J232&lt;=INDEX(Matches!$I$2:$I$25,I232-1),INDEX(Matches!$G$2:$G$25,I232-1),INDEX(Matches!$H$2:$H$25,I232-1)))</f>
        <v>AS Bancatore</v>
      </c>
      <c r="C232">
        <f>IF(A232="","",COUNTIFS($A$2:A232,A232,$B$2:B232,B232))</f>
        <v>3</v>
      </c>
      <c r="D232" s="2" t="str">
        <f t="shared" si="9"/>
        <v>Goal</v>
      </c>
      <c r="E232" s="2" t="s">
        <v>418</v>
      </c>
      <c r="F232" t="str">
        <f t="shared" si="10"/>
        <v>AS Bancatore</v>
      </c>
      <c r="G232" t="str">
        <f t="shared" si="11"/>
        <v>OK</v>
      </c>
      <c r="H232" t="str">
        <f>IF(F232="","",VLOOKUP(F232,Validation!$A$2:$B$17,2,FALSE))</f>
        <v>Validation!$I$2:$I$31</v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>M21</v>
      </c>
      <c r="B242" t="str">
        <f>IF(A242="","",IF(J242&lt;=INDEX(Matches!$I$2:$I$25,I242-1),INDEX(Matches!$G$2:$G$25,I242-1),INDEX(Matches!$H$2:$H$25,I242-1)))</f>
        <v>Leoni di Ricky</v>
      </c>
      <c r="C242">
        <f>IF(A242="","",COUNTIFS($A$2:A242,A242,$B$2:B242,B242))</f>
        <v>1</v>
      </c>
      <c r="D242" s="2" t="str">
        <f t="shared" si="9"/>
        <v>Goal</v>
      </c>
      <c r="E242" s="2" t="s">
        <v>413</v>
      </c>
      <c r="F242" t="str">
        <f t="shared" si="10"/>
        <v>Leoni di Ricky</v>
      </c>
      <c r="G242" t="str">
        <f t="shared" si="11"/>
        <v>OK</v>
      </c>
      <c r="H242" t="str">
        <f>IF(F242="","",VLOOKUP(F242,Validation!$A$2:$B$17,2,FALSE))</f>
        <v>Validation!$K$2:$K$31</v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>M21</v>
      </c>
      <c r="B243" t="str">
        <f>IF(A243="","",IF(J243&lt;=INDEX(Matches!$I$2:$I$25,I243-1),INDEX(Matches!$G$2:$G$25,I243-1),INDEX(Matches!$H$2:$H$25,I243-1)))</f>
        <v>Leoni di Ricky</v>
      </c>
      <c r="C243">
        <f>IF(A243="","",COUNTIFS($A$2:A243,A243,$B$2:B243,B243))</f>
        <v>2</v>
      </c>
      <c r="D243" s="2" t="str">
        <f t="shared" si="9"/>
        <v>Goal</v>
      </c>
      <c r="E243" s="2" t="s">
        <v>472</v>
      </c>
      <c r="F243" t="str">
        <f t="shared" si="10"/>
        <v>Leoni di Ricky</v>
      </c>
      <c r="G243" t="str">
        <f t="shared" si="11"/>
        <v>OK</v>
      </c>
      <c r="H243" t="str">
        <f>IF(F243="","",VLOOKUP(F243,Validation!$A$2:$B$17,2,FALSE))</f>
        <v>Validation!$K$2:$K$31</v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>M21</v>
      </c>
      <c r="B244" t="str">
        <f>IF(A244="","",IF(J244&lt;=INDEX(Matches!$I$2:$I$25,I244-1),INDEX(Matches!$G$2:$G$25,I244-1),INDEX(Matches!$H$2:$H$25,I244-1)))</f>
        <v>Leoni di Ricky</v>
      </c>
      <c r="C244">
        <f>IF(A244="","",COUNTIFS($A$2:A244,A244,$B$2:B244,B244))</f>
        <v>3</v>
      </c>
      <c r="D244" s="2" t="str">
        <f t="shared" si="9"/>
        <v>Goal</v>
      </c>
      <c r="E244" s="2" t="s">
        <v>473</v>
      </c>
      <c r="F244" t="str">
        <f t="shared" si="10"/>
        <v>Leoni di Ricky</v>
      </c>
      <c r="G244" t="str">
        <f t="shared" si="11"/>
        <v>OK</v>
      </c>
      <c r="H244" t="str">
        <f>IF(F244="","",VLOOKUP(F244,Validation!$A$2:$B$17,2,FALSE))</f>
        <v>Validation!$K$2:$K$31</v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>M21</v>
      </c>
      <c r="B245" t="str">
        <f>IF(A245="","",IF(J245&lt;=INDEX(Matches!$I$2:$I$25,I245-1),INDEX(Matches!$G$2:$G$25,I245-1),INDEX(Matches!$H$2:$H$25,I245-1)))</f>
        <v>Leoni di Ricky</v>
      </c>
      <c r="C245">
        <f>IF(A245="","",COUNTIFS($A$2:A245,A245,$B$2:B245,B245))</f>
        <v>4</v>
      </c>
      <c r="D245" s="2" t="str">
        <f t="shared" si="9"/>
        <v>Goal</v>
      </c>
      <c r="E245" s="2" t="s">
        <v>474</v>
      </c>
      <c r="F245" t="str">
        <f t="shared" si="10"/>
        <v>Leoni di Ricky</v>
      </c>
      <c r="G245" t="str">
        <f t="shared" si="11"/>
        <v>OK</v>
      </c>
      <c r="H245" t="str">
        <f>IF(F245="","",VLOOKUP(F245,Validation!$A$2:$B$17,2,FALSE))</f>
        <v>Validation!$K$2:$K$31</v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>M21</v>
      </c>
      <c r="B246" t="str">
        <f>IF(A246="","",IF(J246&lt;=INDEX(Matches!$I$2:$I$25,I246-1),INDEX(Matches!$G$2:$G$25,I246-1),INDEX(Matches!$H$2:$H$25,I246-1)))</f>
        <v>Leoni di Ricky</v>
      </c>
      <c r="C246">
        <f>IF(A246="","",COUNTIFS($A$2:A246,A246,$B$2:B246,B246))</f>
        <v>5</v>
      </c>
      <c r="D246" s="2" t="str">
        <f t="shared" si="9"/>
        <v>Goal</v>
      </c>
      <c r="E246" s="2" t="s">
        <v>474</v>
      </c>
      <c r="F246" t="str">
        <f t="shared" si="10"/>
        <v>Leoni di Ricky</v>
      </c>
      <c r="G246" t="str">
        <f t="shared" si="11"/>
        <v>OK</v>
      </c>
      <c r="H246" t="str">
        <f>IF(F246="","",VLOOKUP(F246,Validation!$A$2:$B$17,2,FALSE))</f>
        <v>Validation!$K$2:$K$31</v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>M21</v>
      </c>
      <c r="B247" t="str">
        <f>IF(A247="","",IF(J247&lt;=INDEX(Matches!$I$2:$I$25,I247-1),INDEX(Matches!$G$2:$G$25,I247-1),INDEX(Matches!$H$2:$H$25,I247-1)))</f>
        <v>Leoni di Ricky</v>
      </c>
      <c r="C247">
        <f>IF(A247="","",COUNTIFS($A$2:A247,A247,$B$2:B247,B247))</f>
        <v>6</v>
      </c>
      <c r="D247" s="2" t="s">
        <v>48</v>
      </c>
      <c r="E247" s="2"/>
      <c r="F247" t="str">
        <f t="shared" si="10"/>
        <v/>
      </c>
      <c r="G247" t="str">
        <f t="shared" si="11"/>
        <v>OK</v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>M22</v>
      </c>
      <c r="B254" t="str">
        <f>IF(A254="","",IF(J254&lt;=INDEX(Matches!$I$2:$I$25,I254-1),INDEX(Matches!$G$2:$G$25,I254-1),INDEX(Matches!$H$2:$H$25,I254-1)))</f>
        <v>Fatine FC</v>
      </c>
      <c r="C254">
        <f>IF(A254="","",COUNTIFS($A$2:A254,A254,$B$2:B254,B254))</f>
        <v>1</v>
      </c>
      <c r="D254" s="2" t="str">
        <f t="shared" si="9"/>
        <v>Goal</v>
      </c>
      <c r="E254" s="2" t="s">
        <v>477</v>
      </c>
      <c r="F254" t="str">
        <f t="shared" si="10"/>
        <v>Fatine FC</v>
      </c>
      <c r="G254" t="str">
        <f t="shared" si="11"/>
        <v>OK</v>
      </c>
      <c r="H254" t="str">
        <f>IF(F254="","",VLOOKUP(F254,Validation!$A$2:$B$17,2,FALSE))</f>
        <v>Validation!$C$2:$C$31</v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>M22</v>
      </c>
      <c r="B255" t="str">
        <f>IF(A255="","",IF(J255&lt;=INDEX(Matches!$I$2:$I$25,I255-1),INDEX(Matches!$G$2:$G$25,I255-1),INDEX(Matches!$H$2:$H$25,I255-1)))</f>
        <v>Fatine FC</v>
      </c>
      <c r="C255">
        <f>IF(A255="","",COUNTIFS($A$2:A255,A255,$B$2:B255,B255))</f>
        <v>2</v>
      </c>
      <c r="D255" s="2" t="str">
        <f t="shared" si="9"/>
        <v>Goal</v>
      </c>
      <c r="E255" s="2" t="s">
        <v>477</v>
      </c>
      <c r="F255" t="str">
        <f t="shared" si="10"/>
        <v>Fatine FC</v>
      </c>
      <c r="G255" t="str">
        <f t="shared" si="11"/>
        <v>OK</v>
      </c>
      <c r="H255" t="str">
        <f>IF(F255="","",VLOOKUP(F255,Validation!$A$2:$B$17,2,FALSE))</f>
        <v>Validation!$C$2:$C$31</v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>M22</v>
      </c>
      <c r="B256" t="str">
        <f>IF(A256="","",IF(J256&lt;=INDEX(Matches!$I$2:$I$25,I256-1),INDEX(Matches!$G$2:$G$25,I256-1),INDEX(Matches!$H$2:$H$25,I256-1)))</f>
        <v>Fatine FC</v>
      </c>
      <c r="C256">
        <f>IF(A256="","",COUNTIFS($A$2:A256,A256,$B$2:B256,B256))</f>
        <v>3</v>
      </c>
      <c r="D256" s="2" t="str">
        <f t="shared" si="9"/>
        <v>Goal</v>
      </c>
      <c r="E256" s="2" t="s">
        <v>462</v>
      </c>
      <c r="F256" t="str">
        <f t="shared" si="10"/>
        <v>Fatine FC</v>
      </c>
      <c r="G256" t="str">
        <f t="shared" si="11"/>
        <v>OK</v>
      </c>
      <c r="H256" t="str">
        <f>IF(F256="","",VLOOKUP(F256,Validation!$A$2:$B$17,2,FALSE))</f>
        <v>Validation!$C$2:$C$31</v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>M22</v>
      </c>
      <c r="B257" t="str">
        <f>IF(A257="","",IF(J257&lt;=INDEX(Matches!$I$2:$I$25,I257-1),INDEX(Matches!$G$2:$G$25,I257-1),INDEX(Matches!$H$2:$H$25,I257-1)))</f>
        <v>Fatine FC</v>
      </c>
      <c r="C257">
        <f>IF(A257="","",COUNTIFS($A$2:A257,A257,$B$2:B257,B257))</f>
        <v>4</v>
      </c>
      <c r="D257" s="2" t="str">
        <f t="shared" si="9"/>
        <v>Goal</v>
      </c>
      <c r="E257" s="2" t="s">
        <v>431</v>
      </c>
      <c r="F257" t="str">
        <f t="shared" si="10"/>
        <v>Fatine FC</v>
      </c>
      <c r="G257" t="str">
        <f t="shared" si="11"/>
        <v>OK</v>
      </c>
      <c r="H257" t="str">
        <f>IF(F257="","",VLOOKUP(F257,Validation!$A$2:$B$17,2,FALSE))</f>
        <v>Validation!$C$2:$C$31</v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>M23</v>
      </c>
      <c r="B266" t="str">
        <f>IF(A266="","",IF(J266&lt;=INDEX(Matches!$I$2:$I$25,I266-1),INDEX(Matches!$G$2:$G$25,I266-1),INDEX(Matches!$H$2:$H$25,I266-1)))</f>
        <v>FC Internazionale Rovigo</v>
      </c>
      <c r="C266">
        <f>IF(A266="","",COUNTIFS($A$2:A266,A266,$B$2:B266,B266))</f>
        <v>1</v>
      </c>
      <c r="D266" s="2" t="str">
        <f t="shared" si="12"/>
        <v>Goal</v>
      </c>
      <c r="E266" s="2" t="s">
        <v>476</v>
      </c>
      <c r="F266" t="str">
        <f t="shared" si="13"/>
        <v>FC Internazionale Rovigo</v>
      </c>
      <c r="G266" t="str">
        <f t="shared" si="14"/>
        <v>OK</v>
      </c>
      <c r="H266" t="str">
        <f>IF(F266="","",VLOOKUP(F266,Validation!$A$2:$B$17,2,FALSE))</f>
        <v>Validation!$D$2:$D$31</v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>M23</v>
      </c>
      <c r="B267" t="str">
        <f>IF(A267="","",IF(J267&lt;=INDEX(Matches!$I$2:$I$25,I267-1),INDEX(Matches!$G$2:$G$25,I267-1),INDEX(Matches!$H$2:$H$25,I267-1)))</f>
        <v>Moviola Utd</v>
      </c>
      <c r="C267">
        <f>IF(A267="","",COUNTIFS($A$2:A267,A267,$B$2:B267,B267))</f>
        <v>1</v>
      </c>
      <c r="D267" s="2" t="str">
        <f t="shared" si="12"/>
        <v>Goal</v>
      </c>
      <c r="E267" s="2" t="s">
        <v>461</v>
      </c>
      <c r="F267" t="str">
        <f t="shared" si="13"/>
        <v>Moviola Utd</v>
      </c>
      <c r="G267" t="str">
        <f t="shared" si="14"/>
        <v>OK</v>
      </c>
      <c r="H267" t="str">
        <f>IF(F267="","",VLOOKUP(F267,Validation!$A$2:$B$17,2,FALSE))</f>
        <v>Validation!$E$2:$E$31</v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>M24</v>
      </c>
      <c r="B278" t="str">
        <f>IF(A278="","",IF(J278&lt;=INDEX(Matches!$I$2:$I$25,I278-1),INDEX(Matches!$G$2:$G$25,I278-1),INDEX(Matches!$H$2:$H$25,I278-1)))</f>
        <v>Pink 5ive</v>
      </c>
      <c r="C278">
        <f>IF(A278="","",COUNTIFS($A$2:A278,A278,$B$2:B278,B278))</f>
        <v>1</v>
      </c>
      <c r="D278" s="2" t="str">
        <f t="shared" si="12"/>
        <v>Goal</v>
      </c>
      <c r="E278" s="2" t="s">
        <v>455</v>
      </c>
      <c r="F278" t="str">
        <f t="shared" si="13"/>
        <v>Pink 5ive</v>
      </c>
      <c r="G278" t="str">
        <f t="shared" si="14"/>
        <v>OK</v>
      </c>
      <c r="H278" t="str">
        <f>IF(F278="","",VLOOKUP(F278,Validation!$A$2:$B$17,2,FALSE))</f>
        <v>Validation!$L$2:$L$31</v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>M24</v>
      </c>
      <c r="B279" t="str">
        <f>IF(A279="","",IF(J279&lt;=INDEX(Matches!$I$2:$I$25,I279-1),INDEX(Matches!$G$2:$G$25,I279-1),INDEX(Matches!$H$2:$H$25,I279-1)))</f>
        <v>Barrio Boys</v>
      </c>
      <c r="C279">
        <f>IF(A279="","",COUNTIFS($A$2:A279,A279,$B$2:B279,B279))</f>
        <v>1</v>
      </c>
      <c r="D279" s="2" t="str">
        <f t="shared" si="12"/>
        <v>Goal</v>
      </c>
      <c r="E279" s="2" t="s">
        <v>475</v>
      </c>
      <c r="F279" t="str">
        <f t="shared" si="13"/>
        <v>Barrio Boys</v>
      </c>
      <c r="G279" t="str">
        <f t="shared" si="14"/>
        <v>OK</v>
      </c>
      <c r="H279" t="str">
        <f>IF(F279="","",VLOOKUP(F279,Validation!$A$2:$B$17,2,FALSE))</f>
        <v>Validation!$M$2:$M$31</v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>M24</v>
      </c>
      <c r="B280" t="str">
        <f>IF(A280="","",IF(J280&lt;=INDEX(Matches!$I$2:$I$25,I280-1),INDEX(Matches!$G$2:$G$25,I280-1),INDEX(Matches!$H$2:$H$25,I280-1)))</f>
        <v>Barrio Boys</v>
      </c>
      <c r="C280">
        <f>IF(A280="","",COUNTIFS($A$2:A280,A280,$B$2:B280,B280))</f>
        <v>2</v>
      </c>
      <c r="D280" s="2" t="str">
        <f t="shared" si="12"/>
        <v>Goal</v>
      </c>
      <c r="E280" s="2" t="s">
        <v>475</v>
      </c>
      <c r="F280" t="str">
        <f t="shared" si="13"/>
        <v>Barrio Boys</v>
      </c>
      <c r="G280" t="str">
        <f t="shared" si="14"/>
        <v>OK</v>
      </c>
      <c r="H280" t="str">
        <f>IF(F280="","",VLOOKUP(F280,Validation!$A$2:$B$17,2,FALSE))</f>
        <v>Validation!$M$2:$M$31</v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>M24</v>
      </c>
      <c r="B281" t="str">
        <f>IF(A281="","",IF(J281&lt;=INDEX(Matches!$I$2:$I$25,I281-1),INDEX(Matches!$G$2:$G$25,I281-1),INDEX(Matches!$H$2:$H$25,I281-1)))</f>
        <v>Barrio Boys</v>
      </c>
      <c r="C281">
        <f>IF(A281="","",COUNTIFS($A$2:A281,A281,$B$2:B281,B281))</f>
        <v>3</v>
      </c>
      <c r="D281" s="2" t="str">
        <f t="shared" si="12"/>
        <v>Goal</v>
      </c>
      <c r="E281" s="2" t="s">
        <v>416</v>
      </c>
      <c r="F281" t="str">
        <f t="shared" si="13"/>
        <v>Barrio Boys</v>
      </c>
      <c r="G281" t="str">
        <f t="shared" si="14"/>
        <v>OK</v>
      </c>
      <c r="H281" t="str">
        <f>IF(F281="","",VLOOKUP(F281,Validation!$A$2:$B$17,2,FALSE))</f>
        <v>Validation!$M$2:$M$31</v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>M24</v>
      </c>
      <c r="B282" t="str">
        <f>IF(A282="","",IF(J282&lt;=INDEX(Matches!$I$2:$I$25,I282-1),INDEX(Matches!$G$2:$G$25,I282-1),INDEX(Matches!$H$2:$H$25,I282-1)))</f>
        <v>Barrio Boys</v>
      </c>
      <c r="C282">
        <f>IF(A282="","",COUNTIFS($A$2:A282,A282,$B$2:B282,B282))</f>
        <v>4</v>
      </c>
      <c r="D282" s="2" t="str">
        <f t="shared" si="12"/>
        <v>Goal</v>
      </c>
      <c r="E282" s="2" t="s">
        <v>417</v>
      </c>
      <c r="F282" t="str">
        <f t="shared" si="13"/>
        <v>Barrio Boys</v>
      </c>
      <c r="G282" t="str">
        <f t="shared" si="14"/>
        <v>OK</v>
      </c>
      <c r="H282" t="str">
        <f>IF(F282="","",VLOOKUP(F282,Validation!$A$2:$B$17,2,FALSE))</f>
        <v>Validation!$M$2:$M$31</v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285</v>
      </c>
      <c r="B1" s="5" t="s">
        <v>292</v>
      </c>
      <c r="C1" s="5" t="s">
        <v>241</v>
      </c>
      <c r="D1" s="5" t="s">
        <v>293</v>
      </c>
      <c r="E1" s="5" t="s">
        <v>294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99 -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1</v>
      </c>
      <c r="E3">
        <f t="shared" si="0"/>
        <v>99999.997000000003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2</v>
      </c>
      <c r="E5">
        <f t="shared" si="0"/>
        <v>199999.995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3</v>
      </c>
      <c r="E7">
        <f t="shared" si="0"/>
        <v>299999.99300000002</v>
      </c>
    </row>
    <row r="8" spans="1:26" x14ac:dyDescent="0.3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2</v>
      </c>
      <c r="E11">
        <f t="shared" si="0"/>
        <v>199999.989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7 -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20 -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2</v>
      </c>
      <c r="E33">
        <f t="shared" si="0"/>
        <v>199999.967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2 -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19 -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8 -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2</v>
      </c>
      <c r="E36">
        <f t="shared" si="0"/>
        <v>199999.96400000001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3 -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14 -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1 -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18 -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4 -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1</v>
      </c>
      <c r="E41">
        <f t="shared" si="0"/>
        <v>99999.959000000003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1 -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23 -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8 -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1</v>
      </c>
      <c r="E64">
        <f t="shared" si="0"/>
        <v>99999.936000000002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70 -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3</v>
      </c>
      <c r="E65">
        <f t="shared" si="0"/>
        <v>299999.935</v>
      </c>
    </row>
    <row r="66" spans="1:5" x14ac:dyDescent="0.3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7 -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2</v>
      </c>
      <c r="E66">
        <f t="shared" ref="E66:E129" si="1">IF(A66="",0,D66*100000-ROW()/1000)</f>
        <v>199999.93400000001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5 -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45 -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2 -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1</v>
      </c>
      <c r="E69">
        <f t="shared" si="1"/>
        <v>99999.930999999997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9 -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1</v>
      </c>
      <c r="E70">
        <f t="shared" si="1"/>
        <v>99999.93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6 -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4 -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10 -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20 -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1</v>
      </c>
      <c r="E74">
        <f t="shared" si="1"/>
        <v>99999.926000000007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1</v>
      </c>
      <c r="E126">
        <f t="shared" si="1"/>
        <v>99999.873999999996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3</v>
      </c>
      <c r="E152">
        <f t="shared" si="2"/>
        <v>299999.848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2</v>
      </c>
      <c r="E157">
        <f t="shared" si="2"/>
        <v>199999.84299999999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2</v>
      </c>
      <c r="E184">
        <f t="shared" si="2"/>
        <v>199999.81599999999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1</v>
      </c>
      <c r="E185">
        <f t="shared" si="2"/>
        <v>99999.815000000002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1</v>
      </c>
      <c r="E186">
        <f t="shared" si="2"/>
        <v>99999.813999999998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8</v>
      </c>
      <c r="E187">
        <f t="shared" si="2"/>
        <v>799999.81299999997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2</v>
      </c>
      <c r="E188">
        <f t="shared" si="2"/>
        <v>199999.81200000001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3</v>
      </c>
      <c r="E192">
        <f t="shared" si="2"/>
        <v>299999.80800000002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2</v>
      </c>
      <c r="E213">
        <f t="shared" si="3"/>
        <v>199999.78700000001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1</v>
      </c>
      <c r="E214">
        <f t="shared" si="3"/>
        <v>99999.785999999993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ANTONIO CIRILLO</v>
      </c>
      <c r="B217" t="str">
        <f>IF(A217="","",Players!C217)</f>
        <v>Beverton</v>
      </c>
      <c r="C217" t="str">
        <f>IF(A217="","",Players!G217)</f>
        <v>1 - ANTONIO CIRILLO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>MOUMOUNI BAMOGO</v>
      </c>
      <c r="B218" t="str">
        <f>IF(A218="","",Players!C218)</f>
        <v>Beverton</v>
      </c>
      <c r="C218" t="str">
        <f>IF(A218="","",Players!G218)</f>
        <v>8 - MOUMOUNI BAMOGO</v>
      </c>
      <c r="D218">
        <f>IF(A218="","",COUNTIFS(Goals!$D$2:$D$289,"Goal",Goals!$E$2:$E$289,"*"&amp;A218&amp;"*",Goals!$F$2:$F$289,B218)+COUNTIFS(KnockoutGoals!$D$2:$D$85,"Goal",KnockoutGoals!$E$2:$E$85,"*"&amp;A218&amp;"*",KnockoutGoals!$F$2:$F$85,B218))</f>
        <v>0</v>
      </c>
      <c r="E218">
        <f t="shared" si="3"/>
        <v>-0.218</v>
      </c>
    </row>
    <row r="219" spans="1:5" x14ac:dyDescent="0.3">
      <c r="A219" t="str">
        <f>IF(Players!E219="","",Players!E219)</f>
        <v>DAVIDE SALVIATO</v>
      </c>
      <c r="B219" t="str">
        <f>IF(A219="","",Players!C219)</f>
        <v>Beverton</v>
      </c>
      <c r="C219" t="str">
        <f>IF(A219="","",Players!G219)</f>
        <v>5 - DAVIDE SALVIATO</v>
      </c>
      <c r="D219">
        <f>IF(A219="","",COUNTIFS(Goals!$D$2:$D$289,"Goal",Goals!$E$2:$E$289,"*"&amp;A219&amp;"*",Goals!$F$2:$F$289,B219)+COUNTIFS(KnockoutGoals!$D$2:$D$85,"Goal",KnockoutGoals!$E$2:$E$85,"*"&amp;A219&amp;"*",KnockoutGoals!$F$2:$F$85,B219))</f>
        <v>0</v>
      </c>
      <c r="E219">
        <f t="shared" si="3"/>
        <v>-0.219</v>
      </c>
    </row>
    <row r="220" spans="1:5" x14ac:dyDescent="0.3">
      <c r="A220" t="str">
        <f>IF(Players!E220="","",Players!E220)</f>
        <v>POKOU ANTHONY</v>
      </c>
      <c r="B220" t="str">
        <f>IF(A220="","",Players!C220)</f>
        <v>Beverton</v>
      </c>
      <c r="C220" t="str">
        <f>IF(A220="","",Players!G220)</f>
        <v>77 - POKOU ANTHONY</v>
      </c>
      <c r="D220">
        <f>IF(A220="","",COUNTIFS(Goals!$D$2:$D$289,"Goal",Goals!$E$2:$E$289,"*"&amp;A220&amp;"*",Goals!$F$2:$F$289,B220)+COUNTIFS(KnockoutGoals!$D$2:$D$85,"Goal",KnockoutGoals!$E$2:$E$85,"*"&amp;A220&amp;"*",KnockoutGoals!$F$2:$F$85,B220))</f>
        <v>1</v>
      </c>
      <c r="E220">
        <f t="shared" si="3"/>
        <v>99999.78</v>
      </c>
    </row>
    <row r="221" spans="1:5" x14ac:dyDescent="0.3">
      <c r="A221" t="str">
        <f>IF(Players!E221="","",Players!E221)</f>
        <v>ABDO ARAUFY</v>
      </c>
      <c r="B221" t="str">
        <f>IF(A221="","",Players!C221)</f>
        <v>Beverton</v>
      </c>
      <c r="C221" t="str">
        <f>IF(A221="","",Players!G221)</f>
        <v>9 - ABDO ARAUFY</v>
      </c>
      <c r="D221">
        <f>IF(A221="","",COUNTIFS(Goals!$D$2:$D$289,"Goal",Goals!$E$2:$E$289,"*"&amp;A221&amp;"*",Goals!$F$2:$F$289,B221)+COUNTIFS(KnockoutGoals!$D$2:$D$85,"Goal",KnockoutGoals!$E$2:$E$85,"*"&amp;A221&amp;"*",KnockoutGoals!$F$2:$F$85,B221))</f>
        <v>0</v>
      </c>
      <c r="E221">
        <f t="shared" si="3"/>
        <v>-0.221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10</v>
      </c>
      <c r="E243">
        <f t="shared" si="3"/>
        <v>999999.75699999998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3</v>
      </c>
      <c r="E244">
        <f t="shared" si="3"/>
        <v>299999.75599999999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3</v>
      </c>
      <c r="E246">
        <f t="shared" si="3"/>
        <v>299999.75400000002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1</v>
      </c>
      <c r="E247">
        <f t="shared" si="3"/>
        <v>99999.752999999997</v>
      </c>
    </row>
    <row r="248" spans="1:5" x14ac:dyDescent="0.3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3</v>
      </c>
      <c r="E248">
        <f t="shared" si="3"/>
        <v>299999.75199999998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17 -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2</v>
      </c>
      <c r="E249">
        <f t="shared" si="3"/>
        <v>199999.75099999999</v>
      </c>
    </row>
    <row r="250" spans="1:5" x14ac:dyDescent="0.3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7 -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2</v>
      </c>
      <c r="E250">
        <f t="shared" si="3"/>
        <v>199999.75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1</v>
      </c>
      <c r="E275">
        <f t="shared" si="4"/>
        <v>99999.725000000006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1</v>
      </c>
      <c r="E277">
        <f t="shared" si="4"/>
        <v>99999.722999999998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1</v>
      </c>
      <c r="E279">
        <f t="shared" si="4"/>
        <v>99999.721000000005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2</v>
      </c>
      <c r="E281">
        <f t="shared" si="4"/>
        <v>199999.71900000001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2</v>
      </c>
      <c r="E303">
        <f t="shared" si="4"/>
        <v>199999.69699999999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4</v>
      </c>
      <c r="E304">
        <f t="shared" si="4"/>
        <v>399999.696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2</v>
      </c>
      <c r="E305">
        <f t="shared" si="4"/>
        <v>199999.69500000001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4</v>
      </c>
      <c r="E309">
        <f t="shared" si="4"/>
        <v>399999.69099999999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6</v>
      </c>
      <c r="E310">
        <f t="shared" si="4"/>
        <v>599999.68999999994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1</v>
      </c>
      <c r="E334">
        <f t="shared" si="5"/>
        <v>99999.665999999997</v>
      </c>
    </row>
    <row r="335" spans="1:5" x14ac:dyDescent="0.3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1</v>
      </c>
      <c r="E337">
        <f t="shared" si="5"/>
        <v>99999.663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4</v>
      </c>
      <c r="E365">
        <f t="shared" si="5"/>
        <v>399999.63500000001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1</v>
      </c>
      <c r="E366">
        <f t="shared" si="5"/>
        <v>99999.634000000005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2</v>
      </c>
      <c r="E367">
        <f t="shared" si="5"/>
        <v>199999.633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1</v>
      </c>
      <c r="E370">
        <f t="shared" si="5"/>
        <v>99999.63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1</v>
      </c>
      <c r="E392">
        <f t="shared" si="6"/>
        <v>99999.607999999993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2</v>
      </c>
      <c r="E398">
        <f t="shared" si="6"/>
        <v>199999.60200000001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1</v>
      </c>
      <c r="E399">
        <f t="shared" si="6"/>
        <v>99999.600999999995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1</v>
      </c>
      <c r="E423">
        <f t="shared" si="6"/>
        <v>99999.577000000005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1</v>
      </c>
      <c r="E427">
        <f t="shared" si="6"/>
        <v>99999.573000000004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1</v>
      </c>
      <c r="E430">
        <f t="shared" si="6"/>
        <v>99999.57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1</v>
      </c>
      <c r="E454">
        <f t="shared" si="7"/>
        <v>99999.546000000002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1</v>
      </c>
      <c r="E459">
        <f t="shared" si="7"/>
        <v>99999.540999999997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1</v>
      </c>
      <c r="E460">
        <f t="shared" si="7"/>
        <v>99999.54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295</v>
      </c>
      <c r="B1" s="5" t="s">
        <v>285</v>
      </c>
      <c r="C1" s="5" t="s">
        <v>292</v>
      </c>
      <c r="D1" s="5" t="s">
        <v>293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LEONARDO MAGGIO</v>
      </c>
      <c r="C2" t="str">
        <f>IF($A2="","",INDEX(ScorerData!$B$2:$B$481,MATCH(LARGE(ScorerData!$E$2:$E$481,$A2),ScorerData!$E$2:$E$481,0)))</f>
        <v>Leoni di Ricky</v>
      </c>
      <c r="D2">
        <f>IF($A2="","",INDEX(ScorerData!$D$2:$D$481,MATCH(LARGE(ScorerData!$E$2:$E$481,$A2),ScorerData!$E$2:$E$481,0)))</f>
        <v>10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IGNAZIO BADALÌ</v>
      </c>
      <c r="C3" t="str">
        <f>IF($A3="","",INDEX(ScorerData!$B$2:$B$481,MATCH(LARGE(ScorerData!$E$2:$E$481,$A3),ScorerData!$E$2:$E$481,0)))</f>
        <v>AS Bancatore</v>
      </c>
      <c r="D3">
        <f>IF($A3="","",INDEX(ScorerData!$D$2:$D$481,MATCH(LARGE(ScorerData!$E$2:$E$481,$A3),ScorerData!$E$2:$E$481,0)))</f>
        <v>8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MATTEO FERRO</v>
      </c>
      <c r="C4" t="str">
        <f>IF($A4="","",INDEX(ScorerData!$B$2:$B$481,MATCH(LARGE(ScorerData!$E$2:$E$481,$A4),ScorerData!$E$2:$E$481,0)))</f>
        <v>Barrio Boys</v>
      </c>
      <c r="D4">
        <f>IF($A4="","",INDEX(ScorerData!$D$2:$D$481,MATCH(LARGE(ScorerData!$E$2:$E$481,$A4),ScorerData!$E$2:$E$481,0)))</f>
        <v>6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FRANCESCO BERARDI</v>
      </c>
      <c r="C5" t="str">
        <f>IF($A5="","",INDEX(ScorerData!$B$2:$B$481,MATCH(LARGE(ScorerData!$E$2:$E$481,$A5),ScorerData!$E$2:$E$481,0)))</f>
        <v>Barrio Boys</v>
      </c>
      <c r="D5">
        <f>IF($A5="","",INDEX(ScorerData!$D$2:$D$481,MATCH(LARGE(ScorerData!$E$2:$E$481,$A5),ScorerData!$E$2:$E$481,0)))</f>
        <v>4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EDOARDO CAVALLARI</v>
      </c>
      <c r="C6" t="str">
        <f>IF($A6="","",INDEX(ScorerData!$B$2:$B$481,MATCH(LARGE(ScorerData!$E$2:$E$481,$A6),ScorerData!$E$2:$E$481,0)))</f>
        <v>Barrio Boys</v>
      </c>
      <c r="D6">
        <f>IF($A6="","",INDEX(ScorerData!$D$2:$D$481,MATCH(LARGE(ScorerData!$E$2:$E$481,$A6),ScorerData!$E$2:$E$481,0)))</f>
        <v>4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NICOLA BRESCIANI</v>
      </c>
      <c r="C7" t="str">
        <f>IF($A7="","",INDEX(ScorerData!$B$2:$B$481,MATCH(LARGE(ScorerData!$E$2:$E$481,$A7),ScorerData!$E$2:$E$481,0)))</f>
        <v>All Blacks</v>
      </c>
      <c r="D7">
        <f>IF($A7="","",INDEX(ScorerData!$D$2:$D$481,MATCH(LARGE(ScorerData!$E$2:$E$481,$A7),ScorerData!$E$2:$E$481,0)))</f>
        <v>4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LUCA MARINI</v>
      </c>
      <c r="C8" t="str">
        <f>IF($A8="","",INDEX(ScorerData!$B$2:$B$481,MATCH(LARGE(ScorerData!$E$2:$E$481,$A8),ScorerData!$E$2:$E$481,0)))</f>
        <v>Fatine FC</v>
      </c>
      <c r="D8">
        <f>IF($A8="","",INDEX(ScorerData!$D$2:$D$481,MATCH(LARGE(ScorerData!$E$2:$E$481,$A8),ScorerData!$E$2:$E$481,0)))</f>
        <v>3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FILIPPO SCARANELLO</v>
      </c>
      <c r="C9" t="str">
        <f>IF($A9="","",INDEX(ScorerData!$B$2:$B$481,MATCH(LARGE(ScorerData!$E$2:$E$481,$A9),ScorerData!$E$2:$E$481,0)))</f>
        <v>Moviola Utd</v>
      </c>
      <c r="D9">
        <f>IF($A9="","",INDEX(ScorerData!$D$2:$D$481,MATCH(LARGE(ScorerData!$E$2:$E$481,$A9),ScorerData!$E$2:$E$481,0)))</f>
        <v>3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DAVIDE ZAGHI</v>
      </c>
      <c r="C10" t="str">
        <f>IF($A10="","",INDEX(ScorerData!$B$2:$B$481,MATCH(LARGE(ScorerData!$E$2:$E$481,$A10),ScorerData!$E$2:$E$481,0)))</f>
        <v>Vecchie Glorie Rovigo</v>
      </c>
      <c r="D10">
        <f>IF($A10="","",INDEX(ScorerData!$D$2:$D$481,MATCH(LARGE(ScorerData!$E$2:$E$481,$A10),ScorerData!$E$2:$E$481,0)))</f>
        <v>3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MATTEO ZAMBERLAN</v>
      </c>
      <c r="C11" t="str">
        <f>IF($A11="","",INDEX(ScorerData!$B$2:$B$481,MATCH(LARGE(ScorerData!$E$2:$E$481,$A11),ScorerData!$E$2:$E$481,0)))</f>
        <v>Vecchie Glorie Rovigo</v>
      </c>
      <c r="D11">
        <f>IF($A11="","",INDEX(ScorerData!$D$2:$D$481,MATCH(LARGE(ScorerData!$E$2:$E$481,$A11),ScorerData!$E$2:$E$481,0)))</f>
        <v>3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NICOLA BARONI</v>
      </c>
      <c r="C12" t="str">
        <f>IF($A12="","",INDEX(ScorerData!$B$2:$B$481,MATCH(LARGE(ScorerData!$E$2:$E$481,$A12),ScorerData!$E$2:$E$481,0)))</f>
        <v>AS Bancatore</v>
      </c>
      <c r="D12">
        <f>IF($A12="","",INDEX(ScorerData!$D$2:$D$481,MATCH(LARGE(ScorerData!$E$2:$E$481,$A12),ScorerData!$E$2:$E$481,0)))</f>
        <v>3</v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AMIN MASSAGHRI</v>
      </c>
      <c r="C13" t="str">
        <f>IF($A13="","",INDEX(ScorerData!$B$2:$B$481,MATCH(LARGE(ScorerData!$E$2:$E$481,$A13),ScorerData!$E$2:$E$481,0)))</f>
        <v>Leoni di Ricky</v>
      </c>
      <c r="D13">
        <f>IF($A13="","",INDEX(ScorerData!$D$2:$D$481,MATCH(LARGE(ScorerData!$E$2:$E$481,$A13),ScorerData!$E$2:$E$481,0)))</f>
        <v>3</v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MARCO THOMPSON</v>
      </c>
      <c r="C14" t="str">
        <f>IF($A14="","",INDEX(ScorerData!$B$2:$B$481,MATCH(LARGE(ScorerData!$E$2:$E$481,$A14),ScorerData!$E$2:$E$481,0)))</f>
        <v>Leoni di Ricky</v>
      </c>
      <c r="D14">
        <f>IF($A14="","",INDEX(ScorerData!$D$2:$D$481,MATCH(LARGE(ScorerData!$E$2:$E$481,$A14),ScorerData!$E$2:$E$481,0)))</f>
        <v>3</v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ANDREI BARZAGHIDEANU</v>
      </c>
      <c r="C15" t="str">
        <f>IF($A15="","",INDEX(ScorerData!$B$2:$B$481,MATCH(LARGE(ScorerData!$E$2:$E$481,$A15),ScorerData!$E$2:$E$481,0)))</f>
        <v>Leoni di Ricky</v>
      </c>
      <c r="D15">
        <f>IF($A15="","",INDEX(ScorerData!$D$2:$D$481,MATCH(LARGE(ScorerData!$E$2:$E$481,$A15),ScorerData!$E$2:$E$481,0)))</f>
        <v>3</v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NICHOLAS MILAN</v>
      </c>
      <c r="C16" t="str">
        <f>IF($A16="","",INDEX(ScorerData!$B$2:$B$481,MATCH(LARGE(ScorerData!$E$2:$E$481,$A16),ScorerData!$E$2:$E$481,0)))</f>
        <v>Fatine FC</v>
      </c>
      <c r="D16">
        <f>IF($A16="","",INDEX(ScorerData!$D$2:$D$481,MATCH(LARGE(ScorerData!$E$2:$E$481,$A16),ScorerData!$E$2:$E$481,0)))</f>
        <v>2</v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MATTEO COL</v>
      </c>
      <c r="C17" t="str">
        <f>IF($A17="","",INDEX(ScorerData!$B$2:$B$481,MATCH(LARGE(ScorerData!$E$2:$E$481,$A17),ScorerData!$E$2:$E$481,0)))</f>
        <v>Fatine FC</v>
      </c>
      <c r="D17">
        <f>IF($A17="","",INDEX(ScorerData!$D$2:$D$481,MATCH(LARGE(ScorerData!$E$2:$E$481,$A17),ScorerData!$E$2:$E$481,0)))</f>
        <v>2</v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IVAN DENIS SHEVERAK</v>
      </c>
      <c r="C18" t="str">
        <f>IF($A18="","",INDEX(ScorerData!$B$2:$B$481,MATCH(LARGE(ScorerData!$E$2:$E$481,$A18),ScorerData!$E$2:$E$481,0)))</f>
        <v>FC Internazionale Rovigo</v>
      </c>
      <c r="D18">
        <f>IF($A18="","",INDEX(ScorerData!$D$2:$D$481,MATCH(LARGE(ScorerData!$E$2:$E$481,$A18),ScorerData!$E$2:$E$481,0)))</f>
        <v>2</v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AHMED ZOUZAF</v>
      </c>
      <c r="C19" t="str">
        <f>IF($A19="","",INDEX(ScorerData!$B$2:$B$481,MATCH(LARGE(ScorerData!$E$2:$E$481,$A19),ScorerData!$E$2:$E$481,0)))</f>
        <v>FC Internazionale Rovigo</v>
      </c>
      <c r="D19">
        <f>IF($A19="","",INDEX(ScorerData!$D$2:$D$481,MATCH(LARGE(ScorerData!$E$2:$E$481,$A19),ScorerData!$E$2:$E$481,0)))</f>
        <v>2</v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EDDY MAZZETTO</v>
      </c>
      <c r="C20" t="str">
        <f>IF($A20="","",INDEX(ScorerData!$B$2:$B$481,MATCH(LARGE(ScorerData!$E$2:$E$481,$A20),ScorerData!$E$2:$E$481,0)))</f>
        <v>Moviola Utd</v>
      </c>
      <c r="D20">
        <f>IF($A20="","",INDEX(ScorerData!$D$2:$D$481,MATCH(LARGE(ScorerData!$E$2:$E$481,$A20),ScorerData!$E$2:$E$481,0)))</f>
        <v>2</v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>DENIS TIMPANARO</v>
      </c>
      <c r="C21" t="str">
        <f>IF($A21="","",INDEX(ScorerData!$B$2:$B$481,MATCH(LARGE(ScorerData!$E$2:$E$481,$A21),ScorerData!$E$2:$E$481,0)))</f>
        <v>Vecchie Glorie Rovigo</v>
      </c>
      <c r="D21">
        <f>IF($A21="","",INDEX(ScorerData!$D$2:$D$481,MATCH(LARGE(ScorerData!$E$2:$E$481,$A21),ScorerData!$E$2:$E$481,0)))</f>
        <v>2</v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>MATTEO LONGO</v>
      </c>
      <c r="C22" t="str">
        <f>IF($A22="","",INDEX(ScorerData!$B$2:$B$481,MATCH(LARGE(ScorerData!$E$2:$E$481,$A22),ScorerData!$E$2:$E$481,0)))</f>
        <v>AS Bancatore</v>
      </c>
      <c r="D22">
        <f>IF($A22="","",INDEX(ScorerData!$D$2:$D$481,MATCH(LARGE(ScorerData!$E$2:$E$481,$A22),ScorerData!$E$2:$E$481,0)))</f>
        <v>2</v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>GIANLUCA FREZZATI</v>
      </c>
      <c r="C23" t="str">
        <f>IF($A23="","",INDEX(ScorerData!$B$2:$B$481,MATCH(LARGE(ScorerData!$E$2:$E$481,$A23),ScorerData!$E$2:$E$481,0)))</f>
        <v>AS Bancatore</v>
      </c>
      <c r="D23">
        <f>IF($A23="","",INDEX(ScorerData!$D$2:$D$481,MATCH(LARGE(ScorerData!$E$2:$E$481,$A23),ScorerData!$E$2:$E$481,0)))</f>
        <v>2</v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>SAMUEL BONSU</v>
      </c>
      <c r="C24" t="str">
        <f>IF($A24="","",INDEX(ScorerData!$B$2:$B$481,MATCH(LARGE(ScorerData!$E$2:$E$481,$A24),ScorerData!$E$2:$E$481,0)))</f>
        <v>Beverton</v>
      </c>
      <c r="D24">
        <f>IF($A24="","",INDEX(ScorerData!$D$2:$D$481,MATCH(LARGE(ScorerData!$E$2:$E$481,$A24),ScorerData!$E$2:$E$481,0)))</f>
        <v>2</v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>VLAD GABRIEL DUMINICA</v>
      </c>
      <c r="C25" t="str">
        <f>IF($A25="","",INDEX(ScorerData!$B$2:$B$481,MATCH(LARGE(ScorerData!$E$2:$E$481,$A25),ScorerData!$E$2:$E$481,0)))</f>
        <v>Leoni di Ricky</v>
      </c>
      <c r="D25">
        <f>IF($A25="","",INDEX(ScorerData!$D$2:$D$481,MATCH(LARGE(ScorerData!$E$2:$E$481,$A25),ScorerData!$E$2:$E$481,0)))</f>
        <v>2</v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>TOMMASO ZANGIROLAMI</v>
      </c>
      <c r="C26" t="str">
        <f>IF($A26="","",INDEX(ScorerData!$B$2:$B$481,MATCH(LARGE(ScorerData!$E$2:$E$481,$A26),ScorerData!$E$2:$E$481,0)))</f>
        <v>Leoni di Ricky</v>
      </c>
      <c r="D26">
        <f>IF($A26="","",INDEX(ScorerData!$D$2:$D$481,MATCH(LARGE(ScorerData!$E$2:$E$481,$A26),ScorerData!$E$2:$E$481,0)))</f>
        <v>2</v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>MATTIA COLTRO</v>
      </c>
      <c r="C27" t="str">
        <f>IF($A27="","",INDEX(ScorerData!$B$2:$B$481,MATCH(LARGE(ScorerData!$E$2:$E$481,$A27),ScorerData!$E$2:$E$481,0)))</f>
        <v>Pink 5ive</v>
      </c>
      <c r="D27">
        <f>IF($A27="","",INDEX(ScorerData!$D$2:$D$481,MATCH(LARGE(ScorerData!$E$2:$E$481,$A27),ScorerData!$E$2:$E$481,0)))</f>
        <v>2</v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>LUCA NONNATO</v>
      </c>
      <c r="C28" t="str">
        <f>IF($A28="","",INDEX(ScorerData!$B$2:$B$481,MATCH(LARGE(ScorerData!$E$2:$E$481,$A28),ScorerData!$E$2:$E$481,0)))</f>
        <v>Barrio Boys</v>
      </c>
      <c r="D28">
        <f>IF($A28="","",INDEX(ScorerData!$D$2:$D$481,MATCH(LARGE(ScorerData!$E$2:$E$481,$A28),ScorerData!$E$2:$E$481,0)))</f>
        <v>2</v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>FRANCESCO MARANGON</v>
      </c>
      <c r="C29" t="str">
        <f>IF($A29="","",INDEX(ScorerData!$B$2:$B$481,MATCH(LARGE(ScorerData!$E$2:$E$481,$A29),ScorerData!$E$2:$E$481,0)))</f>
        <v>Barrio Boys</v>
      </c>
      <c r="D29">
        <f>IF($A29="","",INDEX(ScorerData!$D$2:$D$481,MATCH(LARGE(ScorerData!$E$2:$E$481,$A29),ScorerData!$E$2:$E$481,0)))</f>
        <v>2</v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>NICHOLAS MOSCHINI</v>
      </c>
      <c r="C30" t="str">
        <f>IF($A30="","",INDEX(ScorerData!$B$2:$B$481,MATCH(LARGE(ScorerData!$E$2:$E$481,$A30),ScorerData!$E$2:$E$481,0)))</f>
        <v>All Blacks</v>
      </c>
      <c r="D30">
        <f>IF($A30="","",INDEX(ScorerData!$D$2:$D$481,MATCH(LARGE(ScorerData!$E$2:$E$481,$A30),ScorerData!$E$2:$E$481,0)))</f>
        <v>2</v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>ALEX BERTIPAGLIA</v>
      </c>
      <c r="C31" t="str">
        <f>IF($A31="","",INDEX(ScorerData!$B$2:$B$481,MATCH(LARGE(ScorerData!$E$2:$E$481,$A31),ScorerData!$E$2:$E$481,0)))</f>
        <v>Boldò Glimt</v>
      </c>
      <c r="D31">
        <f>IF($A31="","",INDEX(ScorerData!$D$2:$D$481,MATCH(LARGE(ScorerData!$E$2:$E$481,$A31),ScorerData!$E$2:$E$481,0)))</f>
        <v>2</v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>LUCA CECCONELLO</v>
      </c>
      <c r="C32" t="str">
        <f>IF($A32="","",INDEX(ScorerData!$B$2:$B$481,MATCH(LARGE(ScorerData!$E$2:$E$481,$A32),ScorerData!$E$2:$E$481,0)))</f>
        <v>Boldò Glimt</v>
      </c>
      <c r="D32">
        <f>IF($A32="","",INDEX(ScorerData!$D$2:$D$481,MATCH(LARGE(ScorerData!$E$2:$E$481,$A32),ScorerData!$E$2:$E$481,0)))</f>
        <v>2</v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>GIOVANNI BALLO</v>
      </c>
      <c r="C33" t="str">
        <f>IF($A33="","",INDEX(ScorerData!$B$2:$B$481,MATCH(LARGE(ScorerData!$E$2:$E$481,$A33),ScorerData!$E$2:$E$481,0)))</f>
        <v>Fatine FC</v>
      </c>
      <c r="D33">
        <f>IF($A33="","",INDEX(ScorerData!$D$2:$D$481,MATCH(LARGE(ScorerData!$E$2:$E$481,$A33),ScorerData!$E$2:$E$481,0)))</f>
        <v>1</v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>ABDESSAMAD BAGHROUCH</v>
      </c>
      <c r="C34" t="str">
        <f>IF($A34="","",INDEX(ScorerData!$B$2:$B$481,MATCH(LARGE(ScorerData!$E$2:$E$481,$A34),ScorerData!$E$2:$E$481,0)))</f>
        <v>FC Internazionale Rovigo</v>
      </c>
      <c r="D34">
        <f>IF($A34="","",INDEX(ScorerData!$D$2:$D$481,MATCH(LARGE(ScorerData!$E$2:$E$481,$A34),ScorerData!$E$2:$E$481,0)))</f>
        <v>1</v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>LUCA BACCO</v>
      </c>
      <c r="C35" t="str">
        <f>IF($A35="","",INDEX(ScorerData!$B$2:$B$481,MATCH(LARGE(ScorerData!$E$2:$E$481,$A35),ScorerData!$E$2:$E$481,0)))</f>
        <v>Moviola Utd</v>
      </c>
      <c r="D35">
        <f>IF($A35="","",INDEX(ScorerData!$D$2:$D$481,MATCH(LARGE(ScorerData!$E$2:$E$481,$A35),ScorerData!$E$2:$E$481,0)))</f>
        <v>1</v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>MATTEO NATALI</v>
      </c>
      <c r="C36" t="str">
        <f>IF($A36="","",INDEX(ScorerData!$B$2:$B$481,MATCH(LARGE(ScorerData!$E$2:$E$481,$A36),ScorerData!$E$2:$E$481,0)))</f>
        <v>Moviola Utd</v>
      </c>
      <c r="D36">
        <f>IF($A36="","",INDEX(ScorerData!$D$2:$D$481,MATCH(LARGE(ScorerData!$E$2:$E$481,$A36),ScorerData!$E$2:$E$481,0)))</f>
        <v>1</v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>FRANCESCO DADDATO</v>
      </c>
      <c r="C37" t="str">
        <f>IF($A37="","",INDEX(ScorerData!$B$2:$B$481,MATCH(LARGE(ScorerData!$E$2:$E$481,$A37),ScorerData!$E$2:$E$481,0)))</f>
        <v>Moviola Utd</v>
      </c>
      <c r="D37">
        <f>IF($A37="","",INDEX(ScorerData!$D$2:$D$481,MATCH(LARGE(ScorerData!$E$2:$E$481,$A37),ScorerData!$E$2:$E$481,0)))</f>
        <v>1</v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>NICO PAVANI</v>
      </c>
      <c r="C38" t="str">
        <f>IF($A38="","",INDEX(ScorerData!$B$2:$B$481,MATCH(LARGE(ScorerData!$E$2:$E$481,$A38),ScorerData!$E$2:$E$481,0)))</f>
        <v>Moviola Utd</v>
      </c>
      <c r="D38">
        <f>IF($A38="","",INDEX(ScorerData!$D$2:$D$481,MATCH(LARGE(ScorerData!$E$2:$E$481,$A38),ScorerData!$E$2:$E$481,0)))</f>
        <v>1</v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>LUCA CHERUBIN</v>
      </c>
      <c r="C39" t="str">
        <f>IF($A39="","",INDEX(ScorerData!$B$2:$B$481,MATCH(LARGE(ScorerData!$E$2:$E$481,$A39),ScorerData!$E$2:$E$481,0)))</f>
        <v>Totani</v>
      </c>
      <c r="D39">
        <f>IF($A39="","",INDEX(ScorerData!$D$2:$D$481,MATCH(LARGE(ScorerData!$E$2:$E$481,$A39),ScorerData!$E$2:$E$481,0)))</f>
        <v>1</v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>JACOPO VOLTOLINA</v>
      </c>
      <c r="C40" t="str">
        <f>IF($A40="","",INDEX(ScorerData!$B$2:$B$481,MATCH(LARGE(ScorerData!$E$2:$E$481,$A40),ScorerData!$E$2:$E$481,0)))</f>
        <v>Vecchie Glorie Rovigo</v>
      </c>
      <c r="D40">
        <f>IF($A40="","",INDEX(ScorerData!$D$2:$D$481,MATCH(LARGE(ScorerData!$E$2:$E$481,$A40),ScorerData!$E$2:$E$481,0)))</f>
        <v>1</v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>MATTEO DALL'ARA</v>
      </c>
      <c r="C41" t="str">
        <f>IF($A41="","",INDEX(ScorerData!$B$2:$B$481,MATCH(LARGE(ScorerData!$E$2:$E$481,$A41),ScorerData!$E$2:$E$481,0)))</f>
        <v>Vecchie Glorie Rovigo</v>
      </c>
      <c r="D41">
        <f>IF($A41="","",INDEX(ScorerData!$D$2:$D$481,MATCH(LARGE(ScorerData!$E$2:$E$481,$A41),ScorerData!$E$2:$E$481,0)))</f>
        <v>1</v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>LEONARDO FUSCO</v>
      </c>
      <c r="C42" t="str">
        <f>IF($A42="","",INDEX(ScorerData!$B$2:$B$481,MATCH(LARGE(ScorerData!$E$2:$E$481,$A42),ScorerData!$E$2:$E$481,0)))</f>
        <v>Vecchie Glorie Rovigo</v>
      </c>
      <c r="D42">
        <f>IF($A42="","",INDEX(ScorerData!$D$2:$D$481,MATCH(LARGE(ScorerData!$E$2:$E$481,$A42),ScorerData!$E$2:$E$481,0)))</f>
        <v>1</v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>DOMENICO IACOVINO</v>
      </c>
      <c r="C43" t="str">
        <f>IF($A43="","",INDEX(ScorerData!$B$2:$B$481,MATCH(LARGE(ScorerData!$E$2:$E$481,$A43),ScorerData!$E$2:$E$481,0)))</f>
        <v>Vecchie Glorie Rovigo</v>
      </c>
      <c r="D43">
        <f>IF($A43="","",INDEX(ScorerData!$D$2:$D$481,MATCH(LARGE(ScorerData!$E$2:$E$481,$A43),ScorerData!$E$2:$E$481,0)))</f>
        <v>1</v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>MATTIA ZAGO</v>
      </c>
      <c r="C44" t="str">
        <f>IF($A44="","",INDEX(ScorerData!$B$2:$B$481,MATCH(LARGE(ScorerData!$E$2:$E$481,$A44),ScorerData!$E$2:$E$481,0)))</f>
        <v>AS Bancatore</v>
      </c>
      <c r="D44">
        <f>IF($A44="","",INDEX(ScorerData!$D$2:$D$481,MATCH(LARGE(ScorerData!$E$2:$E$481,$A44),ScorerData!$E$2:$E$481,0)))</f>
        <v>1</v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>MATTEO SAVIOLI</v>
      </c>
      <c r="C45" t="str">
        <f>IF($A45="","",INDEX(ScorerData!$B$2:$B$481,MATCH(LARGE(ScorerData!$E$2:$E$481,$A45),ScorerData!$E$2:$E$481,0)))</f>
        <v>AS Bancatore</v>
      </c>
      <c r="D45">
        <f>IF($A45="","",INDEX(ScorerData!$D$2:$D$481,MATCH(LARGE(ScorerData!$E$2:$E$481,$A45),ScorerData!$E$2:$E$481,0)))</f>
        <v>1</v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>FILIPPO VENDRAMIN</v>
      </c>
      <c r="C46" t="str">
        <f>IF($A46="","",INDEX(ScorerData!$B$2:$B$481,MATCH(LARGE(ScorerData!$E$2:$E$481,$A46),ScorerData!$E$2:$E$481,0)))</f>
        <v>Beverton</v>
      </c>
      <c r="D46">
        <f>IF($A46="","",INDEX(ScorerData!$D$2:$D$481,MATCH(LARGE(ScorerData!$E$2:$E$481,$A46),ScorerData!$E$2:$E$481,0)))</f>
        <v>1</v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>POKOU ANTHONY</v>
      </c>
      <c r="C47" t="str">
        <f>IF($A47="","",INDEX(ScorerData!$B$2:$B$481,MATCH(LARGE(ScorerData!$E$2:$E$481,$A47),ScorerData!$E$2:$E$481,0)))</f>
        <v>Beverton</v>
      </c>
      <c r="D47">
        <f>IF($A47="","",INDEX(ScorerData!$D$2:$D$481,MATCH(LARGE(ScorerData!$E$2:$E$481,$A47),ScorerData!$E$2:$E$481,0)))</f>
        <v>1</v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>GIACOMO BORTOLIERO</v>
      </c>
      <c r="C48" t="str">
        <f>IF($A48="","",INDEX(ScorerData!$B$2:$B$481,MATCH(LARGE(ScorerData!$E$2:$E$481,$A48),ScorerData!$E$2:$E$481,0)))</f>
        <v>Leoni di Ricky</v>
      </c>
      <c r="D48">
        <f>IF($A48="","",INDEX(ScorerData!$D$2:$D$481,MATCH(LARGE(ScorerData!$E$2:$E$481,$A48),ScorerData!$E$2:$E$481,0)))</f>
        <v>1</v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>NICCOLO' PALTANIN</v>
      </c>
      <c r="C49" t="str">
        <f>IF($A49="","",INDEX(ScorerData!$B$2:$B$481,MATCH(LARGE(ScorerData!$E$2:$E$481,$A49),ScorerData!$E$2:$E$481,0)))</f>
        <v>Pink 5ive</v>
      </c>
      <c r="D49">
        <f>IF($A49="","",INDEX(ScorerData!$D$2:$D$481,MATCH(LARGE(ScorerData!$E$2:$E$481,$A49),ScorerData!$E$2:$E$481,0)))</f>
        <v>1</v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>MATTEO CAMPION</v>
      </c>
      <c r="C50" t="str">
        <f>IF($A50="","",INDEX(ScorerData!$B$2:$B$481,MATCH(LARGE(ScorerData!$E$2:$E$481,$A50),ScorerData!$E$2:$E$481,0)))</f>
        <v>Pink 5ive</v>
      </c>
      <c r="D50">
        <f>IF($A50="","",INDEX(ScorerData!$D$2:$D$481,MATCH(LARGE(ScorerData!$E$2:$E$481,$A50),ScorerData!$E$2:$E$481,0)))</f>
        <v>1</v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>LUCA BERNARDINELLO</v>
      </c>
      <c r="C51" t="str">
        <f>IF($A51="","",INDEX(ScorerData!$B$2:$B$481,MATCH(LARGE(ScorerData!$E$2:$E$481,$A51),ScorerData!$E$2:$E$481,0)))</f>
        <v>Pink 5ive</v>
      </c>
      <c r="D51">
        <f>IF($A51="","",INDEX(ScorerData!$D$2:$D$481,MATCH(LARGE(ScorerData!$E$2:$E$481,$A51),ScorerData!$E$2:$E$481,0)))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292</v>
      </c>
      <c r="C1" s="5" t="s">
        <v>296</v>
      </c>
      <c r="D1" s="5" t="s">
        <v>297</v>
      </c>
      <c r="E1" s="5" t="s">
        <v>298</v>
      </c>
      <c r="F1" s="5" t="s">
        <v>299</v>
      </c>
      <c r="G1" s="5" t="s">
        <v>300</v>
      </c>
      <c r="H1" s="5" t="s">
        <v>301</v>
      </c>
      <c r="I1" s="5" t="s">
        <v>302</v>
      </c>
      <c r="J1" s="5" t="s">
        <v>303</v>
      </c>
      <c r="K1" s="5" t="s">
        <v>304</v>
      </c>
      <c r="L1" s="5" t="s">
        <v>305</v>
      </c>
      <c r="M1" s="5" t="s">
        <v>294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3</v>
      </c>
      <c r="D2">
        <f>COUNTIFS(Matches!$G$2:$G$25,$B2,Matches!$L$2:$L$25,"Complete",Matches!$M$2:$M$25,3)+COUNTIFS(Matches!$H$2:$H$25,$B2,Matches!$L$2:$L$25,"Complete",Matches!$N$2:$N$25,3)</f>
        <v>2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1</v>
      </c>
      <c r="H2">
        <f>SUMIFS(Matches!$I$2:$I$25,Matches!$G$2:$G$25,$B2,Matches!$L$2:$L$25,"Complete")+SUMIFS(Matches!$J$2:$J$25,Matches!$H$2:$H$25,$B2,Matches!$L$2:$L$25,"Complete")</f>
        <v>7</v>
      </c>
      <c r="I2">
        <f>SUMIFS(Matches!$J$2:$J$25,Matches!$G$2:$G$25,$B2,Matches!$L$2:$L$25,"Complete")+SUMIFS(Matches!$I$2:$I$25,Matches!$H$2:$H$25,$B2,Matches!$L$2:$L$25,"Complete")</f>
        <v>5</v>
      </c>
      <c r="J2">
        <f t="shared" ref="J2:J17" si="0">H2-I2</f>
        <v>2</v>
      </c>
      <c r="K2">
        <f>SUMIFS(Matches!$M$2:$M$25,Matches!$G$2:$G$25,$B2,Matches!$L$2:$L$25,"Complete")+SUMIFS(Matches!$N$2:$N$25,Matches!$H$2:$H$25,$B2,Matches!$L$2:$L$25,"Complete")</f>
        <v>6</v>
      </c>
      <c r="L2" s="2">
        <v>0</v>
      </c>
      <c r="M2">
        <f t="shared" ref="M2:M17" si="1">K2*1000000+L2*10000+J2*100+H2-ROW()/1000</f>
        <v>6000206.9979999997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3</v>
      </c>
      <c r="D3">
        <f>COUNTIFS(Matches!$G$2:$G$25,$B3,Matches!$L$2:$L$25,"Complete",Matches!$M$2:$M$25,3)+COUNTIFS(Matches!$H$2:$H$25,$B3,Matches!$L$2:$L$25,"Complete",Matches!$N$2:$N$25,3)</f>
        <v>1</v>
      </c>
      <c r="E3">
        <f>COUNTIFS(Matches!$G$2:$G$25,$B3,Matches!$L$2:$L$25,"Complete",Matches!$M$2:$M$25,2)+COUNTIFS(Matches!$H$2:$H$25,$B3,Matches!$L$2:$L$25,"Complete",Matches!$N$2:$N$25,2)</f>
        <v>1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6</v>
      </c>
      <c r="I3">
        <f>SUMIFS(Matches!$J$2:$J$25,Matches!$G$2:$G$25,$B3,Matches!$L$2:$L$25,"Complete")+SUMIFS(Matches!$I$2:$I$25,Matches!$H$2:$H$25,$B3,Matches!$L$2:$L$25,"Complete")</f>
        <v>3</v>
      </c>
      <c r="J3">
        <f t="shared" si="0"/>
        <v>3</v>
      </c>
      <c r="K3">
        <f>SUMIFS(Matches!$M$2:$M$25,Matches!$G$2:$G$25,$B3,Matches!$L$2:$L$25,"Complete")+SUMIFS(Matches!$N$2:$N$25,Matches!$H$2:$H$25,$B3,Matches!$L$2:$L$25,"Complete")</f>
        <v>5</v>
      </c>
      <c r="L3" s="2">
        <f>0</f>
        <v>0</v>
      </c>
      <c r="M3">
        <f t="shared" si="1"/>
        <v>5000305.9970000004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3</v>
      </c>
      <c r="D4">
        <f>COUNTIFS(Matches!$G$2:$G$25,$B4,Matches!$L$2:$L$25,"Complete",Matches!$M$2:$M$25,3)+COUNTIFS(Matches!$H$2:$H$25,$B4,Matches!$L$2:$L$25,"Complete",Matches!$N$2:$N$25,3)</f>
        <v>2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1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8</v>
      </c>
      <c r="I4">
        <f>SUMIFS(Matches!$J$2:$J$25,Matches!$G$2:$G$25,$B4,Matches!$L$2:$L$25,"Complete")+SUMIFS(Matches!$I$2:$I$25,Matches!$H$2:$H$25,$B4,Matches!$L$2:$L$25,"Complete")</f>
        <v>2</v>
      </c>
      <c r="J4">
        <f t="shared" si="0"/>
        <v>6</v>
      </c>
      <c r="K4">
        <f>SUMIFS(Matches!$M$2:$M$25,Matches!$G$2:$G$25,$B4,Matches!$L$2:$L$25,"Complete")+SUMIFS(Matches!$N$2:$N$25,Matches!$H$2:$H$25,$B4,Matches!$L$2:$L$25,"Complete")</f>
        <v>7</v>
      </c>
      <c r="L4" s="2">
        <f>0</f>
        <v>0</v>
      </c>
      <c r="M4">
        <f t="shared" si="1"/>
        <v>7000607.9960000003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3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3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11</v>
      </c>
      <c r="J5">
        <f t="shared" si="0"/>
        <v>-11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-1100.0050000000001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3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3</v>
      </c>
      <c r="H6">
        <f>SUMIFS(Matches!$I$2:$I$25,Matches!$G$2:$G$25,$B6,Matches!$L$2:$L$25,"Complete")+SUMIFS(Matches!$J$2:$J$25,Matches!$H$2:$H$25,$B6,Matches!$L$2:$L$25,"Complete")</f>
        <v>1</v>
      </c>
      <c r="I6">
        <f>SUMIFS(Matches!$J$2:$J$25,Matches!$G$2:$G$25,$B6,Matches!$L$2:$L$25,"Complete")+SUMIFS(Matches!$I$2:$I$25,Matches!$H$2:$H$25,$B6,Matches!$L$2:$L$25,"Complete")</f>
        <v>19</v>
      </c>
      <c r="J6">
        <f t="shared" si="0"/>
        <v>-18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-1799.0060000000001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3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1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1</v>
      </c>
      <c r="H7">
        <f>SUMIFS(Matches!$I$2:$I$25,Matches!$G$2:$G$25,$B7,Matches!$L$2:$L$25,"Complete")+SUMIFS(Matches!$J$2:$J$25,Matches!$H$2:$H$25,$B7,Matches!$L$2:$L$25,"Complete")</f>
        <v>11</v>
      </c>
      <c r="I7">
        <f>SUMIFS(Matches!$J$2:$J$25,Matches!$G$2:$G$25,$B7,Matches!$L$2:$L$25,"Complete")+SUMIFS(Matches!$I$2:$I$25,Matches!$H$2:$H$25,$B7,Matches!$L$2:$L$25,"Complete")</f>
        <v>4</v>
      </c>
      <c r="J7">
        <f t="shared" si="0"/>
        <v>7</v>
      </c>
      <c r="K7">
        <f>SUMIFS(Matches!$M$2:$M$25,Matches!$G$2:$G$25,$B7,Matches!$L$2:$L$25,"Complete")+SUMIFS(Matches!$N$2:$N$25,Matches!$H$2:$H$25,$B7,Matches!$L$2:$L$25,"Complete")</f>
        <v>5</v>
      </c>
      <c r="L7" s="2">
        <f>0</f>
        <v>0</v>
      </c>
      <c r="M7">
        <f t="shared" si="1"/>
        <v>5000710.9929999998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3</v>
      </c>
      <c r="D8">
        <f>COUNTIFS(Matches!$G$2:$G$25,$B8,Matches!$L$2:$L$25,"Complete",Matches!$M$2:$M$25,3)+COUNTIFS(Matches!$H$2:$H$25,$B8,Matches!$L$2:$L$25,"Complete",Matches!$N$2:$N$25,3)</f>
        <v>3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13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13</v>
      </c>
      <c r="K8">
        <f>SUMIFS(Matches!$M$2:$M$25,Matches!$G$2:$G$25,$B8,Matches!$L$2:$L$25,"Complete")+SUMIFS(Matches!$N$2:$N$25,Matches!$H$2:$H$25,$B8,Matches!$L$2:$L$25,"Complete")</f>
        <v>9</v>
      </c>
      <c r="L8" s="2">
        <f>0</f>
        <v>0</v>
      </c>
      <c r="M8">
        <f t="shared" si="1"/>
        <v>9001312.9920000006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3</v>
      </c>
      <c r="D9">
        <f>COUNTIFS(Matches!$G$2:$G$25,$B9,Matches!$L$2:$L$25,"Complete",Matches!$M$2:$M$25,3)+COUNTIFS(Matches!$H$2:$H$25,$B9,Matches!$L$2:$L$25,"Complete",Matches!$N$2:$N$25,3)</f>
        <v>1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1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5</v>
      </c>
      <c r="I9">
        <f>SUMIFS(Matches!$J$2:$J$25,Matches!$G$2:$G$25,$B9,Matches!$L$2:$L$25,"Complete")+SUMIFS(Matches!$I$2:$I$25,Matches!$H$2:$H$25,$B9,Matches!$L$2:$L$25,"Complete")</f>
        <v>7</v>
      </c>
      <c r="J9">
        <f t="shared" si="0"/>
        <v>-2</v>
      </c>
      <c r="K9">
        <f>SUMIFS(Matches!$M$2:$M$25,Matches!$G$2:$G$25,$B9,Matches!$L$2:$L$25,"Complete")+SUMIFS(Matches!$N$2:$N$25,Matches!$H$2:$H$25,$B9,Matches!$L$2:$L$25,"Complete")</f>
        <v>4</v>
      </c>
      <c r="L9" s="2">
        <f>0</f>
        <v>0</v>
      </c>
      <c r="M9">
        <f t="shared" si="1"/>
        <v>3999804.9909999999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3</v>
      </c>
      <c r="D10">
        <f>COUNTIFS(Matches!$G$2:$G$25,$B10,Matches!$L$2:$L$25,"Complete",Matches!$M$2:$M$25,3)+COUNTIFS(Matches!$H$2:$H$25,$B10,Matches!$L$2:$L$25,"Complete",Matches!$N$2:$N$25,3)</f>
        <v>2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1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12</v>
      </c>
      <c r="I10">
        <f>SUMIFS(Matches!$J$2:$J$25,Matches!$G$2:$G$25,$B10,Matches!$L$2:$L$25,"Complete")+SUMIFS(Matches!$I$2:$I$25,Matches!$H$2:$H$25,$B10,Matches!$L$2:$L$25,"Complete")</f>
        <v>1</v>
      </c>
      <c r="J10">
        <f t="shared" si="0"/>
        <v>11</v>
      </c>
      <c r="K10">
        <f>SUMIFS(Matches!$M$2:$M$25,Matches!$G$2:$G$25,$B10,Matches!$L$2:$L$25,"Complete")+SUMIFS(Matches!$N$2:$N$25,Matches!$H$2:$H$25,$B10,Matches!$L$2:$L$25,"Complete")</f>
        <v>7</v>
      </c>
      <c r="L10" s="2">
        <f>0</f>
        <v>0</v>
      </c>
      <c r="M10">
        <f t="shared" si="1"/>
        <v>7001111.9900000002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3</v>
      </c>
      <c r="D11">
        <f>COUNTIFS(Matches!$G$2:$G$25,$B11,Matches!$L$2:$L$25,"Complete",Matches!$M$2:$M$25,3)+COUNTIFS(Matches!$H$2:$H$25,$B11,Matches!$L$2:$L$25,"Complete",Matches!$N$2:$N$25,3)</f>
        <v>1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2</v>
      </c>
      <c r="H11">
        <f>SUMIFS(Matches!$I$2:$I$25,Matches!$G$2:$G$25,$B11,Matches!$L$2:$L$25,"Complete")+SUMIFS(Matches!$J$2:$J$25,Matches!$H$2:$H$25,$B11,Matches!$L$2:$L$25,"Complete")</f>
        <v>5</v>
      </c>
      <c r="I11">
        <f>SUMIFS(Matches!$J$2:$J$25,Matches!$G$2:$G$25,$B11,Matches!$L$2:$L$25,"Complete")+SUMIFS(Matches!$I$2:$I$25,Matches!$H$2:$H$25,$B11,Matches!$L$2:$L$25,"Complete")</f>
        <v>11</v>
      </c>
      <c r="J11">
        <f t="shared" si="0"/>
        <v>-6</v>
      </c>
      <c r="K11">
        <f>SUMIFS(Matches!$M$2:$M$25,Matches!$G$2:$G$25,$B11,Matches!$L$2:$L$25,"Complete")+SUMIFS(Matches!$N$2:$N$25,Matches!$H$2:$H$25,$B11,Matches!$L$2:$L$25,"Complete")</f>
        <v>3</v>
      </c>
      <c r="L11" s="2">
        <f>0</f>
        <v>0</v>
      </c>
      <c r="M11">
        <f t="shared" si="1"/>
        <v>2999404.9890000001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3</v>
      </c>
      <c r="D12">
        <f>COUNTIFS(Matches!$G$2:$G$25,$B12,Matches!$L$2:$L$25,"Complete",Matches!$M$2:$M$25,3)+COUNTIFS(Matches!$H$2:$H$25,$B12,Matches!$L$2:$L$25,"Complete",Matches!$N$2:$N$25,3)</f>
        <v>2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7</v>
      </c>
      <c r="I12">
        <f>SUMIFS(Matches!$J$2:$J$25,Matches!$G$2:$G$25,$B12,Matches!$L$2:$L$25,"Complete")+SUMIFS(Matches!$I$2:$I$25,Matches!$H$2:$H$25,$B12,Matches!$L$2:$L$25,"Complete")</f>
        <v>2</v>
      </c>
      <c r="J12">
        <f t="shared" si="0"/>
        <v>5</v>
      </c>
      <c r="K12">
        <f>SUMIFS(Matches!$M$2:$M$25,Matches!$G$2:$G$25,$B12,Matches!$L$2:$L$25,"Complete")+SUMIFS(Matches!$N$2:$N$25,Matches!$H$2:$H$25,$B12,Matches!$L$2:$L$25,"Complete")</f>
        <v>8</v>
      </c>
      <c r="L12" s="2">
        <f>0</f>
        <v>0</v>
      </c>
      <c r="M12">
        <f t="shared" si="1"/>
        <v>8000506.9879999999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3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3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12</v>
      </c>
      <c r="J13">
        <f t="shared" si="0"/>
        <v>-10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-998.01300000000003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3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1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8</v>
      </c>
      <c r="I14">
        <f>SUMIFS(Matches!$J$2:$J$25,Matches!$G$2:$G$25,$B14,Matches!$L$2:$L$25,"Complete")+SUMIFS(Matches!$I$2:$I$25,Matches!$H$2:$H$25,$B14,Matches!$L$2:$L$25,"Complete")</f>
        <v>4</v>
      </c>
      <c r="J14">
        <f t="shared" si="0"/>
        <v>4</v>
      </c>
      <c r="K14">
        <f>SUMIFS(Matches!$M$2:$M$25,Matches!$G$2:$G$25,$B14,Matches!$L$2:$L$25,"Complete")+SUMIFS(Matches!$N$2:$N$25,Matches!$H$2:$H$25,$B14,Matches!$L$2:$L$25,"Complete")</f>
        <v>4</v>
      </c>
      <c r="L14" s="2">
        <f>0</f>
        <v>0</v>
      </c>
      <c r="M14">
        <f t="shared" si="1"/>
        <v>4000407.986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3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2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3</v>
      </c>
      <c r="I15">
        <f>SUMIFS(Matches!$J$2:$J$25,Matches!$G$2:$G$25,$B15,Matches!$L$2:$L$25,"Complete")+SUMIFS(Matches!$I$2:$I$25,Matches!$H$2:$H$25,$B15,Matches!$L$2:$L$25,"Complete")</f>
        <v>2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7</v>
      </c>
      <c r="L15" s="2">
        <f>0</f>
        <v>0</v>
      </c>
      <c r="M15">
        <f t="shared" si="1"/>
        <v>7000102.9850000003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3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1</v>
      </c>
      <c r="G16">
        <f>COUNTIFS(Matches!$G$2:$G$25,$B16,Matches!$L$2:$L$25,"Complete",Matches!$M$2:$M$25,0)+COUNTIFS(Matches!$H$2:$H$25,$B16,Matches!$L$2:$L$25,"Complete",Matches!$N$2:$N$25,0)</f>
        <v>2</v>
      </c>
      <c r="H16">
        <f>SUMIFS(Matches!$I$2:$I$25,Matches!$G$2:$G$25,$B16,Matches!$L$2:$L$25,"Complete")+SUMIFS(Matches!$J$2:$J$25,Matches!$H$2:$H$25,$B16,Matches!$L$2:$L$25,"Complete")</f>
        <v>3</v>
      </c>
      <c r="I16">
        <f>SUMIFS(Matches!$J$2:$J$25,Matches!$G$2:$G$25,$B16,Matches!$L$2:$L$25,"Complete")+SUMIFS(Matches!$I$2:$I$25,Matches!$H$2:$H$25,$B16,Matches!$L$2:$L$25,"Complete")</f>
        <v>9</v>
      </c>
      <c r="J16">
        <f t="shared" si="0"/>
        <v>-6</v>
      </c>
      <c r="K16">
        <f>SUMIFS(Matches!$M$2:$M$25,Matches!$G$2:$G$25,$B16,Matches!$L$2:$L$25,"Complete")+SUMIFS(Matches!$N$2:$N$25,Matches!$H$2:$H$25,$B16,Matches!$L$2:$L$25,"Complete")</f>
        <v>1</v>
      </c>
      <c r="L16" s="2">
        <f>0</f>
        <v>0</v>
      </c>
      <c r="M16">
        <f t="shared" si="1"/>
        <v>999402.98400000005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3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1</v>
      </c>
      <c r="F17">
        <f>COUNTIFS(Matches!$G$2:$G$25,$B17,Matches!$L$2:$L$25,"Complete",Matches!$M$2:$M$25,1)+COUNTIFS(Matches!$H$2:$H$25,$B17,Matches!$L$2:$L$25,"Complete",Matches!$N$2:$N$25,1)</f>
        <v>1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6</v>
      </c>
      <c r="L17" s="2">
        <f>0</f>
        <v>0</v>
      </c>
      <c r="M17">
        <f t="shared" si="1"/>
        <v>6000100.983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295</v>
      </c>
      <c r="C1" s="5" t="s">
        <v>292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310</v>
      </c>
      <c r="I1" s="5" t="s">
        <v>311</v>
      </c>
      <c r="J1" s="5" t="s">
        <v>301</v>
      </c>
      <c r="K1" s="5" t="s">
        <v>302</v>
      </c>
      <c r="L1" s="5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Moviola Utd</v>
      </c>
      <c r="D2">
        <f>INDEX(StandingsData!$K$2:$K$5,MATCH(LARGE(StandingsData!$M$2:$M$5,1),StandingsData!$M$2:$M$5,0))</f>
        <v>7</v>
      </c>
      <c r="E2">
        <f>INDEX(StandingsData!$C$2:$C$5,MATCH(LARGE(StandingsData!$M$2:$M$5,1),StandingsData!$M$2:$M$5,0))</f>
        <v>3</v>
      </c>
      <c r="F2">
        <f>INDEX(StandingsData!$D$2:$D$5,MATCH(LARGE(StandingsData!$M$2:$M$5,1),StandingsData!$M$2:$M$5,0))</f>
        <v>2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1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8</v>
      </c>
      <c r="K2">
        <f>INDEX(StandingsData!$I$2:$I$5,MATCH(LARGE(StandingsData!$M$2:$M$5,1),StandingsData!$M$2:$M$5,0))</f>
        <v>2</v>
      </c>
      <c r="L2">
        <f>INDEX(StandingsData!$J$2:$J$5,MATCH(LARGE(StandingsData!$M$2:$M$5,1),StandingsData!$M$2:$M$5,0))</f>
        <v>6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Fatine FC</v>
      </c>
      <c r="D3">
        <f>INDEX(StandingsData!$K$2:$K$5,MATCH(LARGE(StandingsData!$M$2:$M$5,2),StandingsData!$M$2:$M$5,0))</f>
        <v>6</v>
      </c>
      <c r="E3">
        <f>INDEX(StandingsData!$C$2:$C$5,MATCH(LARGE(StandingsData!$M$2:$M$5,2),StandingsData!$M$2:$M$5,0))</f>
        <v>3</v>
      </c>
      <c r="F3">
        <f>INDEX(StandingsData!$D$2:$D$5,MATCH(LARGE(StandingsData!$M$2:$M$5,2),StandingsData!$M$2:$M$5,0))</f>
        <v>2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1</v>
      </c>
      <c r="J3">
        <f>INDEX(StandingsData!$H$2:$H$5,MATCH(LARGE(StandingsData!$M$2:$M$5,2),StandingsData!$M$2:$M$5,0))</f>
        <v>7</v>
      </c>
      <c r="K3">
        <f>INDEX(StandingsData!$I$2:$I$5,MATCH(LARGE(StandingsData!$M$2:$M$5,2),StandingsData!$M$2:$M$5,0))</f>
        <v>5</v>
      </c>
      <c r="L3">
        <f>INDEX(StandingsData!$J$2:$J$5,MATCH(LARGE(StandingsData!$M$2:$M$5,2),StandingsData!$M$2:$M$5,0))</f>
        <v>2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FC Internazionale Rovigo</v>
      </c>
      <c r="D4">
        <f>INDEX(StandingsData!$K$2:$K$5,MATCH(LARGE(StandingsData!$M$2:$M$5,3),StandingsData!$M$2:$M$5,0))</f>
        <v>5</v>
      </c>
      <c r="E4">
        <f>INDEX(StandingsData!$C$2:$C$5,MATCH(LARGE(StandingsData!$M$2:$M$5,3),StandingsData!$M$2:$M$5,0))</f>
        <v>3</v>
      </c>
      <c r="F4">
        <f>INDEX(StandingsData!$D$2:$D$5,MATCH(LARGE(StandingsData!$M$2:$M$5,3),StandingsData!$M$2:$M$5,0))</f>
        <v>1</v>
      </c>
      <c r="G4">
        <f>INDEX(StandingsData!$E$2:$E$5,MATCH(LARGE(StandingsData!$M$2:$M$5,3),StandingsData!$M$2:$M$5,0))</f>
        <v>1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6</v>
      </c>
      <c r="K4">
        <f>INDEX(StandingsData!$I$2:$I$5,MATCH(LARGE(StandingsData!$M$2:$M$5,3),StandingsData!$M$2:$M$5,0))</f>
        <v>3</v>
      </c>
      <c r="L4">
        <f>INDEX(StandingsData!$J$2:$J$5,MATCH(LARGE(StandingsData!$M$2:$M$5,3),StandingsData!$M$2:$M$5,0))</f>
        <v>3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3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3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11</v>
      </c>
      <c r="L5">
        <f>INDEX(StandingsData!$J$2:$J$5,MATCH(LARGE(StandingsData!$M$2:$M$5,4),StandingsData!$M$2:$M$5,0))</f>
        <v>-11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9</v>
      </c>
      <c r="E6">
        <f>INDEX(StandingsData!$C$6:$C$9,MATCH(LARGE(StandingsData!$M$6:$M$9,1),StandingsData!$M$6:$M$9,0))</f>
        <v>3</v>
      </c>
      <c r="F6">
        <f>INDEX(StandingsData!$D$6:$D$9,MATCH(LARGE(StandingsData!$M$6:$M$9,1),StandingsData!$M$6:$M$9,0))</f>
        <v>3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13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13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5</v>
      </c>
      <c r="E7">
        <f>INDEX(StandingsData!$C$6:$C$9,MATCH(LARGE(StandingsData!$M$6:$M$9,2),StandingsData!$M$6:$M$9,0))</f>
        <v>3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1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1</v>
      </c>
      <c r="J7">
        <f>INDEX(StandingsData!$H$6:$H$9,MATCH(LARGE(StandingsData!$M$6:$M$9,2),StandingsData!$M$6:$M$9,0))</f>
        <v>11</v>
      </c>
      <c r="K7">
        <f>INDEX(StandingsData!$I$6:$I$9,MATCH(LARGE(StandingsData!$M$6:$M$9,2),StandingsData!$M$6:$M$9,0))</f>
        <v>4</v>
      </c>
      <c r="L7">
        <f>INDEX(StandingsData!$J$6:$J$9,MATCH(LARGE(StandingsData!$M$6:$M$9,2),StandingsData!$M$6:$M$9,0))</f>
        <v>7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4</v>
      </c>
      <c r="E8">
        <f>INDEX(StandingsData!$C$6:$C$9,MATCH(LARGE(StandingsData!$M$6:$M$9,3),StandingsData!$M$6:$M$9,0))</f>
        <v>3</v>
      </c>
      <c r="F8">
        <f>INDEX(StandingsData!$D$6:$D$9,MATCH(LARGE(StandingsData!$M$6:$M$9,3),StandingsData!$M$6:$M$9,0))</f>
        <v>1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1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5</v>
      </c>
      <c r="K8">
        <f>INDEX(StandingsData!$I$6:$I$9,MATCH(LARGE(StandingsData!$M$6:$M$9,3),StandingsData!$M$6:$M$9,0))</f>
        <v>7</v>
      </c>
      <c r="L8">
        <f>INDEX(StandingsData!$J$6:$J$9,MATCH(LARGE(StandingsData!$M$6:$M$9,3),StandingsData!$M$6:$M$9,0))</f>
        <v>-2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3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3</v>
      </c>
      <c r="J9">
        <f>INDEX(StandingsData!$H$6:$H$9,MATCH(LARGE(StandingsData!$M$6:$M$9,4),StandingsData!$M$6:$M$9,0))</f>
        <v>1</v>
      </c>
      <c r="K9">
        <f>INDEX(StandingsData!$I$6:$I$9,MATCH(LARGE(StandingsData!$M$6:$M$9,4),StandingsData!$M$6:$M$9,0))</f>
        <v>19</v>
      </c>
      <c r="L9">
        <f>INDEX(StandingsData!$J$6:$J$9,MATCH(LARGE(StandingsData!$M$6:$M$9,4),StandingsData!$M$6:$M$9,0))</f>
        <v>-18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Barrio Boys</v>
      </c>
      <c r="D10">
        <f>INDEX(StandingsData!$K$10:$K$13,MATCH(LARGE(StandingsData!$M$10:$M$13,1),StandingsData!$M$10:$M$13,0))</f>
        <v>8</v>
      </c>
      <c r="E10">
        <f>INDEX(StandingsData!$C$10:$C$13,MATCH(LARGE(StandingsData!$M$10:$M$13,1),StandingsData!$M$10:$M$13,0))</f>
        <v>3</v>
      </c>
      <c r="F10">
        <f>INDEX(StandingsData!$D$10:$D$13,MATCH(LARGE(StandingsData!$M$10:$M$13,1),StandingsData!$M$10:$M$13,0))</f>
        <v>2</v>
      </c>
      <c r="G10">
        <f>INDEX(StandingsData!$E$10:$E$13,MATCH(LARGE(StandingsData!$M$10:$M$13,1),StandingsData!$M$10:$M$13,0))</f>
        <v>1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7</v>
      </c>
      <c r="K10">
        <f>INDEX(StandingsData!$I$10:$I$13,MATCH(LARGE(StandingsData!$M$10:$M$13,1),StandingsData!$M$10:$M$13,0))</f>
        <v>2</v>
      </c>
      <c r="L10">
        <f>INDEX(StandingsData!$J$10:$J$13,MATCH(LARGE(StandingsData!$M$10:$M$13,1),StandingsData!$M$10:$M$13,0))</f>
        <v>5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Leoni di Ricky</v>
      </c>
      <c r="D11">
        <f>INDEX(StandingsData!$K$10:$K$13,MATCH(LARGE(StandingsData!$M$10:$M$13,2),StandingsData!$M$10:$M$13,0))</f>
        <v>7</v>
      </c>
      <c r="E11">
        <f>INDEX(StandingsData!$C$10:$C$13,MATCH(LARGE(StandingsData!$M$10:$M$13,2),StandingsData!$M$10:$M$13,0))</f>
        <v>3</v>
      </c>
      <c r="F11">
        <f>INDEX(StandingsData!$D$10:$D$13,MATCH(LARGE(StandingsData!$M$10:$M$13,2),StandingsData!$M$10:$M$13,0))</f>
        <v>2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1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12</v>
      </c>
      <c r="K11">
        <f>INDEX(StandingsData!$I$10:$I$13,MATCH(LARGE(StandingsData!$M$10:$M$13,2),StandingsData!$M$10:$M$13,0))</f>
        <v>1</v>
      </c>
      <c r="L11">
        <f>INDEX(StandingsData!$J$10:$J$13,MATCH(LARGE(StandingsData!$M$10:$M$13,2),StandingsData!$M$10:$M$13,0))</f>
        <v>11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Pink 5ive</v>
      </c>
      <c r="D12">
        <f>INDEX(StandingsData!$K$10:$K$13,MATCH(LARGE(StandingsData!$M$10:$M$13,3),StandingsData!$M$10:$M$13,0))</f>
        <v>3</v>
      </c>
      <c r="E12">
        <f>INDEX(StandingsData!$C$10:$C$13,MATCH(LARGE(StandingsData!$M$10:$M$13,3),StandingsData!$M$10:$M$13,0))</f>
        <v>3</v>
      </c>
      <c r="F12">
        <f>INDEX(StandingsData!$D$10:$D$13,MATCH(LARGE(StandingsData!$M$10:$M$13,3),StandingsData!$M$10:$M$13,0))</f>
        <v>1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2</v>
      </c>
      <c r="J12">
        <f>INDEX(StandingsData!$H$10:$H$13,MATCH(LARGE(StandingsData!$M$10:$M$13,3),StandingsData!$M$10:$M$13,0))</f>
        <v>5</v>
      </c>
      <c r="K12">
        <f>INDEX(StandingsData!$I$10:$I$13,MATCH(LARGE(StandingsData!$M$10:$M$13,3),StandingsData!$M$10:$M$13,0))</f>
        <v>11</v>
      </c>
      <c r="L12">
        <f>INDEX(StandingsData!$J$10:$J$13,MATCH(LARGE(StandingsData!$M$10:$M$13,3),StandingsData!$M$10:$M$13,0))</f>
        <v>-6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3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3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12</v>
      </c>
      <c r="L13">
        <f>INDEX(StandingsData!$J$10:$J$13,MATCH(LARGE(StandingsData!$M$10:$M$13,4),StandingsData!$M$10:$M$13,0))</f>
        <v>-10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Boldò Glimt</v>
      </c>
      <c r="D14">
        <f>INDEX(StandingsData!$K$14:$K$17,MATCH(LARGE(StandingsData!$M$14:$M$17,1),StandingsData!$M$14:$M$17,0))</f>
        <v>7</v>
      </c>
      <c r="E14">
        <f>INDEX(StandingsData!$C$14:$C$17,MATCH(LARGE(StandingsData!$M$14:$M$17,1),StandingsData!$M$14:$M$17,0))</f>
        <v>3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2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3</v>
      </c>
      <c r="K14">
        <f>INDEX(StandingsData!$I$14:$I$17,MATCH(LARGE(StandingsData!$M$14:$M$17,1),StandingsData!$M$14:$M$17,0))</f>
        <v>2</v>
      </c>
      <c r="L14">
        <f>INDEX(StandingsData!$J$14:$J$17,MATCH(LARGE(StandingsData!$M$14:$M$17,1),StandingsData!$M$14:$M$17,0))</f>
        <v>1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6</v>
      </c>
      <c r="E15">
        <f>INDEX(StandingsData!$C$14:$C$17,MATCH(LARGE(StandingsData!$M$14:$M$17,2),StandingsData!$M$14:$M$17,0))</f>
        <v>3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1</v>
      </c>
      <c r="H15">
        <f>INDEX(StandingsData!$F$14:$F$17,MATCH(LARGE(StandingsData!$M$14:$M$17,2),StandingsData!$M$14:$M$17,0))</f>
        <v>1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1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4</v>
      </c>
      <c r="E16">
        <f>INDEX(StandingsData!$C$14:$C$17,MATCH(LARGE(StandingsData!$M$14:$M$17,3),StandingsData!$M$14:$M$17,0))</f>
        <v>3</v>
      </c>
      <c r="F16">
        <f>INDEX(StandingsData!$D$14:$D$17,MATCH(LARGE(StandingsData!$M$14:$M$17,3),StandingsData!$M$14:$M$17,0))</f>
        <v>1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1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8</v>
      </c>
      <c r="K16">
        <f>INDEX(StandingsData!$I$14:$I$17,MATCH(LARGE(StandingsData!$M$14:$M$17,3),StandingsData!$M$14:$M$17,0))</f>
        <v>4</v>
      </c>
      <c r="L16">
        <f>INDEX(StandingsData!$J$14:$J$17,MATCH(LARGE(StandingsData!$M$14:$M$17,3),StandingsData!$M$14:$M$17,0))</f>
        <v>4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1</v>
      </c>
      <c r="E17">
        <f>INDEX(StandingsData!$C$14:$C$17,MATCH(LARGE(StandingsData!$M$14:$M$17,4),StandingsData!$M$14:$M$17,0))</f>
        <v>3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1</v>
      </c>
      <c r="I17">
        <f>INDEX(StandingsData!$G$14:$G$17,MATCH(LARGE(StandingsData!$M$14:$M$17,4),StandingsData!$M$14:$M$17,0))</f>
        <v>2</v>
      </c>
      <c r="J17">
        <f>INDEX(StandingsData!$H$14:$H$17,MATCH(LARGE(StandingsData!$M$14:$M$17,4),StandingsData!$M$14:$M$17,0))</f>
        <v>3</v>
      </c>
      <c r="K17">
        <f>INDEX(StandingsData!$I$14:$I$17,MATCH(LARGE(StandingsData!$M$14:$M$17,4),StandingsData!$M$14:$M$17,0))</f>
        <v>9</v>
      </c>
      <c r="L17">
        <f>INDEX(StandingsData!$J$14:$J$17,MATCH(LARGE(StandingsData!$M$14:$M$17,4),StandingsData!$M$14:$M$17,0))</f>
        <v>-6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abSelected="1" topLeftCell="C1" workbookViewId="0">
      <selection activeCell="F11" sqref="F11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254</v>
      </c>
      <c r="M1" s="5" t="s">
        <v>255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312</v>
      </c>
      <c r="B2" t="s">
        <v>313</v>
      </c>
      <c r="E2" t="s">
        <v>257</v>
      </c>
      <c r="F2" s="12">
        <v>0.83333333333333337</v>
      </c>
      <c r="G2" s="2" t="s">
        <v>6</v>
      </c>
      <c r="H2" s="2" t="s">
        <v>28</v>
      </c>
      <c r="I2" s="2">
        <v>1</v>
      </c>
      <c r="J2" s="2">
        <v>2</v>
      </c>
      <c r="K2" s="2"/>
      <c r="L2" t="str">
        <f t="shared" ref="L2:L8" si="0">IF(OR(I2="",J2=""),"",IF(I2&gt;J2,G2,IF(J2&gt;I2,H2,K2)))</f>
        <v>Barrio Boys</v>
      </c>
      <c r="M2" t="str">
        <f t="shared" ref="M2:M8" si="1">IF(OR(I2="",J2=""),"",G2&amp;" "&amp;I2&amp;" - "&amp;J2&amp;" "&amp;H2&amp;IF(K2&lt;&gt;""," (rigori: "&amp;K2&amp;")",""))</f>
        <v>Fatine FC 1 - 2 Barrio Boys</v>
      </c>
    </row>
    <row r="3" spans="1:26" x14ac:dyDescent="0.3">
      <c r="A3" t="s">
        <v>314</v>
      </c>
      <c r="B3" t="s">
        <v>313</v>
      </c>
      <c r="E3" t="s">
        <v>259</v>
      </c>
      <c r="F3" s="12" t="s">
        <v>315</v>
      </c>
      <c r="G3" s="2" t="s">
        <v>19</v>
      </c>
      <c r="H3" s="2" t="s">
        <v>39</v>
      </c>
      <c r="I3" s="2">
        <v>3</v>
      </c>
      <c r="J3" s="2">
        <v>3</v>
      </c>
      <c r="K3" s="2" t="s">
        <v>19</v>
      </c>
      <c r="L3" t="str">
        <f t="shared" si="0"/>
        <v>AS Bancatore</v>
      </c>
      <c r="M3" t="str">
        <f t="shared" si="1"/>
        <v>AS Bancatore 3 - 3 Piadineria la Salsiccia (rigori: AS Bancatore)</v>
      </c>
    </row>
    <row r="4" spans="1:26" x14ac:dyDescent="0.3">
      <c r="A4" t="s">
        <v>316</v>
      </c>
      <c r="B4" t="s">
        <v>313</v>
      </c>
      <c r="E4" t="s">
        <v>257</v>
      </c>
      <c r="F4" s="12" t="s">
        <v>317</v>
      </c>
      <c r="G4" s="2" t="s">
        <v>10</v>
      </c>
      <c r="H4" s="2" t="s">
        <v>24</v>
      </c>
      <c r="I4" s="2">
        <v>1</v>
      </c>
      <c r="J4" s="2">
        <v>6</v>
      </c>
      <c r="K4" s="2"/>
      <c r="L4" t="str">
        <f t="shared" si="0"/>
        <v>Leoni di Ricky</v>
      </c>
      <c r="M4" t="str">
        <f t="shared" si="1"/>
        <v>Moviola Utd 1 - 6 Leoni di Ricky</v>
      </c>
    </row>
    <row r="5" spans="1:26" x14ac:dyDescent="0.3">
      <c r="A5" t="s">
        <v>318</v>
      </c>
      <c r="B5" t="s">
        <v>313</v>
      </c>
      <c r="E5" t="s">
        <v>259</v>
      </c>
      <c r="F5" s="12" t="s">
        <v>317</v>
      </c>
      <c r="G5" s="2" t="s">
        <v>17</v>
      </c>
      <c r="H5" s="2" t="s">
        <v>35</v>
      </c>
      <c r="I5" s="2">
        <v>1</v>
      </c>
      <c r="J5" s="2">
        <v>2</v>
      </c>
      <c r="K5" s="2"/>
      <c r="L5" t="str">
        <f t="shared" si="0"/>
        <v>Boldò Glimt</v>
      </c>
      <c r="M5" t="str">
        <f t="shared" si="1"/>
        <v>Vecchie Glorie Rovigo 1 - 2 Boldò Glimt</v>
      </c>
    </row>
    <row r="6" spans="1:26" x14ac:dyDescent="0.3">
      <c r="A6" t="s">
        <v>319</v>
      </c>
      <c r="B6" t="s">
        <v>320</v>
      </c>
      <c r="E6" t="s">
        <v>257</v>
      </c>
      <c r="F6" s="12" t="s">
        <v>321</v>
      </c>
      <c r="G6" s="2" t="s">
        <v>28</v>
      </c>
      <c r="H6" s="2" t="s">
        <v>19</v>
      </c>
      <c r="I6" s="2">
        <v>6</v>
      </c>
      <c r="J6" s="2">
        <v>1</v>
      </c>
      <c r="K6" s="2"/>
      <c r="L6" t="str">
        <f t="shared" si="0"/>
        <v>Barrio Boys</v>
      </c>
      <c r="M6" t="str">
        <f t="shared" si="1"/>
        <v>Barrio Boys 6 - 1 AS Bancatore</v>
      </c>
    </row>
    <row r="7" spans="1:26" x14ac:dyDescent="0.3">
      <c r="A7" t="s">
        <v>322</v>
      </c>
      <c r="B7" t="s">
        <v>320</v>
      </c>
      <c r="E7" t="s">
        <v>259</v>
      </c>
      <c r="F7" s="12" t="s">
        <v>321</v>
      </c>
      <c r="G7" s="2" t="s">
        <v>24</v>
      </c>
      <c r="H7" s="2" t="s">
        <v>35</v>
      </c>
      <c r="I7" s="2">
        <v>3</v>
      </c>
      <c r="J7" s="2">
        <v>1</v>
      </c>
      <c r="K7" s="2"/>
      <c r="L7" t="str">
        <f t="shared" si="0"/>
        <v>Leoni di Ricky</v>
      </c>
      <c r="M7" t="str">
        <f t="shared" si="1"/>
        <v>Leoni di Ricky 3 - 1 Boldò Glimt</v>
      </c>
    </row>
    <row r="8" spans="1:26" x14ac:dyDescent="0.3">
      <c r="A8" t="s">
        <v>323</v>
      </c>
      <c r="B8" t="s">
        <v>324</v>
      </c>
      <c r="F8" s="12">
        <v>0.94791666666666663</v>
      </c>
      <c r="G8" s="2" t="s">
        <v>28</v>
      </c>
      <c r="H8" s="2" t="s">
        <v>24</v>
      </c>
      <c r="I8" s="2">
        <v>3</v>
      </c>
      <c r="J8" s="2">
        <v>4</v>
      </c>
      <c r="K8" s="2"/>
      <c r="L8" t="str">
        <f t="shared" si="0"/>
        <v>Leoni di Ricky</v>
      </c>
      <c r="M8" t="str">
        <f t="shared" si="1"/>
        <v>Barrio Boys 3 - 4 Leoni di Ricky</v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3" activePane="bottomLeft" state="frozenSplit"/>
      <selection pane="bottomLeft" activeCell="E77" sqref="E77"/>
    </sheetView>
  </sheetViews>
  <sheetFormatPr defaultRowHeight="14.4" x14ac:dyDescent="0.3"/>
  <cols>
    <col min="1" max="4" width="18.77734375" customWidth="1"/>
    <col min="5" max="5" width="34.77734375" customWidth="1"/>
    <col min="6" max="10" width="18.77734375" customWidth="1"/>
    <col min="11" max="11" width="42.77734375" customWidth="1"/>
  </cols>
  <sheetData>
    <row r="1" spans="1:26" ht="28.8" customHeight="1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>QF1</v>
      </c>
      <c r="B2" t="str">
        <f>IF(A2="","",IF(J2&lt;=INDEX(Knockout!$I$2:$I$8,I2-1),INDEX(Knockout!$G$2:$G$8,I2-1),INDEX(Knockout!$H$2:$H$8,I2-1)))</f>
        <v>Fatine FC</v>
      </c>
      <c r="C2">
        <f>IF(A2="","",COUNTIFS($A$2:A2,A2,$B$2:B2,B2))</f>
        <v>1</v>
      </c>
      <c r="D2" s="2" t="str">
        <f t="shared" ref="D2:D33" si="0">IF(A2="","","Goal")</f>
        <v>Goal</v>
      </c>
      <c r="E2" s="2" t="s">
        <v>462</v>
      </c>
      <c r="F2" t="str">
        <f t="shared" ref="F2:F33" si="1">IF(A2="","",IF(D2="Autogol","",IF(D2="Goal",B2,"")))</f>
        <v>Fatine FC</v>
      </c>
      <c r="G2" t="str">
        <f t="shared" ref="G2:G33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Validation!$C$2:$C$31</v>
      </c>
      <c r="I2">
        <f>INT((ROW()-2)/Settings!$B$6)+2</f>
        <v>2</v>
      </c>
      <c r="J2">
        <f>MOD(ROW()-2,Settings!$B$6)+1</f>
        <v>1</v>
      </c>
      <c r="K2" t="s">
        <v>325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>QF1</v>
      </c>
      <c r="B3" t="str">
        <f>IF(A3="","",IF(J3&lt;=INDEX(Knockout!$I$2:$I$8,I3-1),INDEX(Knockout!$G$2:$G$8,I3-1),INDEX(Knockout!$H$2:$H$8,I3-1)))</f>
        <v>Barrio Boys</v>
      </c>
      <c r="C3">
        <f>IF(A3="","",COUNTIFS($A$2:A3,A3,$B$2:B3,B3))</f>
        <v>1</v>
      </c>
      <c r="D3" s="2" t="str">
        <f t="shared" si="0"/>
        <v>Goal</v>
      </c>
      <c r="E3" s="2" t="s">
        <v>416</v>
      </c>
      <c r="F3" t="str">
        <f t="shared" si="1"/>
        <v>Barrio Boys</v>
      </c>
      <c r="G3" t="str">
        <f t="shared" si="2"/>
        <v>OK</v>
      </c>
      <c r="H3" t="str">
        <f>IF(F3="","",VLOOKUP(F3,Validation!$A$2:$B$17,2,FALSE))</f>
        <v>Validation!$M$2:$M$31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>QF1</v>
      </c>
      <c r="B4" t="str">
        <f>IF(A4="","",IF(J4&lt;=INDEX(Knockout!$I$2:$I$8,I4-1),INDEX(Knockout!$G$2:$G$8,I4-1),INDEX(Knockout!$H$2:$H$8,I4-1)))</f>
        <v>Barrio Boys</v>
      </c>
      <c r="C4">
        <f>IF(A4="","",COUNTIFS($A$2:A4,A4,$B$2:B4,B4))</f>
        <v>2</v>
      </c>
      <c r="D4" s="2" t="str">
        <f t="shared" si="0"/>
        <v>Goal</v>
      </c>
      <c r="E4" s="2" t="s">
        <v>417</v>
      </c>
      <c r="F4" t="str">
        <f t="shared" si="1"/>
        <v>Barrio Boys</v>
      </c>
      <c r="G4" t="str">
        <f t="shared" si="2"/>
        <v>OK</v>
      </c>
      <c r="H4" t="str">
        <f>IF(F4="","",VLOOKUP(F4,Validation!$A$2:$B$17,2,FALSE))</f>
        <v>Validation!$M$2:$M$31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>QF2</v>
      </c>
      <c r="B14" t="str">
        <f>IF(A14="","",IF(J14&lt;=INDEX(Knockout!$I$2:$I$8,I14-1),INDEX(Knockout!$G$2:$G$8,I14-1),INDEX(Knockout!$H$2:$H$8,I14-1)))</f>
        <v>AS Bancatore</v>
      </c>
      <c r="C14">
        <f>IF(A14="","",COUNTIFS($A$2:A14,A14,$B$2:B14,B14))</f>
        <v>1</v>
      </c>
      <c r="D14" s="2" t="str">
        <f t="shared" si="0"/>
        <v>Goal</v>
      </c>
      <c r="E14" s="2" t="s">
        <v>420</v>
      </c>
      <c r="F14" t="str">
        <f t="shared" si="1"/>
        <v>AS Bancatore</v>
      </c>
      <c r="G14" t="str">
        <f t="shared" si="2"/>
        <v>OK</v>
      </c>
      <c r="H14" t="str">
        <f>IF(F14="","",VLOOKUP(F14,Validation!$A$2:$B$17,2,FALSE))</f>
        <v>Validation!$I$2:$I$31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>QF2</v>
      </c>
      <c r="B15" t="str">
        <f>IF(A15="","",IF(J15&lt;=INDEX(Knockout!$I$2:$I$8,I15-1),INDEX(Knockout!$G$2:$G$8,I15-1),INDEX(Knockout!$H$2:$H$8,I15-1)))</f>
        <v>AS Bancatore</v>
      </c>
      <c r="C15">
        <f>IF(A15="","",COUNTIFS($A$2:A15,A15,$B$2:B15,B15))</f>
        <v>2</v>
      </c>
      <c r="D15" s="2" t="str">
        <f t="shared" si="0"/>
        <v>Goal</v>
      </c>
      <c r="E15" s="2" t="s">
        <v>419</v>
      </c>
      <c r="F15" t="str">
        <f t="shared" si="1"/>
        <v>AS Bancatore</v>
      </c>
      <c r="G15" t="str">
        <f t="shared" si="2"/>
        <v>OK</v>
      </c>
      <c r="H15" t="str">
        <f>IF(F15="","",VLOOKUP(F15,Validation!$A$2:$B$17,2,FALSE))</f>
        <v>Validation!$I$2:$I$31</v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>QF2</v>
      </c>
      <c r="B16" t="str">
        <f>IF(A16="","",IF(J16&lt;=INDEX(Knockout!$I$2:$I$8,I16-1),INDEX(Knockout!$G$2:$G$8,I16-1),INDEX(Knockout!$H$2:$H$8,I16-1)))</f>
        <v>AS Bancatore</v>
      </c>
      <c r="C16">
        <f>IF(A16="","",COUNTIFS($A$2:A16,A16,$B$2:B16,B16))</f>
        <v>3</v>
      </c>
      <c r="D16" s="2" t="str">
        <f t="shared" si="0"/>
        <v>Goal</v>
      </c>
      <c r="E16" s="2" t="s">
        <v>418</v>
      </c>
      <c r="F16" t="str">
        <f t="shared" si="1"/>
        <v>AS Bancatore</v>
      </c>
      <c r="G16" t="str">
        <f t="shared" si="2"/>
        <v>OK</v>
      </c>
      <c r="H16" t="str">
        <f>IF(F16="","",VLOOKUP(F16,Validation!$A$2:$B$17,2,FALSE))</f>
        <v>Validation!$I$2:$I$31</v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>QF2</v>
      </c>
      <c r="B17" t="str">
        <f>IF(A17="","",IF(J17&lt;=INDEX(Knockout!$I$2:$I$8,I17-1),INDEX(Knockout!$G$2:$G$8,I17-1),INDEX(Knockout!$H$2:$H$8,I17-1)))</f>
        <v>Piadineria la Salsiccia</v>
      </c>
      <c r="C17">
        <f>IF(A17="","",COUNTIFS($A$2:A17,A17,$B$2:B17,B17))</f>
        <v>1</v>
      </c>
      <c r="D17" s="2" t="str">
        <f t="shared" si="0"/>
        <v>Goal</v>
      </c>
      <c r="E17" s="2" t="s">
        <v>478</v>
      </c>
      <c r="F17" t="str">
        <f t="shared" si="1"/>
        <v>Piadineria la Salsiccia</v>
      </c>
      <c r="G17" t="str">
        <f t="shared" si="2"/>
        <v>OK</v>
      </c>
      <c r="H17" t="str">
        <f>IF(F17="","",VLOOKUP(F17,Validation!$A$2:$B$17,2,FALSE))</f>
        <v>Validation!$R$2:$R$31</v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>QF2</v>
      </c>
      <c r="B18" t="str">
        <f>IF(A18="","",IF(J18&lt;=INDEX(Knockout!$I$2:$I$8,I18-1),INDEX(Knockout!$G$2:$G$8,I18-1),INDEX(Knockout!$H$2:$H$8,I18-1)))</f>
        <v>Piadineria la Salsiccia</v>
      </c>
      <c r="C18">
        <f>IF(A18="","",COUNTIFS($A$2:A18,A18,$B$2:B18,B18))</f>
        <v>2</v>
      </c>
      <c r="D18" s="2" t="str">
        <f t="shared" si="0"/>
        <v>Goal</v>
      </c>
      <c r="E18" s="2" t="s">
        <v>479</v>
      </c>
      <c r="F18" t="str">
        <f t="shared" si="1"/>
        <v>Piadineria la Salsiccia</v>
      </c>
      <c r="G18" t="str">
        <f t="shared" si="2"/>
        <v>OK</v>
      </c>
      <c r="H18" t="str">
        <f>IF(F18="","",VLOOKUP(F18,Validation!$A$2:$B$17,2,FALSE))</f>
        <v>Validation!$R$2:$R$31</v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>QF2</v>
      </c>
      <c r="B19" t="str">
        <f>IF(A19="","",IF(J19&lt;=INDEX(Knockout!$I$2:$I$8,I19-1),INDEX(Knockout!$G$2:$G$8,I19-1),INDEX(Knockout!$H$2:$H$8,I19-1)))</f>
        <v>Piadineria la Salsiccia</v>
      </c>
      <c r="C19">
        <f>IF(A19="","",COUNTIFS($A$2:A19,A19,$B$2:B19,B19))</f>
        <v>3</v>
      </c>
      <c r="D19" s="2" t="str">
        <f t="shared" si="0"/>
        <v>Goal</v>
      </c>
      <c r="E19" s="2" t="s">
        <v>480</v>
      </c>
      <c r="F19" t="str">
        <f t="shared" si="1"/>
        <v>Piadineria la Salsiccia</v>
      </c>
      <c r="G19" t="str">
        <f t="shared" si="2"/>
        <v>OK</v>
      </c>
      <c r="H19" t="str">
        <f>IF(F19="","",VLOOKUP(F19,Validation!$A$2:$B$17,2,FALSE))</f>
        <v>Validation!$R$2:$R$31</v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>QF3</v>
      </c>
      <c r="B26" t="str">
        <f>IF(A26="","",IF(J26&lt;=INDEX(Knockout!$I$2:$I$8,I26-1),INDEX(Knockout!$G$2:$G$8,I26-1),INDEX(Knockout!$H$2:$H$8,I26-1)))</f>
        <v>Moviola Utd</v>
      </c>
      <c r="C26">
        <f>IF(A26="","",COUNTIFS($A$2:A26,A26,$B$2:B26,B26))</f>
        <v>1</v>
      </c>
      <c r="D26" s="2" t="str">
        <f t="shared" si="0"/>
        <v>Goal</v>
      </c>
      <c r="E26" s="2" t="s">
        <v>438</v>
      </c>
      <c r="F26" t="str">
        <f t="shared" si="1"/>
        <v>Moviola Utd</v>
      </c>
      <c r="G26" t="str">
        <f t="shared" si="2"/>
        <v>OK</v>
      </c>
      <c r="H26" t="str">
        <f>IF(F26="","",VLOOKUP(F26,Validation!$A$2:$B$17,2,FALSE))</f>
        <v>Validation!$E$2:$E$31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>QF3</v>
      </c>
      <c r="B27" t="str">
        <f>IF(A27="","",IF(J27&lt;=INDEX(Knockout!$I$2:$I$8,I27-1),INDEX(Knockout!$G$2:$G$8,I27-1),INDEX(Knockout!$H$2:$H$8,I27-1)))</f>
        <v>Leoni di Ricky</v>
      </c>
      <c r="C27">
        <f>IF(A27="","",COUNTIFS($A$2:A27,A27,$B$2:B27,B27))</f>
        <v>1</v>
      </c>
      <c r="D27" s="2" t="str">
        <f t="shared" si="0"/>
        <v>Goal</v>
      </c>
      <c r="E27" s="2" t="s">
        <v>413</v>
      </c>
      <c r="F27" t="str">
        <f t="shared" si="1"/>
        <v>Leoni di Ricky</v>
      </c>
      <c r="G27" t="str">
        <f t="shared" si="2"/>
        <v>OK</v>
      </c>
      <c r="H27" t="str">
        <f>IF(F27="","",VLOOKUP(F27,Validation!$A$2:$B$17,2,FALSE))</f>
        <v>Validation!$K$2:$K$31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>QF3</v>
      </c>
      <c r="B28" t="str">
        <f>IF(A28="","",IF(J28&lt;=INDEX(Knockout!$I$2:$I$8,I28-1),INDEX(Knockout!$G$2:$G$8,I28-1),INDEX(Knockout!$H$2:$H$8,I28-1)))</f>
        <v>Leoni di Ricky</v>
      </c>
      <c r="C28">
        <f>IF(A28="","",COUNTIFS($A$2:A28,A28,$B$2:B28,B28))</f>
        <v>2</v>
      </c>
      <c r="D28" s="2" t="str">
        <f t="shared" si="0"/>
        <v>Goal</v>
      </c>
      <c r="E28" s="2" t="s">
        <v>413</v>
      </c>
      <c r="F28" t="str">
        <f t="shared" si="1"/>
        <v>Leoni di Ricky</v>
      </c>
      <c r="G28" t="str">
        <f t="shared" si="2"/>
        <v>OK</v>
      </c>
      <c r="H28" t="str">
        <f>IF(F28="","",VLOOKUP(F28,Validation!$A$2:$B$17,2,FALSE))</f>
        <v>Validation!$K$2:$K$31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>QF3</v>
      </c>
      <c r="B29" t="str">
        <f>IF(A29="","",IF(J29&lt;=INDEX(Knockout!$I$2:$I$8,I29-1),INDEX(Knockout!$G$2:$G$8,I29-1),INDEX(Knockout!$H$2:$H$8,I29-1)))</f>
        <v>Leoni di Ricky</v>
      </c>
      <c r="C29">
        <f>IF(A29="","",COUNTIFS($A$2:A29,A29,$B$2:B29,B29))</f>
        <v>3</v>
      </c>
      <c r="D29" s="2" t="str">
        <f t="shared" si="0"/>
        <v>Goal</v>
      </c>
      <c r="E29" s="2" t="s">
        <v>481</v>
      </c>
      <c r="F29" t="str">
        <f t="shared" si="1"/>
        <v>Leoni di Ricky</v>
      </c>
      <c r="G29" t="str">
        <f t="shared" si="2"/>
        <v>OK</v>
      </c>
      <c r="H29" t="str">
        <f>IF(F29="","",VLOOKUP(F29,Validation!$A$2:$B$17,2,FALSE))</f>
        <v>Validation!$K$2:$K$31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>QF3</v>
      </c>
      <c r="B30" t="str">
        <f>IF(A30="","",IF(J30&lt;=INDEX(Knockout!$I$2:$I$8,I30-1),INDEX(Knockout!$G$2:$G$8,I30-1),INDEX(Knockout!$H$2:$H$8,I30-1)))</f>
        <v>Leoni di Ricky</v>
      </c>
      <c r="C30">
        <f>IF(A30="","",COUNTIFS($A$2:A30,A30,$B$2:B30,B30))</f>
        <v>4</v>
      </c>
      <c r="D30" s="2" t="str">
        <f t="shared" si="0"/>
        <v>Goal</v>
      </c>
      <c r="E30" s="2" t="s">
        <v>472</v>
      </c>
      <c r="F30" t="str">
        <f t="shared" si="1"/>
        <v>Leoni di Ricky</v>
      </c>
      <c r="G30" t="str">
        <f t="shared" si="2"/>
        <v>OK</v>
      </c>
      <c r="H30" t="str">
        <f>IF(F30="","",VLOOKUP(F30,Validation!$A$2:$B$17,2,FALSE))</f>
        <v>Validation!$K$2:$K$31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>QF3</v>
      </c>
      <c r="B31" t="str">
        <f>IF(A31="","",IF(J31&lt;=INDEX(Knockout!$I$2:$I$8,I31-1),INDEX(Knockout!$G$2:$G$8,I31-1),INDEX(Knockout!$H$2:$H$8,I31-1)))</f>
        <v>Leoni di Ricky</v>
      </c>
      <c r="C31">
        <f>IF(A31="","",COUNTIFS($A$2:A31,A31,$B$2:B31,B31))</f>
        <v>5</v>
      </c>
      <c r="D31" s="2" t="str">
        <f t="shared" si="0"/>
        <v>Goal</v>
      </c>
      <c r="E31" s="2" t="s">
        <v>473</v>
      </c>
      <c r="F31" t="str">
        <f t="shared" si="1"/>
        <v>Leoni di Ricky</v>
      </c>
      <c r="G31" t="str">
        <f t="shared" si="2"/>
        <v>OK</v>
      </c>
      <c r="H31" t="str">
        <f>IF(F31="","",VLOOKUP(F31,Validation!$A$2:$B$17,2,FALSE))</f>
        <v>Validation!$K$2:$K$31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>QF3</v>
      </c>
      <c r="B32" t="str">
        <f>IF(A32="","",IF(J32&lt;=INDEX(Knockout!$I$2:$I$8,I32-1),INDEX(Knockout!$G$2:$G$8,I32-1),INDEX(Knockout!$H$2:$H$8,I32-1)))</f>
        <v>Leoni di Ricky</v>
      </c>
      <c r="C32">
        <f>IF(A32="","",COUNTIFS($A$2:A32,A32,$B$2:B32,B32))</f>
        <v>6</v>
      </c>
      <c r="D32" s="2" t="str">
        <f t="shared" si="0"/>
        <v>Goal</v>
      </c>
      <c r="E32" s="2" t="s">
        <v>473</v>
      </c>
      <c r="F32" t="str">
        <f t="shared" si="1"/>
        <v>Leoni di Ricky</v>
      </c>
      <c r="G32" t="str">
        <f t="shared" si="2"/>
        <v>OK</v>
      </c>
      <c r="H32" t="str">
        <f>IF(F32="","",VLOOKUP(F32,Validation!$A$2:$B$17,2,FALSE))</f>
        <v>Validation!$K$2:$K$31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>QF4</v>
      </c>
      <c r="B38" t="str">
        <f>IF(A38="","",IF(J38&lt;=INDEX(Knockout!$I$2:$I$8,I38-1),INDEX(Knockout!$G$2:$G$8,I38-1),INDEX(Knockout!$H$2:$H$8,I38-1)))</f>
        <v>Vecchie Glorie Rovigo</v>
      </c>
      <c r="C38">
        <f>IF(A38="","",COUNTIFS($A$2:A38,A38,$B$2:B38,B38))</f>
        <v>1</v>
      </c>
      <c r="D38" s="2" t="str">
        <f t="shared" si="3"/>
        <v>Goal</v>
      </c>
      <c r="E38" s="2" t="s">
        <v>406</v>
      </c>
      <c r="F38" t="str">
        <f t="shared" si="4"/>
        <v>Vecchie Glorie Rovigo</v>
      </c>
      <c r="G38" t="str">
        <f t="shared" si="5"/>
        <v>OK</v>
      </c>
      <c r="H38" t="str">
        <f>IF(F38="","",VLOOKUP(F38,Validation!$A$2:$B$17,2,FALSE))</f>
        <v>Validation!$H$2:$H$31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>QF4</v>
      </c>
      <c r="B39" t="str">
        <f>IF(A39="","",IF(J39&lt;=INDEX(Knockout!$I$2:$I$8,I39-1),INDEX(Knockout!$G$2:$G$8,I39-1),INDEX(Knockout!$H$2:$H$8,I39-1)))</f>
        <v>Boldò Glimt</v>
      </c>
      <c r="C39">
        <f>IF(A39="","",COUNTIFS($A$2:A39,A39,$B$2:B39,B39))</f>
        <v>1</v>
      </c>
      <c r="D39" s="2" t="str">
        <f t="shared" si="3"/>
        <v>Goal</v>
      </c>
      <c r="E39" s="2" t="s">
        <v>465</v>
      </c>
      <c r="F39" t="str">
        <f t="shared" si="4"/>
        <v>Boldò Glimt</v>
      </c>
      <c r="G39" t="str">
        <f t="shared" si="5"/>
        <v>OK</v>
      </c>
      <c r="H39" t="str">
        <f>IF(F39="","",VLOOKUP(F39,Validation!$A$2:$B$17,2,FALSE))</f>
        <v>Validation!$P$2:$P$31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>QF4</v>
      </c>
      <c r="B40" t="str">
        <f>IF(A40="","",IF(J40&lt;=INDEX(Knockout!$I$2:$I$8,I40-1),INDEX(Knockout!$G$2:$G$8,I40-1),INDEX(Knockout!$H$2:$H$8,I40-1)))</f>
        <v>Boldò Glimt</v>
      </c>
      <c r="C40">
        <f>IF(A40="","",COUNTIFS($A$2:A40,A40,$B$2:B40,B40))</f>
        <v>2</v>
      </c>
      <c r="D40" s="2" t="str">
        <f t="shared" si="3"/>
        <v>Goal</v>
      </c>
      <c r="E40" s="2" t="s">
        <v>482</v>
      </c>
      <c r="F40" t="str">
        <f t="shared" si="4"/>
        <v>Boldò Glimt</v>
      </c>
      <c r="G40" t="str">
        <f t="shared" si="5"/>
        <v>OK</v>
      </c>
      <c r="H40" t="str">
        <f>IF(F40="","",VLOOKUP(F40,Validation!$A$2:$B$17,2,FALSE))</f>
        <v>Validation!$P$2:$P$31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>SF1</v>
      </c>
      <c r="B50" t="str">
        <f>IF(A50="","",IF(J50&lt;=INDEX(Knockout!$I$2:$I$8,I50-1),INDEX(Knockout!$G$2:$G$8,I50-1),INDEX(Knockout!$H$2:$H$8,I50-1)))</f>
        <v>Barrio Boys</v>
      </c>
      <c r="C50">
        <f>IF(A50="","",COUNTIFS($A$2:A50,A50,$B$2:B50,B50))</f>
        <v>1</v>
      </c>
      <c r="D50" s="2" t="str">
        <f t="shared" si="3"/>
        <v>Goal</v>
      </c>
      <c r="E50" s="2" t="s">
        <v>417</v>
      </c>
      <c r="F50" t="str">
        <f t="shared" si="4"/>
        <v>Barrio Boys</v>
      </c>
      <c r="G50" t="str">
        <f t="shared" si="5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>SF1</v>
      </c>
      <c r="B51" t="str">
        <f>IF(A51="","",IF(J51&lt;=INDEX(Knockout!$I$2:$I$8,I51-1),INDEX(Knockout!$G$2:$G$8,I51-1),INDEX(Knockout!$H$2:$H$8,I51-1)))</f>
        <v>Barrio Boys</v>
      </c>
      <c r="C51">
        <f>IF(A51="","",COUNTIFS($A$2:A51,A51,$B$2:B51,B51))</f>
        <v>2</v>
      </c>
      <c r="D51" s="2" t="str">
        <f t="shared" si="3"/>
        <v>Goal</v>
      </c>
      <c r="E51" s="2" t="s">
        <v>417</v>
      </c>
      <c r="F51" t="str">
        <f t="shared" si="4"/>
        <v>Barrio Boys</v>
      </c>
      <c r="G51" t="str">
        <f t="shared" si="5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>SF1</v>
      </c>
      <c r="B52" t="str">
        <f>IF(A52="","",IF(J52&lt;=INDEX(Knockout!$I$2:$I$8,I52-1),INDEX(Knockout!$G$2:$G$8,I52-1),INDEX(Knockout!$H$2:$H$8,I52-1)))</f>
        <v>Barrio Boys</v>
      </c>
      <c r="C52">
        <f>IF(A52="","",COUNTIFS($A$2:A52,A52,$B$2:B52,B52))</f>
        <v>3</v>
      </c>
      <c r="D52" s="2" t="str">
        <f t="shared" si="3"/>
        <v>Goal</v>
      </c>
      <c r="E52" s="2" t="s">
        <v>483</v>
      </c>
      <c r="F52" t="str">
        <f t="shared" si="4"/>
        <v>Barrio Boys</v>
      </c>
      <c r="G52" t="str">
        <f t="shared" si="5"/>
        <v>OK</v>
      </c>
      <c r="H52" t="str">
        <f>IF(F52="","",VLOOKUP(F52,Validation!$A$2:$B$17,2,FALSE))</f>
        <v>Validation!$M$2:$M$31</v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>SF1</v>
      </c>
      <c r="B53" t="str">
        <f>IF(A53="","",IF(J53&lt;=INDEX(Knockout!$I$2:$I$8,I53-1),INDEX(Knockout!$G$2:$G$8,I53-1),INDEX(Knockout!$H$2:$H$8,I53-1)))</f>
        <v>Barrio Boys</v>
      </c>
      <c r="C53">
        <f>IF(A53="","",COUNTIFS($A$2:A53,A53,$B$2:B53,B53))</f>
        <v>4</v>
      </c>
      <c r="D53" s="2" t="str">
        <f t="shared" si="3"/>
        <v>Goal</v>
      </c>
      <c r="E53" s="2" t="s">
        <v>458</v>
      </c>
      <c r="F53" t="str">
        <f t="shared" si="4"/>
        <v>Barrio Boys</v>
      </c>
      <c r="G53" t="str">
        <f t="shared" si="5"/>
        <v>OK</v>
      </c>
      <c r="H53" t="str">
        <f>IF(F53="","",VLOOKUP(F53,Validation!$A$2:$B$17,2,FALSE))</f>
        <v>Validation!$M$2:$M$31</v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>SF1</v>
      </c>
      <c r="B54" t="str">
        <f>IF(A54="","",IF(J54&lt;=INDEX(Knockout!$I$2:$I$8,I54-1),INDEX(Knockout!$G$2:$G$8,I54-1),INDEX(Knockout!$H$2:$H$8,I54-1)))</f>
        <v>Barrio Boys</v>
      </c>
      <c r="C54">
        <f>IF(A54="","",COUNTIFS($A$2:A54,A54,$B$2:B54,B54))</f>
        <v>5</v>
      </c>
      <c r="D54" s="2" t="str">
        <f t="shared" si="3"/>
        <v>Goal</v>
      </c>
      <c r="E54" s="2" t="s">
        <v>458</v>
      </c>
      <c r="F54" t="str">
        <f t="shared" si="4"/>
        <v>Barrio Boys</v>
      </c>
      <c r="G54" t="str">
        <f t="shared" si="5"/>
        <v>OK</v>
      </c>
      <c r="H54" t="str">
        <f>IF(F54="","",VLOOKUP(F54,Validation!$A$2:$B$17,2,FALSE))</f>
        <v>Validation!$M$2:$M$31</v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>SF1</v>
      </c>
      <c r="B55" t="str">
        <f>IF(A55="","",IF(J55&lt;=INDEX(Knockout!$I$2:$I$8,I55-1),INDEX(Knockout!$G$2:$G$8,I55-1),INDEX(Knockout!$H$2:$H$8,I55-1)))</f>
        <v>Barrio Boys</v>
      </c>
      <c r="C55">
        <f>IF(A55="","",COUNTIFS($A$2:A55,A55,$B$2:B55,B55))</f>
        <v>6</v>
      </c>
      <c r="D55" s="2" t="str">
        <f t="shared" si="3"/>
        <v>Goal</v>
      </c>
      <c r="E55" s="2" t="s">
        <v>416</v>
      </c>
      <c r="F55" t="str">
        <f t="shared" si="4"/>
        <v>Barrio Boys</v>
      </c>
      <c r="G55" t="str">
        <f t="shared" si="5"/>
        <v>OK</v>
      </c>
      <c r="H55" t="str">
        <f>IF(F55="","",VLOOKUP(F55,Validation!$A$2:$B$17,2,FALSE))</f>
        <v>Validation!$M$2:$M$31</v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>SF1</v>
      </c>
      <c r="B56" t="str">
        <f>IF(A56="","",IF(J56&lt;=INDEX(Knockout!$I$2:$I$8,I56-1),INDEX(Knockout!$G$2:$G$8,I56-1),INDEX(Knockout!$H$2:$H$8,I56-1)))</f>
        <v>AS Bancatore</v>
      </c>
      <c r="C56">
        <f>IF(A56="","",COUNTIFS($A$2:A56,A56,$B$2:B56,B56))</f>
        <v>1</v>
      </c>
      <c r="D56" s="2" t="str">
        <f t="shared" si="3"/>
        <v>Goal</v>
      </c>
      <c r="E56" s="2" t="s">
        <v>418</v>
      </c>
      <c r="F56" t="str">
        <f t="shared" si="4"/>
        <v>AS Bancatore</v>
      </c>
      <c r="G56" t="str">
        <f t="shared" si="5"/>
        <v>OK</v>
      </c>
      <c r="H56" t="str">
        <f>IF(F56="","",VLOOKUP(F56,Validation!$A$2:$B$17,2,FALSE))</f>
        <v>Validation!$I$2:$I$31</v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>SF2</v>
      </c>
      <c r="B62" t="str">
        <f>IF(A62="","",IF(J62&lt;=INDEX(Knockout!$I$2:$I$8,I62-1),INDEX(Knockout!$G$2:$G$8,I62-1),INDEX(Knockout!$H$2:$H$8,I62-1)))</f>
        <v>Leoni di Ricky</v>
      </c>
      <c r="C62">
        <f>IF(A62="","",COUNTIFS($A$2:A62,A62,$B$2:B62,B62))</f>
        <v>1</v>
      </c>
      <c r="D62" s="2" t="str">
        <f t="shared" si="3"/>
        <v>Goal</v>
      </c>
      <c r="E62" s="2" t="s">
        <v>413</v>
      </c>
      <c r="F62" t="str">
        <f t="shared" si="4"/>
        <v>Leoni di Ricky</v>
      </c>
      <c r="G62" t="str">
        <f t="shared" si="5"/>
        <v>OK</v>
      </c>
      <c r="H62" t="str">
        <f>IF(F62="","",VLOOKUP(F62,Validation!$A$2:$B$17,2,FALSE))</f>
        <v>Validation!$K$2:$K$31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>SF2</v>
      </c>
      <c r="B63" t="str">
        <f>IF(A63="","",IF(J63&lt;=INDEX(Knockout!$I$2:$I$8,I63-1),INDEX(Knockout!$G$2:$G$8,I63-1),INDEX(Knockout!$H$2:$H$8,I63-1)))</f>
        <v>Leoni di Ricky</v>
      </c>
      <c r="C63">
        <f>IF(A63="","",COUNTIFS($A$2:A63,A63,$B$2:B63,B63))</f>
        <v>2</v>
      </c>
      <c r="D63" s="2" t="str">
        <f t="shared" si="3"/>
        <v>Goal</v>
      </c>
      <c r="E63" s="2" t="s">
        <v>472</v>
      </c>
      <c r="F63" t="str">
        <f t="shared" si="4"/>
        <v>Leoni di Ricky</v>
      </c>
      <c r="G63" t="str">
        <f t="shared" si="5"/>
        <v>OK</v>
      </c>
      <c r="H63" t="str">
        <f>IF(F63="","",VLOOKUP(F63,Validation!$A$2:$B$17,2,FALSE))</f>
        <v>Validation!$K$2:$K$31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>SF2</v>
      </c>
      <c r="B64" t="str">
        <f>IF(A64="","",IF(J64&lt;=INDEX(Knockout!$I$2:$I$8,I64-1),INDEX(Knockout!$G$2:$G$8,I64-1),INDEX(Knockout!$H$2:$H$8,I64-1)))</f>
        <v>Leoni di Ricky</v>
      </c>
      <c r="C64">
        <f>IF(A64="","",COUNTIFS($A$2:A64,A64,$B$2:B64,B64))</f>
        <v>3</v>
      </c>
      <c r="D64" s="2" t="str">
        <f t="shared" si="3"/>
        <v>Goal</v>
      </c>
      <c r="E64" s="2" t="s">
        <v>414</v>
      </c>
      <c r="F64" t="str">
        <f t="shared" si="4"/>
        <v>Leoni di Ricky</v>
      </c>
      <c r="G64" t="str">
        <f t="shared" si="5"/>
        <v>OK</v>
      </c>
      <c r="H64" t="str">
        <f>IF(F64="","",VLOOKUP(F64,Validation!$A$2:$B$17,2,FALSE))</f>
        <v>Validation!$K$2:$K$31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>SF2</v>
      </c>
      <c r="B65" t="str">
        <f>IF(A65="","",IF(J65&lt;=INDEX(Knockout!$I$2:$I$8,I65-1),INDEX(Knockout!$G$2:$G$8,I65-1),INDEX(Knockout!$H$2:$H$8,I65-1)))</f>
        <v>Boldò Glimt</v>
      </c>
      <c r="C65">
        <f>IF(A65="","",COUNTIFS($A$2:A65,A65,$B$2:B65,B65))</f>
        <v>1</v>
      </c>
      <c r="D65" s="2" t="str">
        <f t="shared" si="3"/>
        <v>Goal</v>
      </c>
      <c r="E65" s="2" t="s">
        <v>484</v>
      </c>
      <c r="F65" t="str">
        <f t="shared" si="4"/>
        <v>Boldò Glimt</v>
      </c>
      <c r="G65" t="str">
        <f t="shared" si="5"/>
        <v>OK</v>
      </c>
      <c r="H65" t="str">
        <f>IF(F65="","",VLOOKUP(F65,Validation!$A$2:$B$17,2,FALSE))</f>
        <v>Validation!$P$2:$P$31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>FIN</v>
      </c>
      <c r="B74" t="str">
        <f>IF(A74="","",IF(J74&lt;=INDEX(Knockout!$I$2:$I$8,I74-1),INDEX(Knockout!$G$2:$G$8,I74-1),INDEX(Knockout!$H$2:$H$8,I74-1)))</f>
        <v>Barrio Boys</v>
      </c>
      <c r="C74">
        <f>IF(A74="","",COUNTIFS($A$2:A74,A74,$B$2:B74,B74))</f>
        <v>1</v>
      </c>
      <c r="D74" s="2" t="str">
        <f t="shared" si="6"/>
        <v>Goal</v>
      </c>
      <c r="E74" s="2" t="s">
        <v>417</v>
      </c>
      <c r="F74" t="str">
        <f t="shared" si="7"/>
        <v>Barrio Boys</v>
      </c>
      <c r="G74" t="str">
        <f t="shared" si="8"/>
        <v>OK</v>
      </c>
      <c r="H74" t="str">
        <f>IF(F74="","",VLOOKUP(F74,Validation!$A$2:$B$17,2,FALSE))</f>
        <v>Validation!$M$2:$M$31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>FIN</v>
      </c>
      <c r="B75" t="str">
        <f>IF(A75="","",IF(J75&lt;=INDEX(Knockout!$I$2:$I$8,I75-1),INDEX(Knockout!$G$2:$G$8,I75-1),INDEX(Knockout!$H$2:$H$8,I75-1)))</f>
        <v>Barrio Boys</v>
      </c>
      <c r="C75">
        <f>IF(A75="","",COUNTIFS($A$2:A75,A75,$B$2:B75,B75))</f>
        <v>2</v>
      </c>
      <c r="D75" s="2" t="str">
        <f t="shared" si="6"/>
        <v>Goal</v>
      </c>
      <c r="E75" s="2" t="s">
        <v>458</v>
      </c>
      <c r="F75" t="str">
        <f t="shared" si="7"/>
        <v>Barrio Boys</v>
      </c>
      <c r="G75" t="str">
        <f t="shared" si="8"/>
        <v>OK</v>
      </c>
      <c r="H75" t="str">
        <f>IF(F75="","",VLOOKUP(F75,Validation!$A$2:$B$17,2,FALSE))</f>
        <v>Validation!$M$2:$M$31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>FIN</v>
      </c>
      <c r="B76" t="str">
        <f>IF(A76="","",IF(J76&lt;=INDEX(Knockout!$I$2:$I$8,I76-1),INDEX(Knockout!$G$2:$G$8,I76-1),INDEX(Knockout!$H$2:$H$8,I76-1)))</f>
        <v>Barrio Boys</v>
      </c>
      <c r="C76">
        <f>IF(A76="","",COUNTIFS($A$2:A76,A76,$B$2:B76,B76))</f>
        <v>3</v>
      </c>
      <c r="D76" s="2" t="str">
        <f t="shared" si="6"/>
        <v>Goal</v>
      </c>
      <c r="E76" s="2" t="s">
        <v>483</v>
      </c>
      <c r="F76" t="str">
        <f t="shared" si="7"/>
        <v>Barrio Boys</v>
      </c>
      <c r="G76" t="str">
        <f t="shared" si="8"/>
        <v>OK</v>
      </c>
      <c r="H76" t="str">
        <f>IF(F76="","",VLOOKUP(F76,Validation!$A$2:$B$17,2,FALSE))</f>
        <v>Validation!$M$2:$M$31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>FIN</v>
      </c>
      <c r="B77" t="str">
        <f>IF(A77="","",IF(J77&lt;=INDEX(Knockout!$I$2:$I$8,I77-1),INDEX(Knockout!$G$2:$G$8,I77-1),INDEX(Knockout!$H$2:$H$8,I77-1)))</f>
        <v>Leoni di Ricky</v>
      </c>
      <c r="C77">
        <f>IF(A77="","",COUNTIFS($A$2:A77,A77,$B$2:B77,B77))</f>
        <v>1</v>
      </c>
      <c r="D77" s="2" t="str">
        <f t="shared" si="6"/>
        <v>Goal</v>
      </c>
      <c r="E77" s="2" t="s">
        <v>413</v>
      </c>
      <c r="F77" t="str">
        <f t="shared" si="7"/>
        <v>Leoni di Ricky</v>
      </c>
      <c r="G77" t="str">
        <f t="shared" si="8"/>
        <v>OK</v>
      </c>
      <c r="H77" t="str">
        <f>IF(F77="","",VLOOKUP(F77,Validation!$A$2:$B$17,2,FALSE))</f>
        <v>Validation!$K$2:$K$31</v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>FIN</v>
      </c>
      <c r="B78" t="str">
        <f>IF(A78="","",IF(J78&lt;=INDEX(Knockout!$I$2:$I$8,I78-1),INDEX(Knockout!$G$2:$G$8,I78-1),INDEX(Knockout!$H$2:$H$8,I78-1)))</f>
        <v>Leoni di Ricky</v>
      </c>
      <c r="C78">
        <f>IF(A78="","",COUNTIFS($A$2:A78,A78,$B$2:B78,B78))</f>
        <v>2</v>
      </c>
      <c r="D78" s="2" t="str">
        <f t="shared" si="6"/>
        <v>Goal</v>
      </c>
      <c r="E78" s="2" t="s">
        <v>413</v>
      </c>
      <c r="F78" t="str">
        <f t="shared" si="7"/>
        <v>Leoni di Ricky</v>
      </c>
      <c r="G78" t="str">
        <f t="shared" si="8"/>
        <v>OK</v>
      </c>
      <c r="H78" t="str">
        <f>IF(F78="","",VLOOKUP(F78,Validation!$A$2:$B$17,2,FALSE))</f>
        <v>Validation!$K$2:$K$31</v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>FIN</v>
      </c>
      <c r="B79" t="str">
        <f>IF(A79="","",IF(J79&lt;=INDEX(Knockout!$I$2:$I$8,I79-1),INDEX(Knockout!$G$2:$G$8,I79-1),INDEX(Knockout!$H$2:$H$8,I79-1)))</f>
        <v>Leoni di Ricky</v>
      </c>
      <c r="C79">
        <f>IF(A79="","",COUNTIFS($A$2:A79,A79,$B$2:B79,B79))</f>
        <v>3</v>
      </c>
      <c r="D79" s="2" t="str">
        <f t="shared" si="6"/>
        <v>Goal</v>
      </c>
      <c r="E79" s="2" t="s">
        <v>413</v>
      </c>
      <c r="F79" t="str">
        <f t="shared" si="7"/>
        <v>Leoni di Ricky</v>
      </c>
      <c r="G79" t="str">
        <f t="shared" si="8"/>
        <v>OK</v>
      </c>
      <c r="H79" t="str">
        <f>IF(F79="","",VLOOKUP(F79,Validation!$A$2:$B$17,2,FALSE))</f>
        <v>Validation!$K$2:$K$31</v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>FIN</v>
      </c>
      <c r="B80" t="str">
        <f>IF(A80="","",IF(J80&lt;=INDEX(Knockout!$I$2:$I$8,I80-1),INDEX(Knockout!$G$2:$G$8,I80-1),INDEX(Knockout!$H$2:$H$8,I80-1)))</f>
        <v>Leoni di Ricky</v>
      </c>
      <c r="C80">
        <f>IF(A80="","",COUNTIFS($A$2:A80,A80,$B$2:B80,B80))</f>
        <v>4</v>
      </c>
      <c r="D80" s="2" t="str">
        <f t="shared" si="6"/>
        <v>Goal</v>
      </c>
      <c r="E80" s="2" t="s">
        <v>414</v>
      </c>
      <c r="F80" t="str">
        <f t="shared" si="7"/>
        <v>Leoni di Ricky</v>
      </c>
      <c r="G80" t="str">
        <f t="shared" si="8"/>
        <v>OK</v>
      </c>
      <c r="H80" t="str">
        <f>IF(F80="","",VLOOKUP(F80,Validation!$A$2:$B$17,2,FALSE))</f>
        <v>Validation!$K$2:$K$31</v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A10" sqref="A10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387</v>
      </c>
      <c r="B1" s="17" t="s">
        <v>388</v>
      </c>
      <c r="C1" s="17" t="s">
        <v>389</v>
      </c>
    </row>
    <row r="2" spans="1:3" x14ac:dyDescent="0.3">
      <c r="A2" s="18" t="s">
        <v>426</v>
      </c>
      <c r="B2" s="18" t="s">
        <v>422</v>
      </c>
      <c r="C2" s="19">
        <v>4</v>
      </c>
    </row>
    <row r="3" spans="1:3" x14ac:dyDescent="0.3">
      <c r="A3" s="18" t="s">
        <v>424</v>
      </c>
      <c r="B3" s="18" t="s">
        <v>423</v>
      </c>
      <c r="C3" s="19">
        <v>3</v>
      </c>
    </row>
    <row r="4" spans="1:3" x14ac:dyDescent="0.3">
      <c r="A4" s="18" t="s">
        <v>425</v>
      </c>
      <c r="B4" s="18" t="s">
        <v>423</v>
      </c>
      <c r="C4" s="19">
        <v>1</v>
      </c>
    </row>
    <row r="5" spans="1:3" x14ac:dyDescent="0.3">
      <c r="A5" s="18" t="s">
        <v>427</v>
      </c>
      <c r="B5" s="18" t="s">
        <v>428</v>
      </c>
      <c r="C5" s="19">
        <v>2</v>
      </c>
    </row>
    <row r="6" spans="1:3" x14ac:dyDescent="0.3">
      <c r="A6" s="18" t="s">
        <v>424</v>
      </c>
      <c r="B6" s="18" t="s">
        <v>429</v>
      </c>
      <c r="C6" s="19">
        <v>0</v>
      </c>
    </row>
    <row r="7" spans="1:3" x14ac:dyDescent="0.3">
      <c r="A7" s="18" t="s">
        <v>448</v>
      </c>
      <c r="B7" s="18" t="s">
        <v>449</v>
      </c>
      <c r="C7" s="19">
        <v>5</v>
      </c>
    </row>
    <row r="8" spans="1:3" x14ac:dyDescent="0.3">
      <c r="A8" s="18" t="s">
        <v>450</v>
      </c>
      <c r="B8" s="18" t="s">
        <v>451</v>
      </c>
      <c r="C8" s="19">
        <v>1</v>
      </c>
    </row>
    <row r="9" spans="1:3" x14ac:dyDescent="0.3">
      <c r="A9" s="18" t="s">
        <v>463</v>
      </c>
      <c r="B9" s="18" t="s">
        <v>464</v>
      </c>
      <c r="C9" s="19">
        <v>2</v>
      </c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326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327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7 - BOGDAN ATAMANYUK</v>
      </c>
      <c r="E2" t="str">
        <f>IF(Rosters!H3="","",IF(Rosters!G3="","",Rosters!G3&amp;" - ")&amp;Rosters!H3&amp;IF(Rosters!I3="Yes"," (C)",""))</f>
        <v>1 - 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328</v>
      </c>
      <c r="C3" t="str">
        <f>IF(Rosters!B4="","",IF(Rosters!A4="","",Rosters!A4&amp;" - ")&amp;Rosters!B4&amp;IF(Rosters!C4="Yes"," (C)",""))</f>
        <v>99 - GIOVANNI BALLO</v>
      </c>
      <c r="D3" t="str">
        <f>IF(Rosters!E4="","",IF(Rosters!D4="","",Rosters!D4&amp;" - ")&amp;Rosters!E4&amp;IF(Rosters!F4="Yes"," (C)",""))</f>
        <v>20 - IVAN DENIS SHEVERAK</v>
      </c>
      <c r="E3" t="str">
        <f>IF(Rosters!H4="","",IF(Rosters!G4="","",Rosters!G4&amp;" - ")&amp;Rosters!H4&amp;IF(Rosters!I4="Yes"," (C)",""))</f>
        <v>23 - 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329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2 - MOHAMED IAICH</v>
      </c>
      <c r="E4" t="str">
        <f>IF(Rosters!H5="","",IF(Rosters!G5="","",Rosters!G5&amp;" - ")&amp;Rosters!H5&amp;IF(Rosters!I5="Yes"," (C)",""))</f>
        <v>8 - 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330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19 - DANIIL YAKIMENKO</v>
      </c>
      <c r="E5" t="str">
        <f>IF(Rosters!H6="","",IF(Rosters!G6="","",Rosters!G6&amp;" - ")&amp;Rosters!H6&amp;IF(Rosters!I6="Yes"," (C)",""))</f>
        <v>70 - 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331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8 - AHMED ZOUZAF</v>
      </c>
      <c r="E6" t="str">
        <f>IF(Rosters!H7="","",IF(Rosters!G7="","",Rosters!G7&amp;" - ")&amp;Rosters!H7&amp;IF(Rosters!I7="Yes"," (C)",""))</f>
        <v>7 - 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332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3 - YOUSSEF IAICH</v>
      </c>
      <c r="E7" t="str">
        <f>IF(Rosters!H8="","",IF(Rosters!G8="","",Rosters!G8&amp;" - ")&amp;Rosters!H8&amp;IF(Rosters!I8="Yes"," (C)",""))</f>
        <v>5 - 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1 - ANTONIO CIRILLO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333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14 - HAMZA AGRIBI (C)</v>
      </c>
      <c r="E8" t="str">
        <f>IF(Rosters!H9="","",IF(Rosters!G9="","",Rosters!G9&amp;" - ")&amp;Rosters!H9&amp;IF(Rosters!I9="Yes"," (C)",""))</f>
        <v>45 - 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>8 - MOUMOUNI BAMOGO</v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334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1 - KHALID BENNOUNE</v>
      </c>
      <c r="E9" t="str">
        <f>IF(Rosters!H10="","",IF(Rosters!G10="","",Rosters!G10&amp;" - ")&amp;Rosters!H10&amp;IF(Rosters!I10="Yes"," (C)",""))</f>
        <v>2 - 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>5 - DAVIDE SALVIATO</v>
      </c>
      <c r="K9" t="str">
        <f>IF(Rosters!Z10="","",IF(Rosters!Y10="","",Rosters!Y10&amp;" - ")&amp;Rosters!Z10&amp;IF(Rosters!AA10="Yes"," (C)",""))</f>
        <v>17 -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335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18 - YASSINE SOHAYB</v>
      </c>
      <c r="E10" t="str">
        <f>IF(Rosters!H11="","",IF(Rosters!G11="","",Rosters!G11&amp;" - ")&amp;Rosters!H11&amp;IF(Rosters!I11="Yes"," (C)",""))</f>
        <v>9 - 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>77 - POKOU ANTHONY</v>
      </c>
      <c r="K10" t="str">
        <f>IF(Rosters!Z11="","",IF(Rosters!Y11="","",Rosters!Y11&amp;" - ")&amp;Rosters!Z11&amp;IF(Rosters!AA11="Yes"," (C)",""))</f>
        <v>7 -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336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4 - ABDESSAMAD BAGHROUCH</v>
      </c>
      <c r="E11" t="str">
        <f>IF(Rosters!H12="","",IF(Rosters!G12="","",Rosters!G12&amp;" - ")&amp;Rosters!H12&amp;IF(Rosters!I12="Yes"," (C)",""))</f>
        <v>6 - 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>9 - ABDO ARAUFY</v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337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4 - 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 x14ac:dyDescent="0.3">
      <c r="A13" t="s">
        <v>30</v>
      </c>
      <c r="B13" t="s">
        <v>338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10 - 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339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20 - 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340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341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342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H8" zoomScale="85" zoomScaleNormal="85" workbookViewId="0">
      <selection activeCell="N15" sqref="N15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343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344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345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346</v>
      </c>
      <c r="B4" s="7" t="s">
        <v>347</v>
      </c>
      <c r="C4" s="7" t="s">
        <v>348</v>
      </c>
      <c r="D4" s="7" t="s">
        <v>349</v>
      </c>
      <c r="E4" s="7" t="s">
        <v>350</v>
      </c>
      <c r="F4" s="7" t="s">
        <v>351</v>
      </c>
      <c r="G4" s="7" t="s">
        <v>352</v>
      </c>
      <c r="H4" s="7" t="s">
        <v>353</v>
      </c>
      <c r="I4" s="7" t="s">
        <v>354</v>
      </c>
      <c r="J4" s="7" t="s">
        <v>355</v>
      </c>
      <c r="K4" s="7" t="s">
        <v>356</v>
      </c>
      <c r="L4" s="7" t="s">
        <v>357</v>
      </c>
      <c r="M4" s="1"/>
      <c r="N4" s="7" t="s">
        <v>347</v>
      </c>
      <c r="O4" s="7" t="s">
        <v>358</v>
      </c>
      <c r="P4" s="7" t="s">
        <v>348</v>
      </c>
      <c r="Q4" s="7" t="s">
        <v>359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Moviola Utd</v>
      </c>
      <c r="D5" s="1">
        <f>Standings!D2</f>
        <v>7</v>
      </c>
      <c r="E5" s="1">
        <f>Standings!E2</f>
        <v>3</v>
      </c>
      <c r="F5" s="1">
        <f>Standings!F2</f>
        <v>2</v>
      </c>
      <c r="G5" s="1">
        <f>Standings!G2</f>
        <v>0</v>
      </c>
      <c r="H5" s="1">
        <f>Standings!H2</f>
        <v>1</v>
      </c>
      <c r="I5" s="1">
        <f>Standings!I2</f>
        <v>0</v>
      </c>
      <c r="J5" s="1">
        <f>Standings!J2</f>
        <v>8</v>
      </c>
      <c r="K5" s="1">
        <f>Standings!K2</f>
        <v>2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LEONARDO MAGGIO</v>
      </c>
      <c r="P5" s="1" t="str">
        <f>IF(TopScorers!C2="","",TopScorers!C2)</f>
        <v>Leoni di Ricky</v>
      </c>
      <c r="Q5" s="1">
        <f>IF(TopScorers!D2="","",TopScorers!D2)</f>
        <v>10</v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Fatine FC</v>
      </c>
      <c r="D6" s="1">
        <f>Standings!D3</f>
        <v>6</v>
      </c>
      <c r="E6" s="1">
        <f>Standings!E3</f>
        <v>3</v>
      </c>
      <c r="F6" s="1">
        <f>Standings!F3</f>
        <v>2</v>
      </c>
      <c r="G6" s="1">
        <f>Standings!G3</f>
        <v>0</v>
      </c>
      <c r="H6" s="1">
        <f>Standings!H3</f>
        <v>0</v>
      </c>
      <c r="I6" s="1">
        <f>Standings!I3</f>
        <v>1</v>
      </c>
      <c r="J6" s="1">
        <f>Standings!J3</f>
        <v>7</v>
      </c>
      <c r="K6" s="1">
        <f>Standings!K3</f>
        <v>5</v>
      </c>
      <c r="L6" s="1">
        <f>Standings!L3</f>
        <v>2</v>
      </c>
      <c r="M6" s="1"/>
      <c r="N6" s="1">
        <f>IF(TopScorers!A3="","",TopScorers!A3)</f>
        <v>2</v>
      </c>
      <c r="O6" s="1" t="str">
        <f>IF(TopScorers!B3="","",TopScorers!B3)</f>
        <v>IGNAZIO BADALÌ</v>
      </c>
      <c r="P6" s="1" t="str">
        <f>IF(TopScorers!C3="","",TopScorers!C3)</f>
        <v>AS Bancatore</v>
      </c>
      <c r="Q6" s="1">
        <f>IF(TopScorers!D3="","",TopScorers!D3)</f>
        <v>8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FC Internazionale Rovigo</v>
      </c>
      <c r="D7" s="1">
        <f>Standings!D4</f>
        <v>5</v>
      </c>
      <c r="E7" s="1">
        <f>Standings!E4</f>
        <v>3</v>
      </c>
      <c r="F7" s="1">
        <f>Standings!F4</f>
        <v>1</v>
      </c>
      <c r="G7" s="1">
        <f>Standings!G4</f>
        <v>1</v>
      </c>
      <c r="H7" s="1">
        <f>Standings!H4</f>
        <v>0</v>
      </c>
      <c r="I7" s="1">
        <f>Standings!I4</f>
        <v>1</v>
      </c>
      <c r="J7" s="1">
        <f>Standings!J4</f>
        <v>6</v>
      </c>
      <c r="K7" s="1">
        <f>Standings!K4</f>
        <v>3</v>
      </c>
      <c r="L7" s="1">
        <f>Standings!L4</f>
        <v>3</v>
      </c>
      <c r="M7" s="1"/>
      <c r="N7" s="1">
        <f>IF(TopScorers!A4="","",TopScorers!A4)</f>
        <v>3</v>
      </c>
      <c r="O7" s="1" t="str">
        <f>IF(TopScorers!B4="","",TopScorers!B4)</f>
        <v>MATTEO FERRO</v>
      </c>
      <c r="P7" s="1" t="str">
        <f>IF(TopScorers!C4="","",TopScorers!C4)</f>
        <v>Barrio Boys</v>
      </c>
      <c r="Q7" s="1">
        <f>IF(TopScorers!D4="","",TopScorers!D4)</f>
        <v>6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3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3</v>
      </c>
      <c r="J8" s="1">
        <f>Standings!J5</f>
        <v>0</v>
      </c>
      <c r="K8" s="1">
        <f>Standings!K5</f>
        <v>11</v>
      </c>
      <c r="L8" s="1">
        <f>Standings!L5</f>
        <v>-11</v>
      </c>
      <c r="M8" s="1"/>
      <c r="N8" s="1">
        <f>IF(TopScorers!A5="","",TopScorers!A5)</f>
        <v>4</v>
      </c>
      <c r="O8" s="1" t="str">
        <f>IF(TopScorers!B5="","",TopScorers!B5)</f>
        <v>FRANCESCO BERARDI</v>
      </c>
      <c r="P8" s="1" t="str">
        <f>IF(TopScorers!C5="","",TopScorers!C5)</f>
        <v>Barrio Boys</v>
      </c>
      <c r="Q8" s="1">
        <f>IF(TopScorers!D5="","",TopScorers!D5)</f>
        <v>4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9</v>
      </c>
      <c r="E9" s="1">
        <f>Standings!E6</f>
        <v>3</v>
      </c>
      <c r="F9" s="1">
        <f>Standings!F6</f>
        <v>3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13</v>
      </c>
      <c r="K9" s="1">
        <f>Standings!K6</f>
        <v>0</v>
      </c>
      <c r="L9" s="1">
        <f>Standings!L6</f>
        <v>13</v>
      </c>
      <c r="M9" s="1"/>
      <c r="N9" s="1">
        <f>IF(TopScorers!A6="","",TopScorers!A6)</f>
        <v>5</v>
      </c>
      <c r="O9" s="1" t="str">
        <f>IF(TopScorers!B6="","",TopScorers!B6)</f>
        <v>EDOARDO CAVALLARI</v>
      </c>
      <c r="P9" s="1" t="str">
        <f>IF(TopScorers!C6="","",TopScorers!C6)</f>
        <v>Barrio Boys</v>
      </c>
      <c r="Q9" s="1">
        <f>IF(TopScorers!D6="","",TopScorers!D6)</f>
        <v>4</v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5</v>
      </c>
      <c r="E10" s="1">
        <f>Standings!E7</f>
        <v>3</v>
      </c>
      <c r="F10" s="1">
        <f>Standings!F7</f>
        <v>1</v>
      </c>
      <c r="G10" s="1">
        <f>Standings!G7</f>
        <v>1</v>
      </c>
      <c r="H10" s="1">
        <f>Standings!H7</f>
        <v>0</v>
      </c>
      <c r="I10" s="1">
        <f>Standings!I7</f>
        <v>1</v>
      </c>
      <c r="J10" s="1">
        <f>Standings!J7</f>
        <v>11</v>
      </c>
      <c r="K10" s="1">
        <f>Standings!K7</f>
        <v>4</v>
      </c>
      <c r="L10" s="1">
        <f>Standings!L7</f>
        <v>7</v>
      </c>
      <c r="M10" s="1"/>
      <c r="N10" s="1">
        <f>IF(TopScorers!A7="","",TopScorers!A7)</f>
        <v>6</v>
      </c>
      <c r="O10" s="1" t="str">
        <f>IF(TopScorers!B7="","",TopScorers!B7)</f>
        <v>NICOLA BRESCIANI</v>
      </c>
      <c r="P10" s="1" t="str">
        <f>IF(TopScorers!C7="","",TopScorers!C7)</f>
        <v>All Blacks</v>
      </c>
      <c r="Q10" s="1">
        <f>IF(TopScorers!D7="","",TopScorers!D7)</f>
        <v>4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ht="28.8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4</v>
      </c>
      <c r="E11" s="1">
        <f>Standings!E8</f>
        <v>3</v>
      </c>
      <c r="F11" s="1">
        <f>Standings!F8</f>
        <v>1</v>
      </c>
      <c r="G11" s="1">
        <f>Standings!G8</f>
        <v>0</v>
      </c>
      <c r="H11" s="1">
        <f>Standings!H8</f>
        <v>1</v>
      </c>
      <c r="I11" s="1">
        <f>Standings!I8</f>
        <v>1</v>
      </c>
      <c r="J11" s="1">
        <f>Standings!J8</f>
        <v>5</v>
      </c>
      <c r="K11" s="1">
        <f>Standings!K8</f>
        <v>7</v>
      </c>
      <c r="L11" s="1">
        <f>Standings!L8</f>
        <v>-2</v>
      </c>
      <c r="M11" s="1"/>
      <c r="N11" s="1">
        <f>IF(TopScorers!A8="","",TopScorers!A8)</f>
        <v>7</v>
      </c>
      <c r="O11" s="1" t="str">
        <f>IF(TopScorers!B8="","",TopScorers!B8)</f>
        <v>LUCA MARINI</v>
      </c>
      <c r="P11" s="1" t="str">
        <f>IF(TopScorers!C8="","",TopScorers!C8)</f>
        <v>Fatine FC</v>
      </c>
      <c r="Q11" s="1">
        <f>IF(TopScorers!D8="","",TopScorers!D8)</f>
        <v>3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3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3</v>
      </c>
      <c r="J12" s="1">
        <f>Standings!J9</f>
        <v>1</v>
      </c>
      <c r="K12" s="1">
        <f>Standings!K9</f>
        <v>19</v>
      </c>
      <c r="L12" s="1">
        <f>Standings!L9</f>
        <v>-18</v>
      </c>
      <c r="M12" s="1"/>
      <c r="N12" s="1">
        <f>IF(TopScorers!A9="","",TopScorers!A9)</f>
        <v>8</v>
      </c>
      <c r="O12" s="1" t="str">
        <f>IF(TopScorers!B9="","",TopScorers!B9)</f>
        <v>FILIPPO SCARANELLO</v>
      </c>
      <c r="P12" s="1" t="str">
        <f>IF(TopScorers!C9="","",TopScorers!C9)</f>
        <v>Moviola Utd</v>
      </c>
      <c r="Q12" s="1">
        <f>IF(TopScorers!D9="","",TopScorers!D9)</f>
        <v>3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Barrio Boys</v>
      </c>
      <c r="D13" s="1">
        <f>Standings!D10</f>
        <v>8</v>
      </c>
      <c r="E13" s="1">
        <f>Standings!E10</f>
        <v>3</v>
      </c>
      <c r="F13" s="1">
        <f>Standings!F10</f>
        <v>2</v>
      </c>
      <c r="G13" s="1">
        <f>Standings!G10</f>
        <v>1</v>
      </c>
      <c r="H13" s="1">
        <f>Standings!H10</f>
        <v>0</v>
      </c>
      <c r="I13" s="1">
        <f>Standings!I10</f>
        <v>0</v>
      </c>
      <c r="J13" s="1">
        <f>Standings!J10</f>
        <v>7</v>
      </c>
      <c r="K13" s="1">
        <f>Standings!K10</f>
        <v>2</v>
      </c>
      <c r="L13" s="1">
        <f>Standings!L10</f>
        <v>5</v>
      </c>
      <c r="M13" s="1"/>
      <c r="N13" s="1">
        <f>IF(TopScorers!A10="","",TopScorers!A10)</f>
        <v>9</v>
      </c>
      <c r="O13" s="1" t="str">
        <f>IF(TopScorers!B10="","",TopScorers!B10)</f>
        <v>DAVIDE ZAGHI</v>
      </c>
      <c r="P13" s="1" t="str">
        <f>IF(TopScorers!C10="","",TopScorers!C10)</f>
        <v>Vecchie Glorie Rovigo</v>
      </c>
      <c r="Q13" s="1">
        <f>IF(TopScorers!D10="","",TopScorers!D10)</f>
        <v>3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Leoni di Ricky</v>
      </c>
      <c r="D14" s="1">
        <f>Standings!D11</f>
        <v>7</v>
      </c>
      <c r="E14" s="1">
        <f>Standings!E11</f>
        <v>3</v>
      </c>
      <c r="F14" s="1">
        <f>Standings!F11</f>
        <v>2</v>
      </c>
      <c r="G14" s="1">
        <f>Standings!G11</f>
        <v>0</v>
      </c>
      <c r="H14" s="1">
        <f>Standings!H11</f>
        <v>1</v>
      </c>
      <c r="I14" s="1">
        <f>Standings!I11</f>
        <v>0</v>
      </c>
      <c r="J14" s="1">
        <f>Standings!J11</f>
        <v>12</v>
      </c>
      <c r="K14" s="1">
        <f>Standings!K11</f>
        <v>1</v>
      </c>
      <c r="L14" s="1">
        <f>Standings!L11</f>
        <v>11</v>
      </c>
      <c r="M14" s="1"/>
      <c r="N14" s="1">
        <f>IF(TopScorers!A11="","",TopScorers!A11)</f>
        <v>10</v>
      </c>
      <c r="O14" s="1" t="str">
        <f>IF(TopScorers!B11="","",TopScorers!B11)</f>
        <v>MATTEO ZAMBERLAN</v>
      </c>
      <c r="P14" s="1" t="str">
        <f>IF(TopScorers!C11="","",TopScorers!C11)</f>
        <v>Vecchie Glorie Rovigo</v>
      </c>
      <c r="Q14" s="1">
        <f>IF(TopScorers!D11="","",TopScorers!D11)</f>
        <v>3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Pink 5ive</v>
      </c>
      <c r="D15" s="1">
        <f>Standings!D12</f>
        <v>3</v>
      </c>
      <c r="E15" s="1">
        <f>Standings!E12</f>
        <v>3</v>
      </c>
      <c r="F15" s="1">
        <f>Standings!F12</f>
        <v>1</v>
      </c>
      <c r="G15" s="1">
        <f>Standings!G12</f>
        <v>0</v>
      </c>
      <c r="H15" s="1">
        <f>Standings!H12</f>
        <v>0</v>
      </c>
      <c r="I15" s="1">
        <f>Standings!I12</f>
        <v>2</v>
      </c>
      <c r="J15" s="1">
        <f>Standings!J12</f>
        <v>5</v>
      </c>
      <c r="K15" s="1">
        <f>Standings!K12</f>
        <v>11</v>
      </c>
      <c r="L15" s="1">
        <f>Standings!L12</f>
        <v>-6</v>
      </c>
      <c r="M15" s="1"/>
      <c r="N15" s="1">
        <f>IF(TopScorers!A12="","",TopScorers!A12)</f>
        <v>11</v>
      </c>
      <c r="O15" s="1" t="str">
        <f>IF(TopScorers!B12="","",TopScorers!B12)</f>
        <v>NICOLA BARONI</v>
      </c>
      <c r="P15" s="1" t="str">
        <f>IF(TopScorers!C12="","",TopScorers!C12)</f>
        <v>AS Bancatore</v>
      </c>
      <c r="Q15" s="1">
        <f>IF(TopScorers!D12="","",TopScorers!D12)</f>
        <v>3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3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3</v>
      </c>
      <c r="J16" s="1">
        <f>Standings!J13</f>
        <v>2</v>
      </c>
      <c r="K16" s="1">
        <f>Standings!K13</f>
        <v>12</v>
      </c>
      <c r="L16" s="1">
        <f>Standings!L13</f>
        <v>-10</v>
      </c>
      <c r="M16" s="1"/>
      <c r="N16" s="1">
        <f>IF(TopScorers!A13="","",TopScorers!A13)</f>
        <v>12</v>
      </c>
      <c r="O16" s="1" t="str">
        <f>IF(TopScorers!B13="","",TopScorers!B13)</f>
        <v>AMIN MASSAGHRI</v>
      </c>
      <c r="P16" s="1" t="str">
        <f>IF(TopScorers!C13="","",TopScorers!C13)</f>
        <v>Leoni di Ricky</v>
      </c>
      <c r="Q16" s="1">
        <f>IF(TopScorers!D13="","",TopScorers!D13)</f>
        <v>3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ht="28.8" x14ac:dyDescent="0.3">
      <c r="A17" s="1" t="str">
        <f>Standings!A14</f>
        <v>D</v>
      </c>
      <c r="B17" s="1">
        <f>Standings!B14</f>
        <v>1</v>
      </c>
      <c r="C17" s="1" t="str">
        <f>Standings!C14</f>
        <v>Boldò Glimt</v>
      </c>
      <c r="D17" s="1">
        <f>Standings!D14</f>
        <v>7</v>
      </c>
      <c r="E17" s="1">
        <f>Standings!E14</f>
        <v>3</v>
      </c>
      <c r="F17" s="1">
        <f>Standings!F14</f>
        <v>1</v>
      </c>
      <c r="G17" s="1">
        <f>Standings!G14</f>
        <v>2</v>
      </c>
      <c r="H17" s="1">
        <f>Standings!H14</f>
        <v>0</v>
      </c>
      <c r="I17" s="1">
        <f>Standings!I14</f>
        <v>0</v>
      </c>
      <c r="J17" s="1">
        <f>Standings!J14</f>
        <v>3</v>
      </c>
      <c r="K17" s="1">
        <f>Standings!K14</f>
        <v>2</v>
      </c>
      <c r="L17" s="1">
        <f>Standings!L14</f>
        <v>1</v>
      </c>
      <c r="M17" s="1"/>
      <c r="N17" s="1">
        <f>IF(TopScorers!A14="","",TopScorers!A14)</f>
        <v>13</v>
      </c>
      <c r="O17" s="1" t="str">
        <f>IF(TopScorers!B14="","",TopScorers!B14)</f>
        <v>MARCO THOMPSON</v>
      </c>
      <c r="P17" s="1" t="str">
        <f>IF(TopScorers!C14="","",TopScorers!C14)</f>
        <v>Leoni di Ricky</v>
      </c>
      <c r="Q17" s="1">
        <f>IF(TopScorers!D14="","",TopScorers!D14)</f>
        <v>3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6</v>
      </c>
      <c r="E18" s="1">
        <f>Standings!E15</f>
        <v>3</v>
      </c>
      <c r="F18" s="1">
        <f>Standings!F15</f>
        <v>1</v>
      </c>
      <c r="G18" s="1">
        <f>Standings!G15</f>
        <v>1</v>
      </c>
      <c r="H18" s="1">
        <f>Standings!H15</f>
        <v>1</v>
      </c>
      <c r="I18" s="1">
        <f>Standings!I15</f>
        <v>0</v>
      </c>
      <c r="J18" s="1">
        <f>Standings!J15</f>
        <v>1</v>
      </c>
      <c r="K18" s="1">
        <f>Standings!K15</f>
        <v>0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ANDREI BARZAGHIDEANU</v>
      </c>
      <c r="P18" s="1" t="str">
        <f>IF(TopScorers!C15="","",TopScorers!C15)</f>
        <v>Leoni di Ricky</v>
      </c>
      <c r="Q18" s="1">
        <f>IF(TopScorers!D15="","",TopScorers!D15)</f>
        <v>3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4</v>
      </c>
      <c r="E19" s="1">
        <f>Standings!E16</f>
        <v>3</v>
      </c>
      <c r="F19" s="1">
        <f>Standings!F16</f>
        <v>1</v>
      </c>
      <c r="G19" s="1">
        <f>Standings!G16</f>
        <v>0</v>
      </c>
      <c r="H19" s="1">
        <f>Standings!H16</f>
        <v>1</v>
      </c>
      <c r="I19" s="1">
        <f>Standings!I16</f>
        <v>1</v>
      </c>
      <c r="J19" s="1">
        <f>Standings!J16</f>
        <v>8</v>
      </c>
      <c r="K19" s="1">
        <f>Standings!K16</f>
        <v>4</v>
      </c>
      <c r="L19" s="1">
        <f>Standings!L16</f>
        <v>4</v>
      </c>
      <c r="M19" s="1"/>
      <c r="N19" s="1">
        <f>IF(TopScorers!A16="","",TopScorers!A16)</f>
        <v>15</v>
      </c>
      <c r="O19" s="1" t="str">
        <f>IF(TopScorers!B16="","",TopScorers!B16)</f>
        <v>NICHOLAS MILAN</v>
      </c>
      <c r="P19" s="1" t="str">
        <f>IF(TopScorers!C16="","",TopScorers!C16)</f>
        <v>Fatine FC</v>
      </c>
      <c r="Q19" s="1">
        <f>IF(TopScorers!D16="","",TopScorers!D16)</f>
        <v>2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1</v>
      </c>
      <c r="E20" s="1">
        <f>Standings!E17</f>
        <v>3</v>
      </c>
      <c r="F20" s="1">
        <f>Standings!F17</f>
        <v>0</v>
      </c>
      <c r="G20" s="1">
        <f>Standings!G17</f>
        <v>0</v>
      </c>
      <c r="H20" s="1">
        <f>Standings!H17</f>
        <v>1</v>
      </c>
      <c r="I20" s="1">
        <f>Standings!I17</f>
        <v>2</v>
      </c>
      <c r="J20" s="1">
        <f>Standings!J17</f>
        <v>3</v>
      </c>
      <c r="K20" s="1">
        <f>Standings!K17</f>
        <v>9</v>
      </c>
      <c r="L20" s="1">
        <f>Standings!L17</f>
        <v>-6</v>
      </c>
      <c r="M20" s="1"/>
      <c r="N20" s="1">
        <f>IF(TopScorers!A17="","",TopScorers!A17)</f>
        <v>16</v>
      </c>
      <c r="O20" s="1" t="str">
        <f>IF(TopScorers!B17="","",TopScorers!B17)</f>
        <v>MATTEO COL</v>
      </c>
      <c r="P20" s="1" t="str">
        <f>IF(TopScorers!C17="","",TopScorers!C17)</f>
        <v>Fatine FC</v>
      </c>
      <c r="Q20" s="1">
        <f>IF(TopScorers!D17="","",TopScorers!D17)</f>
        <v>2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IVAN DENIS SHEVERAK</v>
      </c>
      <c r="P21" s="1" t="str">
        <f>IF(TopScorers!C18="","",TopScorers!C18)</f>
        <v>FC Internazionale Rovigo</v>
      </c>
      <c r="Q21" s="1">
        <f>IF(TopScorers!D18="","",TopScorers!D18)</f>
        <v>2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AHMED ZOUZAF</v>
      </c>
      <c r="P22" s="5" t="str">
        <f>IF(TopScorers!C19="","",TopScorers!C19)</f>
        <v>FC Internazionale Rovigo</v>
      </c>
      <c r="Q22" s="1">
        <f>IF(TopScorers!D19="","",TopScorers!D19)</f>
        <v>2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360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361</v>
      </c>
      <c r="B24" s="7" t="s">
        <v>362</v>
      </c>
      <c r="C24" s="7" t="s">
        <v>346</v>
      </c>
      <c r="D24" s="7" t="s">
        <v>363</v>
      </c>
      <c r="E24" s="7" t="s">
        <v>364</v>
      </c>
      <c r="F24" s="7" t="s">
        <v>365</v>
      </c>
      <c r="G24" s="7" t="s">
        <v>366</v>
      </c>
      <c r="H24" s="7" t="s">
        <v>367</v>
      </c>
      <c r="I24" s="7" t="s">
        <v>368</v>
      </c>
      <c r="J24" s="7" t="s">
        <v>369</v>
      </c>
      <c r="K24" s="7" t="s">
        <v>370</v>
      </c>
      <c r="L24" s="7" t="s">
        <v>371</v>
      </c>
      <c r="M24" s="7" t="s">
        <v>372</v>
      </c>
      <c r="N24" s="7" t="s">
        <v>373</v>
      </c>
      <c r="O24" s="7" t="s">
        <v>374</v>
      </c>
      <c r="P24" s="7" t="s">
        <v>375</v>
      </c>
      <c r="Q24" s="7" t="s">
        <v>376</v>
      </c>
      <c r="R24" s="7" t="s">
        <v>377</v>
      </c>
      <c r="S24" s="7" t="s">
        <v>378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5</v>
      </c>
      <c r="J28" s="1">
        <f>IF(Matches!J5="","",Matches!J5)</f>
        <v>0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5 - 0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0</v>
      </c>
      <c r="K29" s="1" t="str">
        <f>IF(Matches!K6="","",Matches!K6)</f>
        <v/>
      </c>
      <c r="L29" s="1" t="str">
        <f>Matches!L6</f>
        <v>Complete</v>
      </c>
      <c r="M29" s="1">
        <f>IF(Matches!M6="","",Matches!M6)</f>
        <v>3</v>
      </c>
      <c r="N29" s="1">
        <f>IF(Matches!N6="","",Matches!N6)</f>
        <v>0</v>
      </c>
      <c r="O29" s="1" t="str">
        <f>IF(Matches!O6="","",Matches!O6)</f>
        <v>Barrio Boys</v>
      </c>
      <c r="P29" s="1" t="str">
        <f>IF(Matches!P6="","",Matches!P6)</f>
        <v>Barrio Boys 2 - 0 Cani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5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5 - 0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2</v>
      </c>
      <c r="J31" s="1">
        <f>IF(Matches!J8="","",Matches!J8)</f>
        <v>1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2 - 1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3</v>
      </c>
      <c r="J32" s="1">
        <f>IF(Matches!J9="","",Matches!J9)</f>
        <v>0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3</v>
      </c>
      <c r="N32" s="1">
        <f>IF(Matches!N9="","",Matches!N9)</f>
        <v>0</v>
      </c>
      <c r="O32" s="1" t="str">
        <f>IF(Matches!O9="","",Matches!O9)</f>
        <v>Moviola Utd</v>
      </c>
      <c r="P32" s="1" t="str">
        <f>IF(Matches!P9="","",Matches!P9)</f>
        <v>Moviola Utd 3 - 0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7</v>
      </c>
      <c r="J33" s="1">
        <f>IF(Matches!J10="","",Matches!J10)</f>
        <v>2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3</v>
      </c>
      <c r="N33" s="1">
        <f>IF(Matches!N10="","",Matches!N10)</f>
        <v>0</v>
      </c>
      <c r="O33" s="1" t="str">
        <f>IF(Matches!O10="","",Matches!O10)</f>
        <v>All Blacks</v>
      </c>
      <c r="P33" s="1" t="str">
        <f>IF(Matches!P10="","",Matches!P10)</f>
        <v>All Blacks 7 - 2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0</v>
      </c>
      <c r="J34" s="1">
        <f>IF(Matches!J11="","",Matches!J11)</f>
        <v>5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0 - 5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72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>
        <f>IF(Matches!I12="","",Matches!I12)</f>
        <v>1</v>
      </c>
      <c r="J35" s="1">
        <f>IF(Matches!J12="","",Matches!J12)</f>
        <v>1</v>
      </c>
      <c r="K35" s="1" t="str">
        <f>IF(Matches!K12="","",Matches!K12)</f>
        <v>Vecchie Glorie Rovigo</v>
      </c>
      <c r="L35" s="1" t="str">
        <f>Matches!L12</f>
        <v>Complete</v>
      </c>
      <c r="M35" s="1">
        <f>IF(Matches!M12="","",Matches!M12)</f>
        <v>2</v>
      </c>
      <c r="N35" s="1">
        <f>IF(Matches!N12="","",Matches!N12)</f>
        <v>1</v>
      </c>
      <c r="O35" s="1" t="str">
        <f>IF(Matches!O12="","",Matches!O12)</f>
        <v>Vecchie Glorie Rovigo</v>
      </c>
      <c r="P35" s="1" t="str">
        <f>IF(Matches!P12="","",Matches!P12)</f>
        <v>Vecchie Glorie Rovigo 1 - 1 Beverton (rigori: Vecchie Glorie Rovigo)</v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7.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>
        <f>IF(Matches!I13="","",Matches!I13)</f>
        <v>0</v>
      </c>
      <c r="J36" s="1">
        <f>IF(Matches!J13="","",Matches!J13)</f>
        <v>0</v>
      </c>
      <c r="K36" s="1" t="str">
        <f>IF(Matches!K13="","",Matches!K13)</f>
        <v>Boldò Glimt</v>
      </c>
      <c r="L36" s="1" t="str">
        <f>Matches!L13</f>
        <v>Complete</v>
      </c>
      <c r="M36" s="1">
        <f>IF(Matches!M13="","",Matches!M13)</f>
        <v>2</v>
      </c>
      <c r="N36" s="1">
        <f>IF(Matches!N13="","",Matches!N13)</f>
        <v>1</v>
      </c>
      <c r="O36" s="1" t="str">
        <f>IF(Matches!O13="","",Matches!O13)</f>
        <v>Boldò Glimt</v>
      </c>
      <c r="P36" s="1" t="str">
        <f>IF(Matches!P13="","",Matches!P13)</f>
        <v>Boldò Glimt 0 - 0 Piadineria la Salsiccia (rigori: Boldò Glimt)</v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43.2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>
        <f>IF(Matches!I14="","",Matches!I14)</f>
        <v>1</v>
      </c>
      <c r="J37" s="1">
        <f>IF(Matches!J14="","",Matches!J14)</f>
        <v>1</v>
      </c>
      <c r="K37" s="1" t="str">
        <f>IF(Matches!K14="","",Matches!K14)</f>
        <v>Barrio Boys</v>
      </c>
      <c r="L37" s="1" t="str">
        <f>Matches!L14</f>
        <v>Complete</v>
      </c>
      <c r="M37" s="1">
        <f>IF(Matches!M14="","",Matches!M14)</f>
        <v>1</v>
      </c>
      <c r="N37" s="1">
        <f>IF(Matches!N14="","",Matches!N14)</f>
        <v>2</v>
      </c>
      <c r="O37" s="1" t="str">
        <f>IF(Matches!O14="","",Matches!O14)</f>
        <v>Barrio Boys</v>
      </c>
      <c r="P37" s="1" t="str">
        <f>IF(Matches!P14="","",Matches!P14)</f>
        <v>Leoni di Ricky 1 - 1 Barrio Boys (rigori: Barrio Boys)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>
        <f>IF(Matches!I15="","",Matches!I15)</f>
        <v>4</v>
      </c>
      <c r="J38" s="1">
        <f>IF(Matches!J15="","",Matches!J15)</f>
        <v>2</v>
      </c>
      <c r="K38" s="1" t="str">
        <f>IF(Matches!K15="","",Matches!K15)</f>
        <v/>
      </c>
      <c r="L38" s="1" t="str">
        <f>Matches!L15</f>
        <v>Complete</v>
      </c>
      <c r="M38" s="1">
        <f>IF(Matches!M15="","",Matches!M15)</f>
        <v>3</v>
      </c>
      <c r="N38" s="1">
        <f>IF(Matches!N15="","",Matches!N15)</f>
        <v>0</v>
      </c>
      <c r="O38" s="1" t="str">
        <f>IF(Matches!O15="","",Matches!O15)</f>
        <v>Pink 5ive</v>
      </c>
      <c r="P38" s="1" t="str">
        <f>IF(Matches!P15="","",Matches!P15)</f>
        <v>Pink 5ive 4 - 2 Cani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8.8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>
        <f>IF(Matches!I16="","",Matches!I16)</f>
        <v>1</v>
      </c>
      <c r="J39" s="1">
        <f>IF(Matches!J16="","",Matches!J16)</f>
        <v>4</v>
      </c>
      <c r="K39" s="1" t="str">
        <f>IF(Matches!K16="","",Matches!K16)</f>
        <v/>
      </c>
      <c r="L39" s="1" t="str">
        <f>Matches!L16</f>
        <v>Complete</v>
      </c>
      <c r="M39" s="1">
        <f>IF(Matches!M16="","",Matches!M16)</f>
        <v>0</v>
      </c>
      <c r="N39" s="1">
        <f>IF(Matches!N16="","",Matches!N16)</f>
        <v>3</v>
      </c>
      <c r="O39" s="1" t="str">
        <f>IF(Matches!O16="","",Matches!O16)</f>
        <v>Moviola Utd</v>
      </c>
      <c r="P39" s="1" t="str">
        <f>IF(Matches!P16="","",Matches!P16)</f>
        <v>Fatine FC 1 - 4 Moviola Utd</v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72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>
        <f>IF(Matches!I17="","",Matches!I17)</f>
        <v>0</v>
      </c>
      <c r="J40" s="1">
        <f>IF(Matches!J17="","",Matches!J17)</f>
        <v>0</v>
      </c>
      <c r="K40" s="1" t="str">
        <f>IF(Matches!K17="","",Matches!K17)</f>
        <v>Piadineria la Salsiccia</v>
      </c>
      <c r="L40" s="1" t="str">
        <f>Matches!L17</f>
        <v>Complete</v>
      </c>
      <c r="M40" s="1">
        <f>IF(Matches!M17="","",Matches!M17)</f>
        <v>1</v>
      </c>
      <c r="N40" s="1">
        <f>IF(Matches!N17="","",Matches!N17)</f>
        <v>2</v>
      </c>
      <c r="O40" s="1" t="str">
        <f>IF(Matches!O17="","",Matches!O17)</f>
        <v>Piadineria la Salsiccia</v>
      </c>
      <c r="P40" s="1" t="str">
        <f>IF(Matches!P17="","",Matches!P17)</f>
        <v>All Blacks 0 - 0 Piadineria la Salsiccia (rigori: Piadineria la Salsiccia)</v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3.2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>
        <f>IF(Matches!I18="","",Matches!I18)</f>
        <v>1</v>
      </c>
      <c r="J41" s="1">
        <f>IF(Matches!J18="","",Matches!J18)</f>
        <v>1</v>
      </c>
      <c r="K41" s="1" t="str">
        <f>IF(Matches!K18="","",Matches!K18)</f>
        <v>Boldò Glimt</v>
      </c>
      <c r="L41" s="1" t="str">
        <f>Matches!L18</f>
        <v>Complete</v>
      </c>
      <c r="M41" s="1">
        <f>IF(Matches!M18="","",Matches!M18)</f>
        <v>2</v>
      </c>
      <c r="N41" s="1">
        <f>IF(Matches!N18="","",Matches!N18)</f>
        <v>1</v>
      </c>
      <c r="O41" s="1" t="str">
        <f>IF(Matches!O18="","",Matches!O18)</f>
        <v>Boldò Glimt</v>
      </c>
      <c r="P41" s="1" t="str">
        <f>IF(Matches!P18="","",Matches!P18)</f>
        <v>Boldò Glimt 1 - 1 Coca Juniors (rigori: Boldò Glimt)</v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43.2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>
        <f>IF(Matches!I19="","",Matches!I19)</f>
        <v>4</v>
      </c>
      <c r="J42" s="1">
        <f>IF(Matches!J19="","",Matches!J19)</f>
        <v>0</v>
      </c>
      <c r="K42" s="1" t="str">
        <f>IF(Matches!K19="","",Matches!K19)</f>
        <v/>
      </c>
      <c r="L42" s="1" t="str">
        <f>Matches!L19</f>
        <v>Complete</v>
      </c>
      <c r="M42" s="1">
        <f>IF(Matches!M19="","",Matches!M19)</f>
        <v>3</v>
      </c>
      <c r="N42" s="1">
        <f>IF(Matches!N19="","",Matches!N19)</f>
        <v>0</v>
      </c>
      <c r="O42" s="1" t="str">
        <f>IF(Matches!O19="","",Matches!O19)</f>
        <v>FC Internazionale Rovigo</v>
      </c>
      <c r="P42" s="1" t="str">
        <f>IF(Matches!P19="","",Matches!P19)</f>
        <v>FC Internazionale Rovigo 4 - 0 Astolfi Impianti Elettrici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8.8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>
        <f>IF(Matches!I20="","",Matches!I20)</f>
        <v>1</v>
      </c>
      <c r="J43" s="1">
        <f>IF(Matches!J20="","",Matches!J20)</f>
        <v>4</v>
      </c>
      <c r="K43" s="1" t="str">
        <f>IF(Matches!K20="","",Matches!K20)</f>
        <v/>
      </c>
      <c r="L43" s="1" t="str">
        <f>Matches!L20</f>
        <v>Complete</v>
      </c>
      <c r="M43" s="1">
        <f>IF(Matches!M20="","",Matches!M20)</f>
        <v>0</v>
      </c>
      <c r="N43" s="1">
        <f>IF(Matches!N20="","",Matches!N20)</f>
        <v>3</v>
      </c>
      <c r="O43" s="1" t="str">
        <f>IF(Matches!O20="","",Matches!O20)</f>
        <v>Beverton</v>
      </c>
      <c r="P43" s="1" t="str">
        <f>IF(Matches!P20="","",Matches!P20)</f>
        <v>Totani 1 - 4 Beverton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43.2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>
        <f>IF(Matches!I21="","",Matches!I21)</f>
        <v>0</v>
      </c>
      <c r="J44" s="1">
        <f>IF(Matches!J21="","",Matches!J21)</f>
        <v>3</v>
      </c>
      <c r="K44" s="1" t="str">
        <f>IF(Matches!K21="","",Matches!K21)</f>
        <v/>
      </c>
      <c r="L44" s="1" t="str">
        <f>Matches!L21</f>
        <v>Complete</v>
      </c>
      <c r="M44" s="1">
        <f>IF(Matches!M21="","",Matches!M21)</f>
        <v>0</v>
      </c>
      <c r="N44" s="1">
        <f>IF(Matches!N21="","",Matches!N21)</f>
        <v>3</v>
      </c>
      <c r="O44" s="1" t="str">
        <f>IF(Matches!O21="","",Matches!O21)</f>
        <v>AS Bancatore</v>
      </c>
      <c r="P44" s="1" t="str">
        <f>IF(Matches!P21="","",Matches!P21)</f>
        <v>Vecchie Glorie Rovigo 0 - 3 AS Bancatore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8.8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>
        <f>IF(Matches!I22="","",Matches!I22)</f>
        <v>6</v>
      </c>
      <c r="J45" s="1">
        <f>IF(Matches!J22="","",Matches!J22)</f>
        <v>0</v>
      </c>
      <c r="K45" s="1" t="str">
        <f>IF(Matches!K22="","",Matches!K22)</f>
        <v/>
      </c>
      <c r="L45" s="1" t="str">
        <f>Matches!L22</f>
        <v>Complete</v>
      </c>
      <c r="M45" s="1">
        <f>IF(Matches!M22="","",Matches!M22)</f>
        <v>3</v>
      </c>
      <c r="N45" s="1">
        <f>IF(Matches!N22="","",Matches!N22)</f>
        <v>0</v>
      </c>
      <c r="O45" s="1" t="str">
        <f>IF(Matches!O22="","",Matches!O22)</f>
        <v>Leoni di Ricky</v>
      </c>
      <c r="P45" s="1" t="str">
        <f>IF(Matches!P22="","",Matches!P22)</f>
        <v>Leoni di Ricky 6 - 0 Cani</v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3.2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>
        <f>IF(Matches!I23="","",Matches!I23)</f>
        <v>4</v>
      </c>
      <c r="J46" s="1">
        <f>IF(Matches!J23="","",Matches!J23)</f>
        <v>0</v>
      </c>
      <c r="K46" s="1" t="str">
        <f>IF(Matches!K23="","",Matches!K23)</f>
        <v/>
      </c>
      <c r="L46" s="1" t="str">
        <f>Matches!L23</f>
        <v>Complete</v>
      </c>
      <c r="M46" s="1">
        <f>IF(Matches!M23="","",Matches!M23)</f>
        <v>3</v>
      </c>
      <c r="N46" s="1">
        <f>IF(Matches!N23="","",Matches!N23)</f>
        <v>0</v>
      </c>
      <c r="O46" s="1" t="str">
        <f>IF(Matches!O23="","",Matches!O23)</f>
        <v>Fatine FC</v>
      </c>
      <c r="P46" s="1" t="str">
        <f>IF(Matches!P23="","",Matches!P23)</f>
        <v>Fatine FC 4 - 0 Astolfi Impianti Elettrici</v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72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>
        <f>IF(Matches!I24="","",Matches!I24)</f>
        <v>1</v>
      </c>
      <c r="J47" s="1">
        <f>IF(Matches!J24="","",Matches!J24)</f>
        <v>1</v>
      </c>
      <c r="K47" s="1" t="str">
        <f>IF(Matches!K24="","",Matches!K24)</f>
        <v>FC Internazionale Rovigo</v>
      </c>
      <c r="L47" s="1" t="str">
        <f>Matches!L24</f>
        <v>Complete</v>
      </c>
      <c r="M47" s="1">
        <f>IF(Matches!M24="","",Matches!M24)</f>
        <v>2</v>
      </c>
      <c r="N47" s="1">
        <f>IF(Matches!N24="","",Matches!N24)</f>
        <v>1</v>
      </c>
      <c r="O47" s="1" t="str">
        <f>IF(Matches!O24="","",Matches!O24)</f>
        <v>FC Internazionale Rovigo</v>
      </c>
      <c r="P47" s="1" t="str">
        <f>IF(Matches!P24="","",Matches!P24)</f>
        <v>FC Internazionale Rovigo 1 - 1 Moviola Utd (rigori: FC Internazionale Rovigo)</v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8.8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>
        <f>IF(Matches!I25="","",Matches!I25)</f>
        <v>1</v>
      </c>
      <c r="J48" s="1">
        <f>IF(Matches!J25="","",Matches!J25)</f>
        <v>4</v>
      </c>
      <c r="K48" s="1" t="str">
        <f>IF(Matches!K25="","",Matches!K25)</f>
        <v/>
      </c>
      <c r="L48" s="1" t="str">
        <f>Matches!L25</f>
        <v>Complete</v>
      </c>
      <c r="M48" s="1">
        <f>IF(Matches!M25="","",Matches!M25)</f>
        <v>0</v>
      </c>
      <c r="N48" s="1">
        <f>IF(Matches!N25="","",Matches!N25)</f>
        <v>3</v>
      </c>
      <c r="O48" s="1" t="str">
        <f>IF(Matches!O25="","",Matches!O25)</f>
        <v>Barrio Boys</v>
      </c>
      <c r="P48" s="1" t="str">
        <f>IF(Matches!P25="","",Matches!P25)</f>
        <v>Pink 5ive 1 - 4 Barrio Boys</v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>FILIPPO VENDRAMIN</v>
      </c>
      <c r="P49" s="1" t="str">
        <f>IF(TopScorers!C46="","",TopScorers!C46)</f>
        <v>Beverton</v>
      </c>
      <c r="Q49" s="1">
        <f>IF(TopScorers!D46="","",TopScorers!D46)</f>
        <v>1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>POKOU ANTHONY</v>
      </c>
      <c r="P50" s="1" t="str">
        <f>IF(TopScorers!C47="","",TopScorers!C47)</f>
        <v>Beverton</v>
      </c>
      <c r="Q50" s="1">
        <f>IF(TopScorers!D47="","",TopScorers!D47)</f>
        <v>1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ht="28.8" x14ac:dyDescent="0.3">
      <c r="A51" s="22" t="s">
        <v>379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>GIACOMO BORTOLIERO</v>
      </c>
      <c r="P51" s="1" t="str">
        <f>IF(TopScorers!C48="","",TopScorers!C48)</f>
        <v>Leoni di Ricky</v>
      </c>
      <c r="Q51" s="1">
        <f>IF(TopScorers!D48="","",TopScorers!D48)</f>
        <v>1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361</v>
      </c>
      <c r="B52" s="7" t="s">
        <v>362</v>
      </c>
      <c r="C52" s="7" t="s">
        <v>346</v>
      </c>
      <c r="D52" s="7" t="s">
        <v>363</v>
      </c>
      <c r="E52" s="7" t="s">
        <v>364</v>
      </c>
      <c r="F52" s="7" t="s">
        <v>365</v>
      </c>
      <c r="G52" s="1" t="s">
        <v>366</v>
      </c>
      <c r="H52" s="1" t="s">
        <v>367</v>
      </c>
      <c r="I52" s="1" t="s">
        <v>368</v>
      </c>
      <c r="J52" s="1" t="s">
        <v>369</v>
      </c>
      <c r="K52" s="1" t="s">
        <v>370</v>
      </c>
      <c r="L52" s="1" t="s">
        <v>374</v>
      </c>
      <c r="M52" s="1" t="s">
        <v>375</v>
      </c>
      <c r="N52" s="1">
        <f>IF(TopScorers!A49="","",TopScorers!A49)</f>
        <v>48</v>
      </c>
      <c r="O52" s="1" t="str">
        <f>IF(TopScorers!B49="","",TopScorers!B49)</f>
        <v>NICCOLO' PALTANIN</v>
      </c>
      <c r="P52" s="1" t="str">
        <f>IF(TopScorers!C49="","",TopScorers!C49)</f>
        <v>Pink 5ive</v>
      </c>
      <c r="Q52" s="1">
        <f>IF(TopScorers!D49="","",TopScorers!D49)</f>
        <v>1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 t="str">
        <f>Knockout!G2</f>
        <v>Fatine FC</v>
      </c>
      <c r="H53" s="1" t="str">
        <f>Knockout!H2</f>
        <v>Barrio Boys</v>
      </c>
      <c r="I53" s="1">
        <f>IF(Knockout!I2="","",Knockout!I2)</f>
        <v>1</v>
      </c>
      <c r="J53" s="1">
        <f>IF(Knockout!J2="","",Knockout!J2)</f>
        <v>2</v>
      </c>
      <c r="K53" s="1" t="str">
        <f>IF(Knockout!K2="","",Knockout!K2)</f>
        <v/>
      </c>
      <c r="L53" s="1" t="str">
        <f>IF(Knockout!L2="","",Knockout!L2)</f>
        <v>Barrio Boys</v>
      </c>
      <c r="M53" s="1" t="str">
        <f>IF(Knockout!M2="","",Knockout!M2)</f>
        <v>Fatine FC 1 - 2 Barrio Boys</v>
      </c>
      <c r="N53" s="1">
        <f>IF(TopScorers!A50="","",TopScorers!A50)</f>
        <v>49</v>
      </c>
      <c r="O53" s="1" t="str">
        <f>IF(TopScorers!B50="","",TopScorers!B50)</f>
        <v>MATTEO CAMPION</v>
      </c>
      <c r="P53" s="1" t="str">
        <f>IF(TopScorers!C50="","",TopScorers!C50)</f>
        <v>Pink 5ive</v>
      </c>
      <c r="Q53" s="1">
        <f>IF(TopScorers!D50="","",TopScorers!D50)</f>
        <v>1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ht="57.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 t="str">
        <f>Knockout!G3</f>
        <v>AS Bancatore</v>
      </c>
      <c r="H54" s="1" t="str">
        <f>Knockout!H3</f>
        <v>Piadineria la Salsiccia</v>
      </c>
      <c r="I54" s="1">
        <f>IF(Knockout!I3="","",Knockout!I3)</f>
        <v>3</v>
      </c>
      <c r="J54" s="1">
        <f>IF(Knockout!J3="","",Knockout!J3)</f>
        <v>3</v>
      </c>
      <c r="K54" s="1" t="str">
        <f>IF(Knockout!K3="","",Knockout!K3)</f>
        <v>AS Bancatore</v>
      </c>
      <c r="L54" s="1" t="str">
        <f>IF(Knockout!L3="","",Knockout!L3)</f>
        <v>AS Bancatore</v>
      </c>
      <c r="M54" s="1" t="str">
        <f>IF(Knockout!M3="","",Knockout!M3)</f>
        <v>AS Bancatore 3 - 3 Piadineria la Salsiccia (rigori: AS Bancatore)</v>
      </c>
      <c r="N54" s="1">
        <f>IF(TopScorers!A51="","",TopScorers!A51)</f>
        <v>50</v>
      </c>
      <c r="O54" s="1" t="str">
        <f>IF(TopScorers!B51="","",TopScorers!B51)</f>
        <v>LUCA BERNARDINELLO</v>
      </c>
      <c r="P54" s="1" t="str">
        <f>IF(TopScorers!C51="","",TopScorers!C51)</f>
        <v>Pink 5ive</v>
      </c>
      <c r="Q54" s="1">
        <f>IF(TopScorers!D51="","",TopScorers!D51)</f>
        <v>1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ht="28.8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 t="str">
        <f>Knockout!G4</f>
        <v>Moviola Utd</v>
      </c>
      <c r="H55" s="1" t="str">
        <f>Knockout!H4</f>
        <v>Leoni di Ricky</v>
      </c>
      <c r="I55" s="1">
        <f>IF(Knockout!I4="","",Knockout!I4)</f>
        <v>1</v>
      </c>
      <c r="J55" s="1">
        <f>IF(Knockout!J4="","",Knockout!J4)</f>
        <v>6</v>
      </c>
      <c r="K55" s="1" t="str">
        <f>IF(Knockout!K4="","",Knockout!K4)</f>
        <v/>
      </c>
      <c r="L55" s="1" t="str">
        <f>IF(Knockout!L4="","",Knockout!L4)</f>
        <v>Leoni di Ricky</v>
      </c>
      <c r="M55" s="1" t="str">
        <f>IF(Knockout!M4="","",Knockout!M4)</f>
        <v>Moviola Utd 1 - 6 Leoni di Ricky</v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ht="43.2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 t="str">
        <f>Knockout!G5</f>
        <v>Vecchie Glorie Rovigo</v>
      </c>
      <c r="H56" s="1" t="str">
        <f>Knockout!H5</f>
        <v>Boldò Glimt</v>
      </c>
      <c r="I56" s="1">
        <f>IF(Knockout!I5="","",Knockout!I5)</f>
        <v>1</v>
      </c>
      <c r="J56" s="1">
        <f>IF(Knockout!J5="","",Knockout!J5)</f>
        <v>2</v>
      </c>
      <c r="K56" s="1" t="str">
        <f>IF(Knockout!K5="","",Knockout!K5)</f>
        <v/>
      </c>
      <c r="L56" s="1" t="str">
        <f>IF(Knockout!L5="","",Knockout!L5)</f>
        <v>Boldò Glimt</v>
      </c>
      <c r="M56" s="1" t="str">
        <f>IF(Knockout!M5="","",Knockout!M5)</f>
        <v>Vecchie Glorie Rovigo 1 - 2 Boldò Glimt</v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 t="str">
        <f>Knockout!G6</f>
        <v>Barrio Boys</v>
      </c>
      <c r="H57" s="1" t="str">
        <f>Knockout!H6</f>
        <v>AS Bancatore</v>
      </c>
      <c r="I57" s="1">
        <f>IF(Knockout!I6="","",Knockout!I6)</f>
        <v>6</v>
      </c>
      <c r="J57" s="1">
        <f>IF(Knockout!J6="","",Knockout!J6)</f>
        <v>1</v>
      </c>
      <c r="K57" s="1" t="str">
        <f>IF(Knockout!K6="","",Knockout!K6)</f>
        <v/>
      </c>
      <c r="L57" s="1" t="str">
        <f>IF(Knockout!L6="","",Knockout!L6)</f>
        <v>Barrio Boys</v>
      </c>
      <c r="M57" s="1" t="str">
        <f>IF(Knockout!M6="","",Knockout!M6)</f>
        <v>Barrio Boys 6 - 1 AS Bancatore</v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ht="28.8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 t="str">
        <f>Knockout!G7</f>
        <v>Leoni di Ricky</v>
      </c>
      <c r="H58" s="1" t="str">
        <f>Knockout!H7</f>
        <v>Boldò Glimt</v>
      </c>
      <c r="I58" s="1">
        <f>IF(Knockout!I7="","",Knockout!I7)</f>
        <v>3</v>
      </c>
      <c r="J58" s="1">
        <f>IF(Knockout!J7="","",Knockout!J7)</f>
        <v>1</v>
      </c>
      <c r="K58" s="1" t="str">
        <f>IF(Knockout!K7="","",Knockout!K7)</f>
        <v/>
      </c>
      <c r="L58" s="1" t="str">
        <f>IF(Knockout!L7="","",Knockout!L7)</f>
        <v>Leoni di Ricky</v>
      </c>
      <c r="M58" s="1" t="str">
        <f>IF(Knockout!M7="","",Knockout!M7)</f>
        <v>Leoni di Ricky 3 - 1 Boldò Glimt</v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 t="str">
        <f>Knockout!G8</f>
        <v>Barrio Boys</v>
      </c>
      <c r="H59" s="1" t="str">
        <f>Knockout!H8</f>
        <v>Leoni di Ricky</v>
      </c>
      <c r="I59" s="1">
        <f>IF(Knockout!I8="","",Knockout!I8)</f>
        <v>3</v>
      </c>
      <c r="J59" s="1">
        <f>IF(Knockout!J8="","",Knockout!J8)</f>
        <v>4</v>
      </c>
      <c r="K59" s="1" t="str">
        <f>IF(Knockout!K8="","",Knockout!K8)</f>
        <v/>
      </c>
      <c r="L59" s="1" t="str">
        <f>IF(Knockout!L8="","",Knockout!L8)</f>
        <v>Leoni di Ricky</v>
      </c>
      <c r="M59" s="1" t="str">
        <f>IF(Knockout!M8="","",Knockout!M8)</f>
        <v>Barrio Boys 3 - 4 Leoni di Ricky</v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380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361</v>
      </c>
      <c r="B62" s="7" t="s">
        <v>381</v>
      </c>
      <c r="C62" s="7" t="s">
        <v>382</v>
      </c>
      <c r="D62" s="7" t="s">
        <v>383</v>
      </c>
      <c r="E62" s="7" t="s">
        <v>358</v>
      </c>
      <c r="F62" s="7" t="s">
        <v>384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28.8" x14ac:dyDescent="0.3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43.2" x14ac:dyDescent="0.3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43.2" x14ac:dyDescent="0.3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43.2" x14ac:dyDescent="0.3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43.2" x14ac:dyDescent="0.3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3 - LEONARDO MAGGIO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3 - LEONARDO MAGGIO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Leoni di Ricky</v>
      </c>
      <c r="C102" s="1">
        <f>IF(Goals!A41="","",Goals!C41)</f>
        <v>4</v>
      </c>
      <c r="D102" s="1" t="str">
        <f>IF(Goals!A41="","",Goals!D41)</f>
        <v>Goal</v>
      </c>
      <c r="E102" s="1" t="str">
        <f>IF(Goals!A41="","",Goals!E41)</f>
        <v>10 - ANDREI BARZAGHIDEANU</v>
      </c>
      <c r="F102" s="1" t="str">
        <f>IF(Goals!A41="","",Goals!F41)</f>
        <v>Leoni di Ricky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Leoni di Ricky</v>
      </c>
      <c r="C103" s="1">
        <f>IF(Goals!A42="","",Goals!C42)</f>
        <v>5</v>
      </c>
      <c r="D103" s="1" t="str">
        <f>IF(Goals!A42="","",Goals!D42)</f>
        <v>Goal</v>
      </c>
      <c r="E103" s="1" t="str">
        <f>IF(Goals!A42="","",Goals!E42)</f>
        <v>14 - VLAD GABRIEL DUMINICA</v>
      </c>
      <c r="F103" s="1" t="str">
        <f>IF(Goals!A42="","",Goals!F42)</f>
        <v>Leoni di Ricky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14 - EDOARDO CAVALLARI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18 - MATTEO FERRO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9 - IGNAZIO BADALÌ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8.8" x14ac:dyDescent="0.3">
      <c r="A124" s="1" t="str">
        <f>IF(Goals!A63="","",Goals!A63)</f>
        <v>M06</v>
      </c>
      <c r="B124" s="1" t="str">
        <f>IF(Goals!A63="","",Goals!B63)</f>
        <v>AS Bancatore</v>
      </c>
      <c r="C124" s="1">
        <f>IF(Goals!A63="","",Goals!C63)</f>
        <v>2</v>
      </c>
      <c r="D124" s="1" t="str">
        <f>IF(Goals!A63="","",Goals!D63)</f>
        <v>Goal</v>
      </c>
      <c r="E124" s="1" t="str">
        <f>IF(Goals!A63="","",Goals!E63)</f>
        <v>9 - IGNAZIO BADALÌ</v>
      </c>
      <c r="F124" s="1" t="str">
        <f>IF(Goals!A63="","",Goals!F63)</f>
        <v>AS Bancatore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8.8" x14ac:dyDescent="0.3">
      <c r="A125" s="1" t="str">
        <f>IF(Goals!A64="","",Goals!A64)</f>
        <v>M06</v>
      </c>
      <c r="B125" s="1" t="str">
        <f>IF(Goals!A64="","",Goals!B64)</f>
        <v>AS Bancatore</v>
      </c>
      <c r="C125" s="1">
        <f>IF(Goals!A64="","",Goals!C64)</f>
        <v>3</v>
      </c>
      <c r="D125" s="1" t="str">
        <f>IF(Goals!A64="","",Goals!D64)</f>
        <v>Goal</v>
      </c>
      <c r="E125" s="1" t="str">
        <f>IF(Goals!A64="","",Goals!E64)</f>
        <v>5 - MATTEO LONGO</v>
      </c>
      <c r="F125" s="1" t="str">
        <f>IF(Goals!A64="","",Goals!F64)</f>
        <v>AS Bancatore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8.8" x14ac:dyDescent="0.3">
      <c r="A126" s="1" t="str">
        <f>IF(Goals!A65="","",Goals!A65)</f>
        <v>M06</v>
      </c>
      <c r="B126" s="1" t="str">
        <f>IF(Goals!A65="","",Goals!B65)</f>
        <v>AS Bancatore</v>
      </c>
      <c r="C126" s="1">
        <f>IF(Goals!A65="","",Goals!C65)</f>
        <v>4</v>
      </c>
      <c r="D126" s="1" t="str">
        <f>IF(Goals!A65="","",Goals!D65)</f>
        <v>Goal</v>
      </c>
      <c r="E126" s="1" t="str">
        <f>IF(Goals!A65="","",Goals!E65)</f>
        <v>10 - GIANLUCA FREZZATI</v>
      </c>
      <c r="F126" s="1" t="str">
        <f>IF(Goals!A65="","",Goals!F65)</f>
        <v>AS Bancatore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8.8" x14ac:dyDescent="0.3">
      <c r="A127" s="1" t="str">
        <f>IF(Goals!A66="","",Goals!A66)</f>
        <v>M06</v>
      </c>
      <c r="B127" s="1" t="str">
        <f>IF(Goals!A66="","",Goals!B66)</f>
        <v>AS Bancatore</v>
      </c>
      <c r="C127" s="1">
        <f>IF(Goals!A66="","",Goals!C66)</f>
        <v>5</v>
      </c>
      <c r="D127" s="1" t="str">
        <f>IF(Goals!A66="","",Goals!D66)</f>
        <v>Goal</v>
      </c>
      <c r="E127" s="1" t="str">
        <f>IF(Goals!A66="","",Goals!E66)</f>
        <v>17 - NICOLA BARONI</v>
      </c>
      <c r="F127" s="1" t="str">
        <f>IF(Goals!A66="","",Goals!F66)</f>
        <v>AS Bancatore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99 - GIOVANNI BALLO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7 - NICHOLAS MILAN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>M07</v>
      </c>
      <c r="B137" s="1" t="str">
        <f>IF(Goals!A76="","",Goals!B76)</f>
        <v>FC Internazionale Rovigo</v>
      </c>
      <c r="C137" s="1">
        <f>IF(Goals!A76="","",Goals!C76)</f>
        <v>1</v>
      </c>
      <c r="D137" s="1" t="str">
        <f>IF(Goals!A76="","",Goals!D76)</f>
        <v>Goal</v>
      </c>
      <c r="E137" s="1" t="str">
        <f>IF(Goals!A76="","",Goals!E76)</f>
        <v>20 - IVAN DENIS SHEVERAK</v>
      </c>
      <c r="F137" s="1" t="str">
        <f>IF(Goals!A76="","",Goals!F76)</f>
        <v>FC Internazionale Rovigo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70 - FILIPPO SCARANELLO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20 - NICO PAVANI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>M08</v>
      </c>
      <c r="B149" s="1" t="str">
        <f>IF(Goals!A88="","",Goals!B88)</f>
        <v>Moviola Utd</v>
      </c>
      <c r="C149" s="1">
        <f>IF(Goals!A88="","",Goals!C88)</f>
        <v>3</v>
      </c>
      <c r="D149" s="1" t="str">
        <f>IF(Goals!A88="","",Goals!D88)</f>
        <v>Goal</v>
      </c>
      <c r="E149" s="1" t="str">
        <f>IF(Goals!A88="","",Goals!E88)</f>
        <v>2 - MATTEO NATALI</v>
      </c>
      <c r="F149" s="1" t="str">
        <f>IF(Goals!A88="","",Goals!F88)</f>
        <v>Moviola Utd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5 - NICOLA BRESCIANI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5 - NICOLA BRESCIANI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>M09</v>
      </c>
      <c r="B162" s="1" t="str">
        <f>IF(Goals!A101="","",Goals!B101)</f>
        <v>All Blacks</v>
      </c>
      <c r="C162" s="1">
        <f>IF(Goals!A101="","",Goals!C101)</f>
        <v>4</v>
      </c>
      <c r="D162" s="1" t="str">
        <f>IF(Goals!A101="","",Goals!D101)</f>
        <v>Goal</v>
      </c>
      <c r="E162" s="1" t="str">
        <f>IF(Goals!A101="","",Goals!E101)</f>
        <v>7 - NICHOLAS MOSCHINI</v>
      </c>
      <c r="F162" s="1" t="str">
        <f>IF(Goals!A101="","",Goals!F101)</f>
        <v>All Blacks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>M09</v>
      </c>
      <c r="B163" s="1" t="str">
        <f>IF(Goals!A102="","",Goals!B102)</f>
        <v>All Blacks</v>
      </c>
      <c r="C163" s="1">
        <f>IF(Goals!A102="","",Goals!C102)</f>
        <v>5</v>
      </c>
      <c r="D163" s="1" t="str">
        <f>IF(Goals!A102="","",Goals!D102)</f>
        <v>Goal</v>
      </c>
      <c r="E163" s="1" t="str">
        <f>IF(Goals!A102="","",Goals!E102)</f>
        <v>7 - NICHOLAS MOSCHINI</v>
      </c>
      <c r="F163" s="1" t="str">
        <f>IF(Goals!A102="","",Goals!F102)</f>
        <v>All Blacks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>M09</v>
      </c>
      <c r="B164" s="1" t="str">
        <f>IF(Goals!A103="","",Goals!B103)</f>
        <v>All Blacks</v>
      </c>
      <c r="C164" s="1">
        <f>IF(Goals!A103="","",Goals!C103)</f>
        <v>6</v>
      </c>
      <c r="D164" s="1" t="str">
        <f>IF(Goals!A103="","",Goals!D103)</f>
        <v>Goal</v>
      </c>
      <c r="E164" s="1" t="str">
        <f>IF(Goals!A103="","",Goals!E103)</f>
        <v>10 - FILIPPO CLEMENTE</v>
      </c>
      <c r="F164" s="1" t="str">
        <f>IF(Goals!A103="","",Goals!F103)</f>
        <v>All Blacks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>M09</v>
      </c>
      <c r="B165" s="1" t="str">
        <f>IF(Goals!A104="","",Goals!B104)</f>
        <v>All Blacks</v>
      </c>
      <c r="C165" s="1">
        <f>IF(Goals!A104="","",Goals!C104)</f>
        <v>7</v>
      </c>
      <c r="D165" s="1" t="str">
        <f>IF(Goals!A104="","",Goals!D104)</f>
        <v>Goal</v>
      </c>
      <c r="E165" s="1" t="str">
        <f>IF(Goals!A104="","",Goals!E104)</f>
        <v>6 - DAVIDE BEDESCHI</v>
      </c>
      <c r="F165" s="1" t="str">
        <f>IF(Goals!A104="","",Goals!F104)</f>
        <v>All Blacks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8.8" x14ac:dyDescent="0.3">
      <c r="A166" s="1" t="str">
        <f>IF(Goals!A105="","",Goals!A105)</f>
        <v>M09</v>
      </c>
      <c r="B166" s="1" t="str">
        <f>IF(Goals!A105="","",Goals!B105)</f>
        <v>Coca Juniors</v>
      </c>
      <c r="C166" s="1">
        <f>IF(Goals!A105="","",Goals!C105)</f>
        <v>1</v>
      </c>
      <c r="D166" s="1" t="str">
        <f>IF(Goals!A105="","",Goals!D105)</f>
        <v>Goal</v>
      </c>
      <c r="E166" s="1" t="str">
        <f>IF(Goals!A105="","",Goals!E105)</f>
        <v>3 - KEVIN DOBROZI</v>
      </c>
      <c r="F166" s="1" t="str">
        <f>IF(Goals!A105="","",Goals!F105)</f>
        <v>Coca Juniors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8.8" x14ac:dyDescent="0.3">
      <c r="A167" s="1" t="str">
        <f>IF(Goals!A106="","",Goals!A106)</f>
        <v>M09</v>
      </c>
      <c r="B167" s="1" t="str">
        <f>IF(Goals!A106="","",Goals!B106)</f>
        <v>Coca Juniors</v>
      </c>
      <c r="C167" s="1">
        <f>IF(Goals!A106="","",Goals!C106)</f>
        <v>2</v>
      </c>
      <c r="D167" s="1" t="str">
        <f>IF(Goals!A106="","",Goals!D106)</f>
        <v>Goal</v>
      </c>
      <c r="E167" s="1" t="str">
        <f>IF(Goals!A106="","",Goals!E106)</f>
        <v>23 - EMANUELE VERONESE</v>
      </c>
      <c r="F167" s="1" t="str">
        <f>IF(Goals!A106="","",Goals!F106)</f>
        <v>Coca Juniors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8.8" x14ac:dyDescent="0.3">
      <c r="A171" s="1" t="str">
        <f>IF(Goals!A110="","",Goals!A110)</f>
        <v>M10</v>
      </c>
      <c r="B171" s="1" t="str">
        <f>IF(Goals!A110="","",Goals!B110)</f>
        <v>AS Bancatore</v>
      </c>
      <c r="C171" s="1">
        <f>IF(Goals!A110="","",Goals!C110)</f>
        <v>1</v>
      </c>
      <c r="D171" s="1" t="str">
        <f>IF(Goals!A110="","",Goals!D110)</f>
        <v>Goal</v>
      </c>
      <c r="E171" s="1" t="str">
        <f>IF(Goals!A110="","",Goals!E110)</f>
        <v>9 - IGNAZIO BADALÌ</v>
      </c>
      <c r="F171" s="1" t="str">
        <f>IF(Goals!A110="","",Goals!F110)</f>
        <v>AS Bancatore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>M10</v>
      </c>
      <c r="B172" s="1" t="str">
        <f>IF(Goals!A111="","",Goals!B111)</f>
        <v>AS Bancatore</v>
      </c>
      <c r="C172" s="1">
        <f>IF(Goals!A111="","",Goals!C111)</f>
        <v>2</v>
      </c>
      <c r="D172" s="1" t="str">
        <f>IF(Goals!A111="","",Goals!D111)</f>
        <v>Goal</v>
      </c>
      <c r="E172" s="1" t="str">
        <f>IF(Goals!A111="","",Goals!E111)</f>
        <v>9 - IGNAZIO BADALÌ</v>
      </c>
      <c r="F172" s="1" t="str">
        <f>IF(Goals!A111="","",Goals!F111)</f>
        <v>AS Bancatore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>M10</v>
      </c>
      <c r="B173" s="1" t="str">
        <f>IF(Goals!A112="","",Goals!B112)</f>
        <v>AS Bancatore</v>
      </c>
      <c r="C173" s="1">
        <f>IF(Goals!A112="","",Goals!C112)</f>
        <v>3</v>
      </c>
      <c r="D173" s="1" t="str">
        <f>IF(Goals!A112="","",Goals!D112)</f>
        <v>Goal</v>
      </c>
      <c r="E173" s="1" t="str">
        <f>IF(Goals!A112="","",Goals!E112)</f>
        <v>9 - IGNAZIO BADALÌ</v>
      </c>
      <c r="F173" s="1" t="str">
        <f>IF(Goals!A112="","",Goals!F112)</f>
        <v>AS Bancatore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>M10</v>
      </c>
      <c r="B174" s="1" t="str">
        <f>IF(Goals!A113="","",Goals!B113)</f>
        <v>AS Bancatore</v>
      </c>
      <c r="C174" s="1">
        <f>IF(Goals!A113="","",Goals!C113)</f>
        <v>4</v>
      </c>
      <c r="D174" s="1" t="str">
        <f>IF(Goals!A113="","",Goals!D113)</f>
        <v>Goal</v>
      </c>
      <c r="E174" s="1" t="str">
        <f>IF(Goals!A113="","",Goals!E113)</f>
        <v>8 - MATTEO SAVIOLI (C)</v>
      </c>
      <c r="F174" s="1" t="str">
        <f>IF(Goals!A113="","",Goals!F113)</f>
        <v>AS Bancatore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>M10</v>
      </c>
      <c r="B175" s="1" t="str">
        <f>IF(Goals!A114="","",Goals!B114)</f>
        <v>AS Bancatore</v>
      </c>
      <c r="C175" s="1">
        <f>IF(Goals!A114="","",Goals!C114)</f>
        <v>5</v>
      </c>
      <c r="D175" s="1" t="str">
        <f>IF(Goals!A114="","",Goals!D114)</f>
        <v>Goal</v>
      </c>
      <c r="E175" s="1" t="str">
        <f>IF(Goals!A114="","",Goals!E114)</f>
        <v>17 - NICOLA BARONI</v>
      </c>
      <c r="F175" s="1" t="str">
        <f>IF(Goals!A114="","",Goals!F114)</f>
        <v>AS Bancatore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43.2" x14ac:dyDescent="0.3">
      <c r="A183" s="1" t="str">
        <f>IF(Goals!A122="","",Goals!A122)</f>
        <v>M11</v>
      </c>
      <c r="B183" s="1" t="str">
        <f>IF(Goals!A122="","",Goals!B122)</f>
        <v>Vecchie Glorie Rovigo</v>
      </c>
      <c r="C183" s="1">
        <f>IF(Goals!A122="","",Goals!C122)</f>
        <v>1</v>
      </c>
      <c r="D183" s="1" t="str">
        <f>IF(Goals!A122="","",Goals!D122)</f>
        <v>Goal</v>
      </c>
      <c r="E183" s="1" t="str">
        <f>IF(Goals!A122="","",Goals!E122)</f>
        <v>10 - DAVIDE ZAGHI (C)</v>
      </c>
      <c r="F183" s="1" t="str">
        <f>IF(Goals!A122="","",Goals!F122)</f>
        <v>Vecchie Glorie Rovigo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>M11</v>
      </c>
      <c r="B184" s="1" t="str">
        <f>IF(Goals!A123="","",Goals!B123)</f>
        <v>Beverton</v>
      </c>
      <c r="C184" s="1">
        <f>IF(Goals!A123="","",Goals!C123)</f>
        <v>1</v>
      </c>
      <c r="D184" s="1" t="str">
        <f>IF(Goals!A123="","",Goals!D123)</f>
        <v>Goal</v>
      </c>
      <c r="E184" s="1" t="str">
        <f>IF(Goals!A123="","",Goals!E123)</f>
        <v>10 - SAMUEL BONSU (C)</v>
      </c>
      <c r="F184" s="1" t="str">
        <f>IF(Goals!A123="","",Goals!F123)</f>
        <v>Beverton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8.8" x14ac:dyDescent="0.3">
      <c r="A207" s="1" t="str">
        <f>IF(Goals!A146="","",Goals!A146)</f>
        <v>M13</v>
      </c>
      <c r="B207" s="1" t="str">
        <f>IF(Goals!A146="","",Goals!B146)</f>
        <v>Leoni di Ricky</v>
      </c>
      <c r="C207" s="1">
        <f>IF(Goals!A146="","",Goals!C146)</f>
        <v>1</v>
      </c>
      <c r="D207" s="1" t="str">
        <f>IF(Goals!A146="","",Goals!D146)</f>
        <v>Goal</v>
      </c>
      <c r="E207" s="1" t="str">
        <f>IF(Goals!A146="","",Goals!E146)</f>
        <v>14 - VLAD GABRIEL DUMINICA</v>
      </c>
      <c r="F207" s="1" t="str">
        <f>IF(Goals!A146="","",Goals!F146)</f>
        <v>Leoni di Ricky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8.8" x14ac:dyDescent="0.3">
      <c r="A208" s="1" t="str">
        <f>IF(Goals!A147="","",Goals!A147)</f>
        <v>M13</v>
      </c>
      <c r="B208" s="1" t="str">
        <f>IF(Goals!A147="","",Goals!B147)</f>
        <v>Barrio Boys</v>
      </c>
      <c r="C208" s="1">
        <f>IF(Goals!A147="","",Goals!C147)</f>
        <v>1</v>
      </c>
      <c r="D208" s="1" t="str">
        <f>IF(Goals!A147="","",Goals!D147)</f>
        <v>Goal</v>
      </c>
      <c r="E208" s="1" t="str">
        <f>IF(Goals!A147="","",Goals!E147)</f>
        <v>7 - FRANCESCO BERARDI</v>
      </c>
      <c r="F208" s="1" t="str">
        <f>IF(Goals!A147="","",Goals!F147)</f>
        <v>Barrio Boys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8.8" x14ac:dyDescent="0.3">
      <c r="A219" s="1" t="str">
        <f>IF(Goals!A158="","",Goals!A158)</f>
        <v>M14</v>
      </c>
      <c r="B219" s="1" t="str">
        <f>IF(Goals!A158="","",Goals!B158)</f>
        <v>Pink 5ive</v>
      </c>
      <c r="C219" s="1">
        <f>IF(Goals!A158="","",Goals!C158)</f>
        <v>1</v>
      </c>
      <c r="D219" s="1" t="str">
        <f>IF(Goals!A158="","",Goals!D158)</f>
        <v>Goal</v>
      </c>
      <c r="E219" s="1" t="str">
        <f>IF(Goals!A158="","",Goals!E158)</f>
        <v>10 - NICCOLO' PALTANIN</v>
      </c>
      <c r="F219" s="1" t="str">
        <f>IF(Goals!A158="","",Goals!F158)</f>
        <v>Pink 5ive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>M14</v>
      </c>
      <c r="B220" s="1" t="str">
        <f>IF(Goals!A159="","",Goals!B159)</f>
        <v>Pink 5ive</v>
      </c>
      <c r="C220" s="1">
        <f>IF(Goals!A159="","",Goals!C159)</f>
        <v>2</v>
      </c>
      <c r="D220" s="1" t="str">
        <f>IF(Goals!A159="","",Goals!D159)</f>
        <v>Goal</v>
      </c>
      <c r="E220" s="1" t="str">
        <f>IF(Goals!A159="","",Goals!E159)</f>
        <v>19 - MATTEO CAMPION</v>
      </c>
      <c r="F220" s="1" t="str">
        <f>IF(Goals!A159="","",Goals!F159)</f>
        <v>Pink 5ive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8.8" x14ac:dyDescent="0.3">
      <c r="A221" s="1" t="str">
        <f>IF(Goals!A160="","",Goals!A160)</f>
        <v>M14</v>
      </c>
      <c r="B221" s="1" t="str">
        <f>IF(Goals!A160="","",Goals!B160)</f>
        <v>Pink 5ive</v>
      </c>
      <c r="C221" s="1">
        <f>IF(Goals!A160="","",Goals!C160)</f>
        <v>3</v>
      </c>
      <c r="D221" s="1" t="str">
        <f>IF(Goals!A160="","",Goals!D160)</f>
        <v>Goal</v>
      </c>
      <c r="E221" s="1" t="str">
        <f>IF(Goals!A160="","",Goals!E160)</f>
        <v>29 - LUCA BERNARDINELLO</v>
      </c>
      <c r="F221" s="1" t="str">
        <f>IF(Goals!A160="","",Goals!F160)</f>
        <v>Pink 5ive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>M14</v>
      </c>
      <c r="B222" s="1" t="str">
        <f>IF(Goals!A161="","",Goals!B161)</f>
        <v>Pink 5ive</v>
      </c>
      <c r="C222" s="1">
        <f>IF(Goals!A161="","",Goals!C161)</f>
        <v>4</v>
      </c>
      <c r="D222" s="1" t="str">
        <f>IF(Goals!A161="","",Goals!D161)</f>
        <v>Goal</v>
      </c>
      <c r="E222" s="1" t="str">
        <f>IF(Goals!A161="","",Goals!E161)</f>
        <v>95 - MATTIA COLTRO</v>
      </c>
      <c r="F222" s="1" t="str">
        <f>IF(Goals!A161="","",Goals!F161)</f>
        <v>Pink 5ive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>M14</v>
      </c>
      <c r="B223" s="1" t="str">
        <f>IF(Goals!A162="","",Goals!B162)</f>
        <v>Cani</v>
      </c>
      <c r="C223" s="1">
        <f>IF(Goals!A162="","",Goals!C162)</f>
        <v>1</v>
      </c>
      <c r="D223" s="1" t="str">
        <f>IF(Goals!A162="","",Goals!D162)</f>
        <v>Goal</v>
      </c>
      <c r="E223" s="1" t="str">
        <f>IF(Goals!A162="","",Goals!E162)</f>
        <v>7 - OTMAN SOUATI</v>
      </c>
      <c r="F223" s="1" t="str">
        <f>IF(Goals!A162="","",Goals!F162)</f>
        <v>Cani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>M14</v>
      </c>
      <c r="B224" s="1" t="str">
        <f>IF(Goals!A163="","",Goals!B163)</f>
        <v>Cani</v>
      </c>
      <c r="C224" s="1">
        <f>IF(Goals!A163="","",Goals!C163)</f>
        <v>2</v>
      </c>
      <c r="D224" s="1" t="str">
        <f>IF(Goals!A163="","",Goals!D163)</f>
        <v>Goal</v>
      </c>
      <c r="E224" s="1" t="str">
        <f>IF(Goals!A163="","",Goals!E163)</f>
        <v>11 - ISMAIL ECHCHARI</v>
      </c>
      <c r="F224" s="1" t="str">
        <f>IF(Goals!A163="","",Goals!F163)</f>
        <v>Cani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>M15</v>
      </c>
      <c r="B231" s="1" t="str">
        <f>IF(Goals!A170="","",Goals!B170)</f>
        <v>Fatine FC</v>
      </c>
      <c r="C231" s="1">
        <f>IF(Goals!A170="","",Goals!C170)</f>
        <v>1</v>
      </c>
      <c r="D231" s="1" t="str">
        <f>IF(Goals!A170="","",Goals!D170)</f>
        <v>Goal</v>
      </c>
      <c r="E231" s="1" t="str">
        <f>IF(Goals!A170="","",Goals!E170)</f>
        <v>10 - LUCA MARINI</v>
      </c>
      <c r="F231" s="1" t="str">
        <f>IF(Goals!A170="","",Goals!F170)</f>
        <v>Fatine FC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8.8" x14ac:dyDescent="0.3">
      <c r="A232" s="1" t="str">
        <f>IF(Goals!A171="","",Goals!A171)</f>
        <v>M15</v>
      </c>
      <c r="B232" s="1" t="str">
        <f>IF(Goals!A171="","",Goals!B171)</f>
        <v>Moviola Utd</v>
      </c>
      <c r="C232" s="1">
        <f>IF(Goals!A171="","",Goals!C171)</f>
        <v>1</v>
      </c>
      <c r="D232" s="1" t="str">
        <f>IF(Goals!A171="","",Goals!D171)</f>
        <v>Goal</v>
      </c>
      <c r="E232" s="1" t="str">
        <f>IF(Goals!A171="","",Goals!E171)</f>
        <v>8 - LUCA BACCO</v>
      </c>
      <c r="F232" s="1" t="str">
        <f>IF(Goals!A171="","",Goals!F171)</f>
        <v>Moviola Utd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8.8" x14ac:dyDescent="0.3">
      <c r="A233" s="1" t="str">
        <f>IF(Goals!A172="","",Goals!A172)</f>
        <v>M15</v>
      </c>
      <c r="B233" s="1" t="str">
        <f>IF(Goals!A172="","",Goals!B172)</f>
        <v>Moviola Utd</v>
      </c>
      <c r="C233" s="1">
        <f>IF(Goals!A172="","",Goals!C172)</f>
        <v>2</v>
      </c>
      <c r="D233" s="1" t="str">
        <f>IF(Goals!A172="","",Goals!D172)</f>
        <v>Goal</v>
      </c>
      <c r="E233" s="1" t="str">
        <f>IF(Goals!A172="","",Goals!E172)</f>
        <v>70 - FILIPPO SCARANELLO</v>
      </c>
      <c r="F233" s="1" t="str">
        <f>IF(Goals!A172="","",Goals!F172)</f>
        <v>Moviola Utd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8.8" x14ac:dyDescent="0.3">
      <c r="A234" s="1" t="str">
        <f>IF(Goals!A173="","",Goals!A173)</f>
        <v>M15</v>
      </c>
      <c r="B234" s="1" t="str">
        <f>IF(Goals!A173="","",Goals!B173)</f>
        <v>Moviola Utd</v>
      </c>
      <c r="C234" s="1">
        <f>IF(Goals!A173="","",Goals!C173)</f>
        <v>3</v>
      </c>
      <c r="D234" s="1" t="str">
        <f>IF(Goals!A173="","",Goals!D173)</f>
        <v>Goal</v>
      </c>
      <c r="E234" s="1" t="str">
        <f>IF(Goals!A173="","",Goals!E173)</f>
        <v>9 - FRANCESCO DADDATO</v>
      </c>
      <c r="F234" s="1" t="str">
        <f>IF(Goals!A173="","",Goals!F173)</f>
        <v>Moviola Utd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8.8" x14ac:dyDescent="0.3">
      <c r="A235" s="1" t="str">
        <f>IF(Goals!A174="","",Goals!A174)</f>
        <v>M15</v>
      </c>
      <c r="B235" s="1" t="str">
        <f>IF(Goals!A174="","",Goals!B174)</f>
        <v>Moviola Utd</v>
      </c>
      <c r="C235" s="1">
        <f>IF(Goals!A174="","",Goals!C174)</f>
        <v>4</v>
      </c>
      <c r="D235" s="1" t="str">
        <f>IF(Goals!A174="","",Goals!D174)</f>
        <v>Goal</v>
      </c>
      <c r="E235" s="1" t="str">
        <f>IF(Goals!A174="","",Goals!E174)</f>
        <v>7 - EDDY MAZZETTO</v>
      </c>
      <c r="F235" s="1" t="str">
        <f>IF(Goals!A174="","",Goals!F174)</f>
        <v>Moviola Utd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8.8" x14ac:dyDescent="0.3">
      <c r="A255" s="1" t="str">
        <f>IF(Goals!A194="","",Goals!A194)</f>
        <v>M17</v>
      </c>
      <c r="B255" s="1" t="str">
        <f>IF(Goals!A194="","",Goals!B194)</f>
        <v>Boldò Glimt</v>
      </c>
      <c r="C255" s="1">
        <f>IF(Goals!A194="","",Goals!C194)</f>
        <v>1</v>
      </c>
      <c r="D255" s="1" t="str">
        <f>IF(Goals!A194="","",Goals!D194)</f>
        <v>Goal</v>
      </c>
      <c r="E255" s="1" t="str">
        <f>IF(Goals!A194="","",Goals!E194)</f>
        <v>10 - ALEX BERTIPAGLIA (C)</v>
      </c>
      <c r="F255" s="1" t="str">
        <f>IF(Goals!A194="","",Goals!F194)</f>
        <v>Boldò Glimt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8.8" x14ac:dyDescent="0.3">
      <c r="A256" s="1" t="str">
        <f>IF(Goals!A195="","",Goals!A195)</f>
        <v>M17</v>
      </c>
      <c r="B256" s="1" t="str">
        <f>IF(Goals!A195="","",Goals!B195)</f>
        <v>Coca Juniors</v>
      </c>
      <c r="C256" s="1">
        <f>IF(Goals!A195="","",Goals!C195)</f>
        <v>1</v>
      </c>
      <c r="D256" s="1" t="str">
        <f>IF(Goals!A195="","",Goals!D195)</f>
        <v>Goal</v>
      </c>
      <c r="E256" s="1" t="str">
        <f>IF(Goals!A195="","",Goals!E195)</f>
        <v>9 - ANDREA GREGGIO</v>
      </c>
      <c r="F256" s="1" t="str">
        <f>IF(Goals!A195="","",Goals!F195)</f>
        <v>Coca Juniors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57.6" x14ac:dyDescent="0.3">
      <c r="A267" s="1" t="str">
        <f>IF(Goals!A206="","",Goals!A206)</f>
        <v>M18</v>
      </c>
      <c r="B267" s="1" t="str">
        <f>IF(Goals!A206="","",Goals!B206)</f>
        <v>FC Internazionale Rovigo</v>
      </c>
      <c r="C267" s="1">
        <f>IF(Goals!A206="","",Goals!C206)</f>
        <v>1</v>
      </c>
      <c r="D267" s="1" t="str">
        <f>IF(Goals!A206="","",Goals!D206)</f>
        <v>Goal</v>
      </c>
      <c r="E267" s="1" t="str">
        <f>IF(Goals!A206="","",Goals!E206)</f>
        <v>8 - AHMED ZOUZAF</v>
      </c>
      <c r="F267" s="1" t="str">
        <f>IF(Goals!A206="","",Goals!F206)</f>
        <v>FC Internazionale Rovigo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57.6" x14ac:dyDescent="0.3">
      <c r="A268" s="1" t="str">
        <f>IF(Goals!A207="","",Goals!A207)</f>
        <v>M18</v>
      </c>
      <c r="B268" s="1" t="str">
        <f>IF(Goals!A207="","",Goals!B207)</f>
        <v>FC Internazionale Rovigo</v>
      </c>
      <c r="C268" s="1">
        <f>IF(Goals!A207="","",Goals!C207)</f>
        <v>2</v>
      </c>
      <c r="D268" s="1" t="str">
        <f>IF(Goals!A207="","",Goals!D207)</f>
        <v>Goal</v>
      </c>
      <c r="E268" s="1" t="str">
        <f>IF(Goals!A207="","",Goals!E207)</f>
        <v>8 - AHMED ZOUZAF</v>
      </c>
      <c r="F268" s="1" t="str">
        <f>IF(Goals!A207="","",Goals!F207)</f>
        <v>FC Internazionale Rovigo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57.6" x14ac:dyDescent="0.3">
      <c r="A269" s="1" t="str">
        <f>IF(Goals!A208="","",Goals!A208)</f>
        <v>M18</v>
      </c>
      <c r="B269" s="1" t="str">
        <f>IF(Goals!A208="","",Goals!B208)</f>
        <v>FC Internazionale Rovigo</v>
      </c>
      <c r="C269" s="1">
        <f>IF(Goals!A208="","",Goals!C208)</f>
        <v>3</v>
      </c>
      <c r="D269" s="1" t="str">
        <f>IF(Goals!A208="","",Goals!D208)</f>
        <v>Goal</v>
      </c>
      <c r="E269" s="1" t="str">
        <f>IF(Goals!A208="","",Goals!E208)</f>
        <v>20 - IVAN DENIS SHEVERAK</v>
      </c>
      <c r="F269" s="1" t="str">
        <f>IF(Goals!A208="","",Goals!F208)</f>
        <v>FC Internazionale Rovigo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43.2" x14ac:dyDescent="0.3">
      <c r="A270" s="1" t="str">
        <f>IF(Goals!A209="","",Goals!A209)</f>
        <v>M18</v>
      </c>
      <c r="B270" s="1" t="str">
        <f>IF(Goals!A209="","",Goals!B209)</f>
        <v>FC Internazionale Rovigo</v>
      </c>
      <c r="C270" s="1">
        <f>IF(Goals!A209="","",Goals!C209)</f>
        <v>4</v>
      </c>
      <c r="D270" s="1" t="str">
        <f>IF(Goals!A209="","",Goals!D209)</f>
        <v>Autogol</v>
      </c>
      <c r="E270" s="1">
        <f>IF(Goals!A209="","",Goals!E209)</f>
        <v>0</v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>M19</v>
      </c>
      <c r="B279" s="1" t="str">
        <f>IF(Goals!A218="","",Goals!B218)</f>
        <v>Totani</v>
      </c>
      <c r="C279" s="1">
        <f>IF(Goals!A218="","",Goals!C218)</f>
        <v>1</v>
      </c>
      <c r="D279" s="1" t="str">
        <f>IF(Goals!A218="","",Goals!D218)</f>
        <v>Goal</v>
      </c>
      <c r="E279" s="1" t="str">
        <f>IF(Goals!A218="","",Goals!E218)</f>
        <v>10 - LUCA CHERUBIN (C)</v>
      </c>
      <c r="F279" s="1" t="str">
        <f>IF(Goals!A218="","",Goals!F218)</f>
        <v>Totani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>M19</v>
      </c>
      <c r="B280" s="1" t="str">
        <f>IF(Goals!A219="","",Goals!B219)</f>
        <v>Beverton</v>
      </c>
      <c r="C280" s="1">
        <f>IF(Goals!A219="","",Goals!C219)</f>
        <v>1</v>
      </c>
      <c r="D280" s="1" t="str">
        <f>IF(Goals!A219="","",Goals!D219)</f>
        <v>Goal</v>
      </c>
      <c r="E280" s="1" t="str">
        <f>IF(Goals!A219="","",Goals!E219)</f>
        <v>77 - POKOU ANTHONY</v>
      </c>
      <c r="F280" s="1" t="str">
        <f>IF(Goals!A219="","",Goals!F219)</f>
        <v>Beverton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8.8" x14ac:dyDescent="0.3">
      <c r="A281" s="1" t="str">
        <f>IF(Goals!A220="","",Goals!A220)</f>
        <v>M19</v>
      </c>
      <c r="B281" s="1" t="str">
        <f>IF(Goals!A220="","",Goals!B220)</f>
        <v>Beverton</v>
      </c>
      <c r="C281" s="1">
        <f>IF(Goals!A220="","",Goals!C220)</f>
        <v>2</v>
      </c>
      <c r="D281" s="1" t="str">
        <f>IF(Goals!A220="","",Goals!D220)</f>
        <v>Goal</v>
      </c>
      <c r="E281" s="1" t="str">
        <f>IF(Goals!A220="","",Goals!E220)</f>
        <v>11 - FILIPPO VENDRAMIN</v>
      </c>
      <c r="F281" s="1" t="str">
        <f>IF(Goals!A220="","",Goals!F220)</f>
        <v>Beverton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>M19</v>
      </c>
      <c r="B282" s="1" t="str">
        <f>IF(Goals!A221="","",Goals!B221)</f>
        <v>Beverton</v>
      </c>
      <c r="C282" s="1">
        <f>IF(Goals!A221="","",Goals!C221)</f>
        <v>3</v>
      </c>
      <c r="D282" s="1" t="str">
        <f>IF(Goals!A221="","",Goals!D221)</f>
        <v>Goal</v>
      </c>
      <c r="E282" s="1" t="str">
        <f>IF(Goals!A221="","",Goals!E221)</f>
        <v>10 - SAMUEL BONSU (C)</v>
      </c>
      <c r="F282" s="1" t="str">
        <f>IF(Goals!A221="","",Goals!F221)</f>
        <v>Beverton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>M19</v>
      </c>
      <c r="B283" s="1" t="str">
        <f>IF(Goals!A222="","",Goals!B222)</f>
        <v>Beverton</v>
      </c>
      <c r="C283" s="1">
        <f>IF(Goals!A222="","",Goals!C222)</f>
        <v>4</v>
      </c>
      <c r="D283" s="1" t="str">
        <f>IF(Goals!A222="","",Goals!D222)</f>
        <v>Autogol</v>
      </c>
      <c r="E283" s="1">
        <f>IF(Goals!A222="","",Goals!E222)</f>
        <v>0</v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8.8" x14ac:dyDescent="0.3">
      <c r="A291" s="1" t="str">
        <f>IF(Goals!A230="","",Goals!A230)</f>
        <v>M20</v>
      </c>
      <c r="B291" s="1" t="str">
        <f>IF(Goals!A230="","",Goals!B230)</f>
        <v>AS Bancatore</v>
      </c>
      <c r="C291" s="1">
        <f>IF(Goals!A230="","",Goals!C230)</f>
        <v>1</v>
      </c>
      <c r="D291" s="1" t="str">
        <f>IF(Goals!A230="","",Goals!D230)</f>
        <v>Goal</v>
      </c>
      <c r="E291" s="1" t="str">
        <f>IF(Goals!A230="","",Goals!E230)</f>
        <v>7 - MATTIA ZAGO</v>
      </c>
      <c r="F291" s="1" t="str">
        <f>IF(Goals!A230="","",Goals!F230)</f>
        <v>AS Bancatore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8.8" x14ac:dyDescent="0.3">
      <c r="A292" s="1" t="str">
        <f>IF(Goals!A231="","",Goals!A231)</f>
        <v>M20</v>
      </c>
      <c r="B292" s="1" t="str">
        <f>IF(Goals!A231="","",Goals!B231)</f>
        <v>AS Bancatore</v>
      </c>
      <c r="C292" s="1">
        <f>IF(Goals!A231="","",Goals!C231)</f>
        <v>2</v>
      </c>
      <c r="D292" s="1" t="str">
        <f>IF(Goals!A231="","",Goals!D231)</f>
        <v>Goal</v>
      </c>
      <c r="E292" s="1" t="str">
        <f>IF(Goals!A231="","",Goals!E231)</f>
        <v>17 - NICOLA BARONI</v>
      </c>
      <c r="F292" s="1" t="str">
        <f>IF(Goals!A231="","",Goals!F231)</f>
        <v>AS Bancatore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8.8" x14ac:dyDescent="0.3">
      <c r="A293" s="1" t="str">
        <f>IF(Goals!A232="","",Goals!A232)</f>
        <v>M20</v>
      </c>
      <c r="B293" s="1" t="str">
        <f>IF(Goals!A232="","",Goals!B232)</f>
        <v>AS Bancatore</v>
      </c>
      <c r="C293" s="1">
        <f>IF(Goals!A232="","",Goals!C232)</f>
        <v>3</v>
      </c>
      <c r="D293" s="1" t="str">
        <f>IF(Goals!A232="","",Goals!D232)</f>
        <v>Goal</v>
      </c>
      <c r="E293" s="1" t="str">
        <f>IF(Goals!A232="","",Goals!E232)</f>
        <v>9 - IGNAZIO BADALÌ</v>
      </c>
      <c r="F293" s="1" t="str">
        <f>IF(Goals!A232="","",Goals!F232)</f>
        <v>AS Bancatore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8.8" x14ac:dyDescent="0.3">
      <c r="A303" s="1" t="str">
        <f>IF(Goals!A242="","",Goals!A242)</f>
        <v>M21</v>
      </c>
      <c r="B303" s="1" t="str">
        <f>IF(Goals!A242="","",Goals!B242)</f>
        <v>Leoni di Ricky</v>
      </c>
      <c r="C303" s="1">
        <f>IF(Goals!A242="","",Goals!C242)</f>
        <v>1</v>
      </c>
      <c r="D303" s="1" t="str">
        <f>IF(Goals!A242="","",Goals!D242)</f>
        <v>Goal</v>
      </c>
      <c r="E303" s="1" t="str">
        <f>IF(Goals!A242="","",Goals!E242)</f>
        <v>3 - LEONARDO MAGGIO</v>
      </c>
      <c r="F303" s="1" t="str">
        <f>IF(Goals!A242="","",Goals!F242)</f>
        <v>Leoni di Ricky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8.8" x14ac:dyDescent="0.3">
      <c r="A304" s="1" t="str">
        <f>IF(Goals!A243="","",Goals!A243)</f>
        <v>M21</v>
      </c>
      <c r="B304" s="1" t="str">
        <f>IF(Goals!A243="","",Goals!B243)</f>
        <v>Leoni di Ricky</v>
      </c>
      <c r="C304" s="1">
        <f>IF(Goals!A243="","",Goals!C243)</f>
        <v>2</v>
      </c>
      <c r="D304" s="1" t="str">
        <f>IF(Goals!A243="","",Goals!D243)</f>
        <v>Goal</v>
      </c>
      <c r="E304" s="1" t="str">
        <f>IF(Goals!A243="","",Goals!E243)</f>
        <v>4 - AMIN MASSAGHRI (C)</v>
      </c>
      <c r="F304" s="1" t="str">
        <f>IF(Goals!A243="","",Goals!F243)</f>
        <v>Leoni di Ricky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8.8" x14ac:dyDescent="0.3">
      <c r="A305" s="1" t="str">
        <f>IF(Goals!A244="","",Goals!A244)</f>
        <v>M21</v>
      </c>
      <c r="B305" s="1" t="str">
        <f>IF(Goals!A244="","",Goals!B244)</f>
        <v>Leoni di Ricky</v>
      </c>
      <c r="C305" s="1">
        <f>IF(Goals!A244="","",Goals!C244)</f>
        <v>3</v>
      </c>
      <c r="D305" s="1" t="str">
        <f>IF(Goals!A244="","",Goals!D244)</f>
        <v>Goal</v>
      </c>
      <c r="E305" s="1" t="str">
        <f>IF(Goals!A244="","",Goals!E244)</f>
        <v>6 - MARCO THOMPSON</v>
      </c>
      <c r="F305" s="1" t="str">
        <f>IF(Goals!A244="","",Goals!F244)</f>
        <v>Leoni di Ricky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8.8" x14ac:dyDescent="0.3">
      <c r="A306" s="1" t="str">
        <f>IF(Goals!A245="","",Goals!A245)</f>
        <v>M21</v>
      </c>
      <c r="B306" s="1" t="str">
        <f>IF(Goals!A245="","",Goals!B245)</f>
        <v>Leoni di Ricky</v>
      </c>
      <c r="C306" s="1">
        <f>IF(Goals!A245="","",Goals!C245)</f>
        <v>4</v>
      </c>
      <c r="D306" s="1" t="str">
        <f>IF(Goals!A245="","",Goals!D245)</f>
        <v>Goal</v>
      </c>
      <c r="E306" s="1" t="str">
        <f>IF(Goals!A245="","",Goals!E245)</f>
        <v>7 - TOMMASO ZANGIROLAMI</v>
      </c>
      <c r="F306" s="1" t="str">
        <f>IF(Goals!A245="","",Goals!F245)</f>
        <v>Leoni di Ricky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8.8" x14ac:dyDescent="0.3">
      <c r="A307" s="1" t="str">
        <f>IF(Goals!A246="","",Goals!A246)</f>
        <v>M21</v>
      </c>
      <c r="B307" s="1" t="str">
        <f>IF(Goals!A246="","",Goals!B246)</f>
        <v>Leoni di Ricky</v>
      </c>
      <c r="C307" s="1">
        <f>IF(Goals!A246="","",Goals!C246)</f>
        <v>5</v>
      </c>
      <c r="D307" s="1" t="str">
        <f>IF(Goals!A246="","",Goals!D246)</f>
        <v>Goal</v>
      </c>
      <c r="E307" s="1" t="str">
        <f>IF(Goals!A246="","",Goals!E246)</f>
        <v>7 - TOMMASO ZANGIROLAMI</v>
      </c>
      <c r="F307" s="1" t="str">
        <f>IF(Goals!A246="","",Goals!F246)</f>
        <v>Leoni di Ricky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>M21</v>
      </c>
      <c r="B308" s="1" t="str">
        <f>IF(Goals!A247="","",Goals!B247)</f>
        <v>Leoni di Ricky</v>
      </c>
      <c r="C308" s="1">
        <f>IF(Goals!A247="","",Goals!C247)</f>
        <v>6</v>
      </c>
      <c r="D308" s="1" t="str">
        <f>IF(Goals!A247="","",Goals!D247)</f>
        <v>Autogol</v>
      </c>
      <c r="E308" s="1">
        <f>IF(Goals!A247="","",Goals!E247)</f>
        <v>0</v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>M22</v>
      </c>
      <c r="B315" s="1" t="str">
        <f>IF(Goals!A254="","",Goals!B254)</f>
        <v>Fatine FC</v>
      </c>
      <c r="C315" s="1">
        <f>IF(Goals!A254="","",Goals!C254)</f>
        <v>1</v>
      </c>
      <c r="D315" s="1" t="str">
        <f>IF(Goals!A254="","",Goals!D254)</f>
        <v>Goal</v>
      </c>
      <c r="E315" s="1" t="str">
        <f>IF(Goals!A254="","",Goals!E254)</f>
        <v>90 - MATTEO COL</v>
      </c>
      <c r="F315" s="1" t="str">
        <f>IF(Goals!A254="","",Goals!F254)</f>
        <v>Fatine FC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>M22</v>
      </c>
      <c r="B316" s="1" t="str">
        <f>IF(Goals!A255="","",Goals!B255)</f>
        <v>Fatine FC</v>
      </c>
      <c r="C316" s="1">
        <f>IF(Goals!A255="","",Goals!C255)</f>
        <v>2</v>
      </c>
      <c r="D316" s="1" t="str">
        <f>IF(Goals!A255="","",Goals!D255)</f>
        <v>Goal</v>
      </c>
      <c r="E316" s="1" t="str">
        <f>IF(Goals!A255="","",Goals!E255)</f>
        <v>90 - MATTEO COL</v>
      </c>
      <c r="F316" s="1" t="str">
        <f>IF(Goals!A255="","",Goals!F255)</f>
        <v>Fatine FC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>M22</v>
      </c>
      <c r="B317" s="1" t="str">
        <f>IF(Goals!A256="","",Goals!B256)</f>
        <v>Fatine FC</v>
      </c>
      <c r="C317" s="1">
        <f>IF(Goals!A256="","",Goals!C256)</f>
        <v>3</v>
      </c>
      <c r="D317" s="1" t="str">
        <f>IF(Goals!A256="","",Goals!D256)</f>
        <v>Goal</v>
      </c>
      <c r="E317" s="1" t="str">
        <f>IF(Goals!A256="","",Goals!E256)</f>
        <v>10 - LUCA MARINI</v>
      </c>
      <c r="F317" s="1" t="str">
        <f>IF(Goals!A256="","",Goals!F256)</f>
        <v>Fatine FC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>M22</v>
      </c>
      <c r="B318" s="1" t="str">
        <f>IF(Goals!A257="","",Goals!B257)</f>
        <v>Fatine FC</v>
      </c>
      <c r="C318" s="1">
        <f>IF(Goals!A257="","",Goals!C257)</f>
        <v>4</v>
      </c>
      <c r="D318" s="1" t="str">
        <f>IF(Goals!A257="","",Goals!D257)</f>
        <v>Goal</v>
      </c>
      <c r="E318" s="1" t="str">
        <f>IF(Goals!A257="","",Goals!E257)</f>
        <v>7 - NICHOLAS MILAN</v>
      </c>
      <c r="F318" s="1" t="str">
        <f>IF(Goals!A257="","",Goals!F257)</f>
        <v>Fatine FC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57.6" x14ac:dyDescent="0.3">
      <c r="A327" s="1" t="str">
        <f>IF(Goals!A266="","",Goals!A266)</f>
        <v>M23</v>
      </c>
      <c r="B327" s="1" t="str">
        <f>IF(Goals!A266="","",Goals!B266)</f>
        <v>FC Internazionale Rovigo</v>
      </c>
      <c r="C327" s="1">
        <f>IF(Goals!A266="","",Goals!C266)</f>
        <v>1</v>
      </c>
      <c r="D327" s="1" t="str">
        <f>IF(Goals!A266="","",Goals!D266)</f>
        <v>Goal</v>
      </c>
      <c r="E327" s="1" t="str">
        <f>IF(Goals!A266="","",Goals!E266)</f>
        <v>4 - ABDESSAMAD BAGHROUCH</v>
      </c>
      <c r="F327" s="1" t="str">
        <f>IF(Goals!A266="","",Goals!F266)</f>
        <v>FC Internazionale Rovigo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8.8" x14ac:dyDescent="0.3">
      <c r="A328" s="1" t="str">
        <f>IF(Goals!A267="","",Goals!A267)</f>
        <v>M23</v>
      </c>
      <c r="B328" s="1" t="str">
        <f>IF(Goals!A267="","",Goals!B267)</f>
        <v>Moviola Utd</v>
      </c>
      <c r="C328" s="1">
        <f>IF(Goals!A267="","",Goals!C267)</f>
        <v>1</v>
      </c>
      <c r="D328" s="1" t="str">
        <f>IF(Goals!A267="","",Goals!D267)</f>
        <v>Goal</v>
      </c>
      <c r="E328" s="1" t="str">
        <f>IF(Goals!A267="","",Goals!E267)</f>
        <v>7 - EDDY MAZZETTO</v>
      </c>
      <c r="F328" s="1" t="str">
        <f>IF(Goals!A267="","",Goals!F267)</f>
        <v>Moviola Utd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>M24</v>
      </c>
      <c r="B339" s="1" t="str">
        <f>IF(Goals!A278="","",Goals!B278)</f>
        <v>Pink 5ive</v>
      </c>
      <c r="C339" s="1">
        <f>IF(Goals!A278="","",Goals!C278)</f>
        <v>1</v>
      </c>
      <c r="D339" s="1" t="str">
        <f>IF(Goals!A278="","",Goals!D278)</f>
        <v>Goal</v>
      </c>
      <c r="E339" s="1" t="str">
        <f>IF(Goals!A278="","",Goals!E278)</f>
        <v>95 - MATTIA COLTRO</v>
      </c>
      <c r="F339" s="1" t="str">
        <f>IF(Goals!A278="","",Goals!F278)</f>
        <v>Pink 5ive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8.8" x14ac:dyDescent="0.3">
      <c r="A340" s="1" t="str">
        <f>IF(Goals!A279="","",Goals!A279)</f>
        <v>M24</v>
      </c>
      <c r="B340" s="1" t="str">
        <f>IF(Goals!A279="","",Goals!B279)</f>
        <v>Barrio Boys</v>
      </c>
      <c r="C340" s="1">
        <f>IF(Goals!A279="","",Goals!C279)</f>
        <v>1</v>
      </c>
      <c r="D340" s="1" t="str">
        <f>IF(Goals!A279="","",Goals!D279)</f>
        <v>Goal</v>
      </c>
      <c r="E340" s="1" t="str">
        <f>IF(Goals!A279="","",Goals!E279)</f>
        <v>2 - LUCA NONNATO</v>
      </c>
      <c r="F340" s="1" t="str">
        <f>IF(Goals!A279="","",Goals!F279)</f>
        <v>Barrio Boys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8.8" x14ac:dyDescent="0.3">
      <c r="A341" s="1" t="str">
        <f>IF(Goals!A280="","",Goals!A280)</f>
        <v>M24</v>
      </c>
      <c r="B341" s="1" t="str">
        <f>IF(Goals!A280="","",Goals!B280)</f>
        <v>Barrio Boys</v>
      </c>
      <c r="C341" s="1">
        <f>IF(Goals!A280="","",Goals!C280)</f>
        <v>2</v>
      </c>
      <c r="D341" s="1" t="str">
        <f>IF(Goals!A280="","",Goals!D280)</f>
        <v>Goal</v>
      </c>
      <c r="E341" s="1" t="str">
        <f>IF(Goals!A280="","",Goals!E280)</f>
        <v>2 - LUCA NONNATO</v>
      </c>
      <c r="F341" s="1" t="str">
        <f>IF(Goals!A280="","",Goals!F280)</f>
        <v>Barrio Boys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8.8" x14ac:dyDescent="0.3">
      <c r="A342" s="1" t="str">
        <f>IF(Goals!A281="","",Goals!A281)</f>
        <v>M24</v>
      </c>
      <c r="B342" s="1" t="str">
        <f>IF(Goals!A281="","",Goals!B281)</f>
        <v>Barrio Boys</v>
      </c>
      <c r="C342" s="1">
        <f>IF(Goals!A281="","",Goals!C281)</f>
        <v>3</v>
      </c>
      <c r="D342" s="1" t="str">
        <f>IF(Goals!A281="","",Goals!D281)</f>
        <v>Goal</v>
      </c>
      <c r="E342" s="1" t="str">
        <f>IF(Goals!A281="","",Goals!E281)</f>
        <v>14 - EDOARDO CAVALLARI</v>
      </c>
      <c r="F342" s="1" t="str">
        <f>IF(Goals!A281="","",Goals!F281)</f>
        <v>Barrio Boys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8.8" x14ac:dyDescent="0.3">
      <c r="A343" s="1" t="str">
        <f>IF(Goals!A282="","",Goals!A282)</f>
        <v>M24</v>
      </c>
      <c r="B343" s="1" t="str">
        <f>IF(Goals!A282="","",Goals!B282)</f>
        <v>Barrio Boys</v>
      </c>
      <c r="C343" s="1">
        <f>IF(Goals!A282="","",Goals!C282)</f>
        <v>4</v>
      </c>
      <c r="D343" s="1" t="str">
        <f>IF(Goals!A282="","",Goals!D282)</f>
        <v>Goal</v>
      </c>
      <c r="E343" s="1" t="str">
        <f>IF(Goals!A282="","",Goals!E282)</f>
        <v>18 - MATTEO FERRO</v>
      </c>
      <c r="F343" s="1" t="str">
        <f>IF(Goals!A282="","",Goals!F282)</f>
        <v>Barrio Boys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>QF1</v>
      </c>
      <c r="B351" s="1" t="str">
        <f>IF(KnockoutGoals!A2="","",KnockoutGoals!B2)</f>
        <v>Fatine FC</v>
      </c>
      <c r="C351" s="1">
        <f>IF(KnockoutGoals!A2="","",KnockoutGoals!C2)</f>
        <v>1</v>
      </c>
      <c r="D351" s="1" t="str">
        <f>IF(KnockoutGoals!A2="","",KnockoutGoals!D2)</f>
        <v>Goal</v>
      </c>
      <c r="E351" s="1" t="str">
        <f>IF(KnockoutGoals!A2="","",KnockoutGoals!E2)</f>
        <v>10 - LUCA MARINI</v>
      </c>
      <c r="F351" s="1" t="str">
        <f>IF(KnockoutGoals!A2="","",KnockoutGoals!F2)</f>
        <v>Fatine FC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>QF1</v>
      </c>
      <c r="B352" s="1" t="str">
        <f>IF(KnockoutGoals!A3="","",KnockoutGoals!B3)</f>
        <v>Barrio Boys</v>
      </c>
      <c r="C352" s="1">
        <f>IF(KnockoutGoals!A3="","",KnockoutGoals!C3)</f>
        <v>1</v>
      </c>
      <c r="D352" s="1" t="str">
        <f>IF(KnockoutGoals!A3="","",KnockoutGoals!D3)</f>
        <v>Goal</v>
      </c>
      <c r="E352" s="1" t="str">
        <f>IF(KnockoutGoals!A3="","",KnockoutGoals!E3)</f>
        <v>14 - EDOARDO CAVALLARI</v>
      </c>
      <c r="F352" s="1" t="str">
        <f>IF(KnockoutGoals!A3="","",KnockoutGoals!F3)</f>
        <v>Barrio Boys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8.8" x14ac:dyDescent="0.3">
      <c r="A353" s="1" t="str">
        <f>IF(KnockoutGoals!A4="","",KnockoutGoals!A4)</f>
        <v>QF1</v>
      </c>
      <c r="B353" s="1" t="str">
        <f>IF(KnockoutGoals!A4="","",KnockoutGoals!B4)</f>
        <v>Barrio Boys</v>
      </c>
      <c r="C353" s="1">
        <f>IF(KnockoutGoals!A4="","",KnockoutGoals!C4)</f>
        <v>2</v>
      </c>
      <c r="D353" s="1" t="str">
        <f>IF(KnockoutGoals!A4="","",KnockoutGoals!D4)</f>
        <v>Goal</v>
      </c>
      <c r="E353" s="1" t="str">
        <f>IF(KnockoutGoals!A4="","",KnockoutGoals!E4)</f>
        <v>18 - MATTEO FERRO</v>
      </c>
      <c r="F353" s="1" t="str">
        <f>IF(KnockoutGoals!A4="","",KnockoutGoals!F4)</f>
        <v>Barrio Boys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8.8" x14ac:dyDescent="0.3">
      <c r="A363" s="1" t="str">
        <f>IF(KnockoutGoals!A14="","",KnockoutGoals!A14)</f>
        <v>QF2</v>
      </c>
      <c r="B363" s="1" t="str">
        <f>IF(KnockoutGoals!A14="","",KnockoutGoals!B14)</f>
        <v>AS Bancatore</v>
      </c>
      <c r="C363" s="1">
        <f>IF(KnockoutGoals!A14="","",KnockoutGoals!C14)</f>
        <v>1</v>
      </c>
      <c r="D363" s="1" t="str">
        <f>IF(KnockoutGoals!A14="","",KnockoutGoals!D14)</f>
        <v>Goal</v>
      </c>
      <c r="E363" s="1" t="str">
        <f>IF(KnockoutGoals!A14="","",KnockoutGoals!E14)</f>
        <v>10 - GIANLUCA FREZZATI</v>
      </c>
      <c r="F363" s="1" t="str">
        <f>IF(KnockoutGoals!A14="","",KnockoutGoals!F14)</f>
        <v>AS Bancatore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8.8" x14ac:dyDescent="0.3">
      <c r="A364" s="1" t="str">
        <f>IF(KnockoutGoals!A15="","",KnockoutGoals!A15)</f>
        <v>QF2</v>
      </c>
      <c r="B364" s="1" t="str">
        <f>IF(KnockoutGoals!A15="","",KnockoutGoals!B15)</f>
        <v>AS Bancatore</v>
      </c>
      <c r="C364" s="1">
        <f>IF(KnockoutGoals!A15="","",KnockoutGoals!C15)</f>
        <v>2</v>
      </c>
      <c r="D364" s="1" t="str">
        <f>IF(KnockoutGoals!A15="","",KnockoutGoals!D15)</f>
        <v>Goal</v>
      </c>
      <c r="E364" s="1" t="str">
        <f>IF(KnockoutGoals!A15="","",KnockoutGoals!E15)</f>
        <v>5 - MATTEO LONGO</v>
      </c>
      <c r="F364" s="1" t="str">
        <f>IF(KnockoutGoals!A15="","",KnockoutGoals!F15)</f>
        <v>AS Bancatore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8.8" x14ac:dyDescent="0.3">
      <c r="A365" s="1" t="str">
        <f>IF(KnockoutGoals!A16="","",KnockoutGoals!A16)</f>
        <v>QF2</v>
      </c>
      <c r="B365" s="1" t="str">
        <f>IF(KnockoutGoals!A16="","",KnockoutGoals!B16)</f>
        <v>AS Bancatore</v>
      </c>
      <c r="C365" s="1">
        <f>IF(KnockoutGoals!A16="","",KnockoutGoals!C16)</f>
        <v>3</v>
      </c>
      <c r="D365" s="1" t="str">
        <f>IF(KnockoutGoals!A16="","",KnockoutGoals!D16)</f>
        <v>Goal</v>
      </c>
      <c r="E365" s="1" t="str">
        <f>IF(KnockoutGoals!A16="","",KnockoutGoals!E16)</f>
        <v>9 - IGNAZIO BADALÌ</v>
      </c>
      <c r="F365" s="1" t="str">
        <f>IF(KnockoutGoals!A16="","",KnockoutGoals!F16)</f>
        <v>AS Bancatore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8.8" x14ac:dyDescent="0.3">
      <c r="A366" s="1" t="str">
        <f>IF(KnockoutGoals!A17="","",KnockoutGoals!A17)</f>
        <v>QF2</v>
      </c>
      <c r="B366" s="1" t="str">
        <f>IF(KnockoutGoals!A17="","",KnockoutGoals!B17)</f>
        <v>Piadineria la Salsiccia</v>
      </c>
      <c r="C366" s="1">
        <f>IF(KnockoutGoals!A17="","",KnockoutGoals!C17)</f>
        <v>1</v>
      </c>
      <c r="D366" s="1" t="str">
        <f>IF(KnockoutGoals!A17="","",KnockoutGoals!D17)</f>
        <v>Goal</v>
      </c>
      <c r="E366" s="1" t="str">
        <f>IF(KnockoutGoals!A17="","",KnockoutGoals!E17)</f>
        <v>3 - GABRIELE BARBIERATO</v>
      </c>
      <c r="F366" s="1" t="str">
        <f>IF(KnockoutGoals!A17="","",KnockoutGoals!F17)</f>
        <v>Piadineria la Salsiccia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8.8" x14ac:dyDescent="0.3">
      <c r="A367" s="1" t="str">
        <f>IF(KnockoutGoals!A18="","",KnockoutGoals!A18)</f>
        <v>QF2</v>
      </c>
      <c r="B367" s="1" t="str">
        <f>IF(KnockoutGoals!A18="","",KnockoutGoals!B18)</f>
        <v>Piadineria la Salsiccia</v>
      </c>
      <c r="C367" s="1">
        <f>IF(KnockoutGoals!A18="","",KnockoutGoals!C18)</f>
        <v>2</v>
      </c>
      <c r="D367" s="1" t="str">
        <f>IF(KnockoutGoals!A18="","",KnockoutGoals!D18)</f>
        <v>Goal</v>
      </c>
      <c r="E367" s="1" t="str">
        <f>IF(KnockoutGoals!A18="","",KnockoutGoals!E18)</f>
        <v>10 - RAFFAELE GAROFALO</v>
      </c>
      <c r="F367" s="1" t="str">
        <f>IF(KnockoutGoals!A18="","",KnockoutGoals!F18)</f>
        <v>Piadineria la Salsiccia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8.8" x14ac:dyDescent="0.3">
      <c r="A368" s="1" t="str">
        <f>IF(KnockoutGoals!A19="","",KnockoutGoals!A19)</f>
        <v>QF2</v>
      </c>
      <c r="B368" s="1" t="str">
        <f>IF(KnockoutGoals!A19="","",KnockoutGoals!B19)</f>
        <v>Piadineria la Salsiccia</v>
      </c>
      <c r="C368" s="1">
        <f>IF(KnockoutGoals!A19="","",KnockoutGoals!C19)</f>
        <v>3</v>
      </c>
      <c r="D368" s="1" t="str">
        <f>IF(KnockoutGoals!A19="","",KnockoutGoals!D19)</f>
        <v>Goal</v>
      </c>
      <c r="E368" s="1" t="str">
        <f>IF(KnockoutGoals!A19="","",KnockoutGoals!E19)</f>
        <v>9 - ANDREA BALDON</v>
      </c>
      <c r="F368" s="1" t="str">
        <f>IF(KnockoutGoals!A19="","",KnockoutGoals!F19)</f>
        <v>Piadineria la Salsiccia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8.8" x14ac:dyDescent="0.3">
      <c r="A375" s="1" t="str">
        <f>IF(KnockoutGoals!A26="","",KnockoutGoals!A26)</f>
        <v>QF3</v>
      </c>
      <c r="B375" s="1" t="str">
        <f>IF(KnockoutGoals!A26="","",KnockoutGoals!B26)</f>
        <v>Moviola Utd</v>
      </c>
      <c r="C375" s="1">
        <f>IF(KnockoutGoals!A26="","",KnockoutGoals!C26)</f>
        <v>1</v>
      </c>
      <c r="D375" s="1" t="str">
        <f>IF(KnockoutGoals!A26="","",KnockoutGoals!D26)</f>
        <v>Goal</v>
      </c>
      <c r="E375" s="1" t="str">
        <f>IF(KnockoutGoals!A26="","",KnockoutGoals!E26)</f>
        <v>70 - FILIPPO SCARANELLO</v>
      </c>
      <c r="F375" s="1" t="str">
        <f>IF(KnockoutGoals!A26="","",KnockoutGoals!F26)</f>
        <v>Moviola Utd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8.8" x14ac:dyDescent="0.3">
      <c r="A376" s="1" t="str">
        <f>IF(KnockoutGoals!A27="","",KnockoutGoals!A27)</f>
        <v>QF3</v>
      </c>
      <c r="B376" s="1" t="str">
        <f>IF(KnockoutGoals!A27="","",KnockoutGoals!B27)</f>
        <v>Leoni di Ricky</v>
      </c>
      <c r="C376" s="1">
        <f>IF(KnockoutGoals!A27="","",KnockoutGoals!C27)</f>
        <v>1</v>
      </c>
      <c r="D376" s="1" t="str">
        <f>IF(KnockoutGoals!A27="","",KnockoutGoals!D27)</f>
        <v>Goal</v>
      </c>
      <c r="E376" s="1" t="str">
        <f>IF(KnockoutGoals!A27="","",KnockoutGoals!E27)</f>
        <v>3 - LEONARDO MAGGIO</v>
      </c>
      <c r="F376" s="1" t="str">
        <f>IF(KnockoutGoals!A27="","",KnockoutGoals!F27)</f>
        <v>Leoni di Ricky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8.8" x14ac:dyDescent="0.3">
      <c r="A377" s="1" t="str">
        <f>IF(KnockoutGoals!A28="","",KnockoutGoals!A28)</f>
        <v>QF3</v>
      </c>
      <c r="B377" s="1" t="str">
        <f>IF(KnockoutGoals!A28="","",KnockoutGoals!B28)</f>
        <v>Leoni di Ricky</v>
      </c>
      <c r="C377" s="1">
        <f>IF(KnockoutGoals!A28="","",KnockoutGoals!C28)</f>
        <v>2</v>
      </c>
      <c r="D377" s="1" t="str">
        <f>IF(KnockoutGoals!A28="","",KnockoutGoals!D28)</f>
        <v>Goal</v>
      </c>
      <c r="E377" s="1" t="str">
        <f>IF(KnockoutGoals!A28="","",KnockoutGoals!E28)</f>
        <v>3 - LEONARDO MAGGIO</v>
      </c>
      <c r="F377" s="1" t="str">
        <f>IF(KnockoutGoals!A28="","",KnockoutGoals!F28)</f>
        <v>Leoni di Ricky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8.8" x14ac:dyDescent="0.3">
      <c r="A378" s="1" t="str">
        <f>IF(KnockoutGoals!A29="","",KnockoutGoals!A29)</f>
        <v>QF3</v>
      </c>
      <c r="B378" s="1" t="str">
        <f>IF(KnockoutGoals!A29="","",KnockoutGoals!B29)</f>
        <v>Leoni di Ricky</v>
      </c>
      <c r="C378" s="1">
        <f>IF(KnockoutGoals!A29="","",KnockoutGoals!C29)</f>
        <v>3</v>
      </c>
      <c r="D378" s="1" t="str">
        <f>IF(KnockoutGoals!A29="","",KnockoutGoals!D29)</f>
        <v>Goal</v>
      </c>
      <c r="E378" s="1" t="str">
        <f>IF(KnockoutGoals!A29="","",KnockoutGoals!E29)</f>
        <v>8 - GIACOMO BORTOLIERO</v>
      </c>
      <c r="F378" s="1" t="str">
        <f>IF(KnockoutGoals!A29="","",KnockoutGoals!F29)</f>
        <v>Leoni di Ricky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8.8" x14ac:dyDescent="0.3">
      <c r="A379" s="1" t="str">
        <f>IF(KnockoutGoals!A30="","",KnockoutGoals!A30)</f>
        <v>QF3</v>
      </c>
      <c r="B379" s="1" t="str">
        <f>IF(KnockoutGoals!A30="","",KnockoutGoals!B30)</f>
        <v>Leoni di Ricky</v>
      </c>
      <c r="C379" s="1">
        <f>IF(KnockoutGoals!A30="","",KnockoutGoals!C30)</f>
        <v>4</v>
      </c>
      <c r="D379" s="1" t="str">
        <f>IF(KnockoutGoals!A30="","",KnockoutGoals!D30)</f>
        <v>Goal</v>
      </c>
      <c r="E379" s="1" t="str">
        <f>IF(KnockoutGoals!A30="","",KnockoutGoals!E30)</f>
        <v>4 - AMIN MASSAGHRI (C)</v>
      </c>
      <c r="F379" s="1" t="str">
        <f>IF(KnockoutGoals!A30="","",KnockoutGoals!F30)</f>
        <v>Leoni di Ricky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8.8" x14ac:dyDescent="0.3">
      <c r="A380" s="1" t="str">
        <f>IF(KnockoutGoals!A31="","",KnockoutGoals!A31)</f>
        <v>QF3</v>
      </c>
      <c r="B380" s="1" t="str">
        <f>IF(KnockoutGoals!A31="","",KnockoutGoals!B31)</f>
        <v>Leoni di Ricky</v>
      </c>
      <c r="C380" s="1">
        <f>IF(KnockoutGoals!A31="","",KnockoutGoals!C31)</f>
        <v>5</v>
      </c>
      <c r="D380" s="1" t="str">
        <f>IF(KnockoutGoals!A31="","",KnockoutGoals!D31)</f>
        <v>Goal</v>
      </c>
      <c r="E380" s="1" t="str">
        <f>IF(KnockoutGoals!A31="","",KnockoutGoals!E31)</f>
        <v>6 - MARCO THOMPSON</v>
      </c>
      <c r="F380" s="1" t="str">
        <f>IF(KnockoutGoals!A31="","",KnockoutGoals!F31)</f>
        <v>Leoni di Ricky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8.8" x14ac:dyDescent="0.3">
      <c r="A381" s="1" t="str">
        <f>IF(KnockoutGoals!A32="","",KnockoutGoals!A32)</f>
        <v>QF3</v>
      </c>
      <c r="B381" s="1" t="str">
        <f>IF(KnockoutGoals!A32="","",KnockoutGoals!B32)</f>
        <v>Leoni di Ricky</v>
      </c>
      <c r="C381" s="1">
        <f>IF(KnockoutGoals!A32="","",KnockoutGoals!C32)</f>
        <v>6</v>
      </c>
      <c r="D381" s="1" t="str">
        <f>IF(KnockoutGoals!A32="","",KnockoutGoals!D32)</f>
        <v>Goal</v>
      </c>
      <c r="E381" s="1" t="str">
        <f>IF(KnockoutGoals!A32="","",KnockoutGoals!E32)</f>
        <v>6 - MARCO THOMPSON</v>
      </c>
      <c r="F381" s="1" t="str">
        <f>IF(KnockoutGoals!A32="","",KnockoutGoals!F32)</f>
        <v>Leoni di Ricky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43.2" x14ac:dyDescent="0.3">
      <c r="A387" s="1" t="str">
        <f>IF(KnockoutGoals!A38="","",KnockoutGoals!A38)</f>
        <v>QF4</v>
      </c>
      <c r="B387" s="1" t="str">
        <f>IF(KnockoutGoals!A38="","",KnockoutGoals!B38)</f>
        <v>Vecchie Glorie Rovigo</v>
      </c>
      <c r="C387" s="1">
        <f>IF(KnockoutGoals!A38="","",KnockoutGoals!C38)</f>
        <v>1</v>
      </c>
      <c r="D387" s="1" t="str">
        <f>IF(KnockoutGoals!A38="","",KnockoutGoals!D38)</f>
        <v>Goal</v>
      </c>
      <c r="E387" s="1" t="str">
        <f>IF(KnockoutGoals!A38="","",KnockoutGoals!E38)</f>
        <v>7 - DENIS TIMPANARO</v>
      </c>
      <c r="F387" s="1" t="str">
        <f>IF(KnockoutGoals!A38="","",KnockoutGoals!F38)</f>
        <v>Vecchie Glorie Rovigo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8.8" x14ac:dyDescent="0.3">
      <c r="A388" s="1" t="str">
        <f>IF(KnockoutGoals!A39="","",KnockoutGoals!A39)</f>
        <v>QF4</v>
      </c>
      <c r="B388" s="1" t="str">
        <f>IF(KnockoutGoals!A39="","",KnockoutGoals!B39)</f>
        <v>Boldò Glimt</v>
      </c>
      <c r="C388" s="1">
        <f>IF(KnockoutGoals!A39="","",KnockoutGoals!C39)</f>
        <v>1</v>
      </c>
      <c r="D388" s="1" t="str">
        <f>IF(KnockoutGoals!A39="","",KnockoutGoals!D39)</f>
        <v>Goal</v>
      </c>
      <c r="E388" s="1" t="str">
        <f>IF(KnockoutGoals!A39="","",KnockoutGoals!E39)</f>
        <v>10 - ALEX BERTIPAGLIA (C)</v>
      </c>
      <c r="F388" s="1" t="str">
        <f>IF(KnockoutGoals!A39="","",KnockoutGoals!F39)</f>
        <v>Boldò Glimt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8.8" x14ac:dyDescent="0.3">
      <c r="A389" s="1" t="str">
        <f>IF(KnockoutGoals!A40="","",KnockoutGoals!A40)</f>
        <v>QF4</v>
      </c>
      <c r="B389" s="1" t="str">
        <f>IF(KnockoutGoals!A40="","",KnockoutGoals!B40)</f>
        <v>Boldò Glimt</v>
      </c>
      <c r="C389" s="1">
        <f>IF(KnockoutGoals!A40="","",KnockoutGoals!C40)</f>
        <v>2</v>
      </c>
      <c r="D389" s="1" t="str">
        <f>IF(KnockoutGoals!A40="","",KnockoutGoals!D40)</f>
        <v>Goal</v>
      </c>
      <c r="E389" s="1" t="str">
        <f>IF(KnockoutGoals!A40="","",KnockoutGoals!E40)</f>
        <v>14 - FABIO FERRARI</v>
      </c>
      <c r="F389" s="1" t="str">
        <f>IF(KnockoutGoals!A40="","",KnockoutGoals!F40)</f>
        <v>Boldò Glimt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8.8" x14ac:dyDescent="0.3">
      <c r="A399" s="1" t="str">
        <f>IF(KnockoutGoals!A50="","",KnockoutGoals!A50)</f>
        <v>SF1</v>
      </c>
      <c r="B399" s="1" t="str">
        <f>IF(KnockoutGoals!A50="","",KnockoutGoals!B50)</f>
        <v>Barrio Boys</v>
      </c>
      <c r="C399" s="1">
        <f>IF(KnockoutGoals!A50="","",KnockoutGoals!C50)</f>
        <v>1</v>
      </c>
      <c r="D399" s="1" t="str">
        <f>IF(KnockoutGoals!A50="","",KnockoutGoals!D50)</f>
        <v>Goal</v>
      </c>
      <c r="E399" s="1" t="str">
        <f>IF(KnockoutGoals!A50="","",KnockoutGoals!E50)</f>
        <v>18 - MATTEO FERRO</v>
      </c>
      <c r="F399" s="1" t="str">
        <f>IF(KnockoutGoals!A50="","",KnockoutGoals!F50)</f>
        <v>Barrio Boys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8.8" x14ac:dyDescent="0.3">
      <c r="A400" s="1" t="str">
        <f>IF(KnockoutGoals!A51="","",KnockoutGoals!A51)</f>
        <v>SF1</v>
      </c>
      <c r="B400" s="1" t="str">
        <f>IF(KnockoutGoals!A51="","",KnockoutGoals!B51)</f>
        <v>Barrio Boys</v>
      </c>
      <c r="C400" s="1">
        <f>IF(KnockoutGoals!A51="","",KnockoutGoals!C51)</f>
        <v>2</v>
      </c>
      <c r="D400" s="1" t="str">
        <f>IF(KnockoutGoals!A51="","",KnockoutGoals!D51)</f>
        <v>Goal</v>
      </c>
      <c r="E400" s="1" t="str">
        <f>IF(KnockoutGoals!A51="","",KnockoutGoals!E51)</f>
        <v>18 - MATTEO FERRO</v>
      </c>
      <c r="F400" s="1" t="str">
        <f>IF(KnockoutGoals!A51="","",KnockoutGoals!F51)</f>
        <v>Barrio Boys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8.8" x14ac:dyDescent="0.3">
      <c r="A401" s="1" t="str">
        <f>IF(KnockoutGoals!A52="","",KnockoutGoals!A52)</f>
        <v>SF1</v>
      </c>
      <c r="B401" s="1" t="str">
        <f>IF(KnockoutGoals!A52="","",KnockoutGoals!B52)</f>
        <v>Barrio Boys</v>
      </c>
      <c r="C401" s="1">
        <f>IF(KnockoutGoals!A52="","",KnockoutGoals!C52)</f>
        <v>3</v>
      </c>
      <c r="D401" s="1" t="str">
        <f>IF(KnockoutGoals!A52="","",KnockoutGoals!D52)</f>
        <v>Goal</v>
      </c>
      <c r="E401" s="1" t="str">
        <f>IF(KnockoutGoals!A52="","",KnockoutGoals!E52)</f>
        <v>8 - FRANCESCO MARANGON</v>
      </c>
      <c r="F401" s="1" t="str">
        <f>IF(KnockoutGoals!A52="","",KnockoutGoals!F52)</f>
        <v>Barrio Boys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8.8" x14ac:dyDescent="0.3">
      <c r="A402" s="1" t="str">
        <f>IF(KnockoutGoals!A53="","",KnockoutGoals!A53)</f>
        <v>SF1</v>
      </c>
      <c r="B402" s="1" t="str">
        <f>IF(KnockoutGoals!A53="","",KnockoutGoals!B53)</f>
        <v>Barrio Boys</v>
      </c>
      <c r="C402" s="1">
        <f>IF(KnockoutGoals!A53="","",KnockoutGoals!C53)</f>
        <v>4</v>
      </c>
      <c r="D402" s="1" t="str">
        <f>IF(KnockoutGoals!A53="","",KnockoutGoals!D53)</f>
        <v>Goal</v>
      </c>
      <c r="E402" s="1" t="str">
        <f>IF(KnockoutGoals!A53="","",KnockoutGoals!E53)</f>
        <v>7 - FRANCESCO BERARDI</v>
      </c>
      <c r="F402" s="1" t="str">
        <f>IF(KnockoutGoals!A53="","",KnockoutGoals!F53)</f>
        <v>Barrio Boys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8.8" x14ac:dyDescent="0.3">
      <c r="A403" s="1" t="str">
        <f>IF(KnockoutGoals!A54="","",KnockoutGoals!A54)</f>
        <v>SF1</v>
      </c>
      <c r="B403" s="1" t="str">
        <f>IF(KnockoutGoals!A54="","",KnockoutGoals!B54)</f>
        <v>Barrio Boys</v>
      </c>
      <c r="C403" s="1">
        <f>IF(KnockoutGoals!A54="","",KnockoutGoals!C54)</f>
        <v>5</v>
      </c>
      <c r="D403" s="1" t="str">
        <f>IF(KnockoutGoals!A54="","",KnockoutGoals!D54)</f>
        <v>Goal</v>
      </c>
      <c r="E403" s="1" t="str">
        <f>IF(KnockoutGoals!A54="","",KnockoutGoals!E54)</f>
        <v>7 - FRANCESCO BERARDI</v>
      </c>
      <c r="F403" s="1" t="str">
        <f>IF(KnockoutGoals!A54="","",KnockoutGoals!F54)</f>
        <v>Barrio Boys</v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8.8" x14ac:dyDescent="0.3">
      <c r="A404" s="1" t="str">
        <f>IF(KnockoutGoals!A55="","",KnockoutGoals!A55)</f>
        <v>SF1</v>
      </c>
      <c r="B404" s="1" t="str">
        <f>IF(KnockoutGoals!A55="","",KnockoutGoals!B55)</f>
        <v>Barrio Boys</v>
      </c>
      <c r="C404" s="1">
        <f>IF(KnockoutGoals!A55="","",KnockoutGoals!C55)</f>
        <v>6</v>
      </c>
      <c r="D404" s="1" t="str">
        <f>IF(KnockoutGoals!A55="","",KnockoutGoals!D55)</f>
        <v>Goal</v>
      </c>
      <c r="E404" s="1" t="str">
        <f>IF(KnockoutGoals!A55="","",KnockoutGoals!E55)</f>
        <v>14 - EDOARDO CAVALLARI</v>
      </c>
      <c r="F404" s="1" t="str">
        <f>IF(KnockoutGoals!A55="","",KnockoutGoals!F55)</f>
        <v>Barrio Boys</v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8.8" x14ac:dyDescent="0.3">
      <c r="A405" s="1" t="str">
        <f>IF(KnockoutGoals!A56="","",KnockoutGoals!A56)</f>
        <v>SF1</v>
      </c>
      <c r="B405" s="1" t="str">
        <f>IF(KnockoutGoals!A56="","",KnockoutGoals!B56)</f>
        <v>AS Bancatore</v>
      </c>
      <c r="C405" s="1">
        <f>IF(KnockoutGoals!A56="","",KnockoutGoals!C56)</f>
        <v>1</v>
      </c>
      <c r="D405" s="1" t="str">
        <f>IF(KnockoutGoals!A56="","",KnockoutGoals!D56)</f>
        <v>Goal</v>
      </c>
      <c r="E405" s="1" t="str">
        <f>IF(KnockoutGoals!A56="","",KnockoutGoals!E56)</f>
        <v>9 - IGNAZIO BADALÌ</v>
      </c>
      <c r="F405" s="1" t="str">
        <f>IF(KnockoutGoals!A56="","",KnockoutGoals!F56)</f>
        <v>AS Bancatore</v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28.8" x14ac:dyDescent="0.3">
      <c r="A411" s="1" t="str">
        <f>IF(KnockoutGoals!A62="","",KnockoutGoals!A62)</f>
        <v>SF2</v>
      </c>
      <c r="B411" s="1" t="str">
        <f>IF(KnockoutGoals!A62="","",KnockoutGoals!B62)</f>
        <v>Leoni di Ricky</v>
      </c>
      <c r="C411" s="1">
        <f>IF(KnockoutGoals!A62="","",KnockoutGoals!C62)</f>
        <v>1</v>
      </c>
      <c r="D411" s="1" t="str">
        <f>IF(KnockoutGoals!A62="","",KnockoutGoals!D62)</f>
        <v>Goal</v>
      </c>
      <c r="E411" s="1" t="str">
        <f>IF(KnockoutGoals!A62="","",KnockoutGoals!E62)</f>
        <v>3 - LEONARDO MAGGIO</v>
      </c>
      <c r="F411" s="1" t="str">
        <f>IF(KnockoutGoals!A62="","",KnockoutGoals!F62)</f>
        <v>Leoni di Ricky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8.8" x14ac:dyDescent="0.3">
      <c r="A412" s="1" t="str">
        <f>IF(KnockoutGoals!A63="","",KnockoutGoals!A63)</f>
        <v>SF2</v>
      </c>
      <c r="B412" s="1" t="str">
        <f>IF(KnockoutGoals!A63="","",KnockoutGoals!B63)</f>
        <v>Leoni di Ricky</v>
      </c>
      <c r="C412" s="1">
        <f>IF(KnockoutGoals!A63="","",KnockoutGoals!C63)</f>
        <v>2</v>
      </c>
      <c r="D412" s="1" t="str">
        <f>IF(KnockoutGoals!A63="","",KnockoutGoals!D63)</f>
        <v>Goal</v>
      </c>
      <c r="E412" s="1" t="str">
        <f>IF(KnockoutGoals!A63="","",KnockoutGoals!E63)</f>
        <v>4 - AMIN MASSAGHRI (C)</v>
      </c>
      <c r="F412" s="1" t="str">
        <f>IF(KnockoutGoals!A63="","",KnockoutGoals!F63)</f>
        <v>Leoni di Ricky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8.8" x14ac:dyDescent="0.3">
      <c r="A413" s="1" t="str">
        <f>IF(KnockoutGoals!A64="","",KnockoutGoals!A64)</f>
        <v>SF2</v>
      </c>
      <c r="B413" s="1" t="str">
        <f>IF(KnockoutGoals!A64="","",KnockoutGoals!B64)</f>
        <v>Leoni di Ricky</v>
      </c>
      <c r="C413" s="1">
        <f>IF(KnockoutGoals!A64="","",KnockoutGoals!C64)</f>
        <v>3</v>
      </c>
      <c r="D413" s="1" t="str">
        <f>IF(KnockoutGoals!A64="","",KnockoutGoals!D64)</f>
        <v>Goal</v>
      </c>
      <c r="E413" s="1" t="str">
        <f>IF(KnockoutGoals!A64="","",KnockoutGoals!E64)</f>
        <v>10 - ANDREI BARZAGHIDEANU</v>
      </c>
      <c r="F413" s="1" t="str">
        <f>IF(KnockoutGoals!A64="","",KnockoutGoals!F64)</f>
        <v>Leoni di Ricky</v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8.8" x14ac:dyDescent="0.3">
      <c r="A414" s="1" t="str">
        <f>IF(KnockoutGoals!A65="","",KnockoutGoals!A65)</f>
        <v>SF2</v>
      </c>
      <c r="B414" s="1" t="str">
        <f>IF(KnockoutGoals!A65="","",KnockoutGoals!B65)</f>
        <v>Boldò Glimt</v>
      </c>
      <c r="C414" s="1">
        <f>IF(KnockoutGoals!A65="","",KnockoutGoals!C65)</f>
        <v>1</v>
      </c>
      <c r="D414" s="1" t="str">
        <f>IF(KnockoutGoals!A65="","",KnockoutGoals!D65)</f>
        <v>Goal</v>
      </c>
      <c r="E414" s="1" t="str">
        <f>IF(KnockoutGoals!A65="","",KnockoutGoals!E65)</f>
        <v>1 - MATTIA BELLUCCO</v>
      </c>
      <c r="F414" s="1" t="str">
        <f>IF(KnockoutGoals!A65="","",KnockoutGoals!F65)</f>
        <v>Boldò Glimt</v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>FIN</v>
      </c>
      <c r="B423" s="1" t="str">
        <f>IF(KnockoutGoals!A74="","",KnockoutGoals!B74)</f>
        <v>Barrio Boys</v>
      </c>
      <c r="C423" s="1">
        <f>IF(KnockoutGoals!A74="","",KnockoutGoals!C74)</f>
        <v>1</v>
      </c>
      <c r="D423" s="1" t="str">
        <f>IF(KnockoutGoals!A74="","",KnockoutGoals!D74)</f>
        <v>Goal</v>
      </c>
      <c r="E423" s="1" t="str">
        <f>IF(KnockoutGoals!A74="","",KnockoutGoals!E74)</f>
        <v>18 - MATTEO FERRO</v>
      </c>
      <c r="F423" s="1" t="str">
        <f>IF(KnockoutGoals!A74="","",KnockoutGoals!F74)</f>
        <v>Barrio Boys</v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>FIN</v>
      </c>
      <c r="B424" s="1" t="str">
        <f>IF(KnockoutGoals!A75="","",KnockoutGoals!B75)</f>
        <v>Barrio Boys</v>
      </c>
      <c r="C424" s="1">
        <f>IF(KnockoutGoals!A75="","",KnockoutGoals!C75)</f>
        <v>2</v>
      </c>
      <c r="D424" s="1" t="str">
        <f>IF(KnockoutGoals!A75="","",KnockoutGoals!D75)</f>
        <v>Goal</v>
      </c>
      <c r="E424" s="1" t="str">
        <f>IF(KnockoutGoals!A75="","",KnockoutGoals!E75)</f>
        <v>7 - FRANCESCO BERARDI</v>
      </c>
      <c r="F424" s="1" t="str">
        <f>IF(KnockoutGoals!A75="","",KnockoutGoals!F75)</f>
        <v>Barrio Boys</v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>FIN</v>
      </c>
      <c r="B425" s="1" t="str">
        <f>IF(KnockoutGoals!A76="","",KnockoutGoals!B76)</f>
        <v>Barrio Boys</v>
      </c>
      <c r="C425" s="1">
        <f>IF(KnockoutGoals!A76="","",KnockoutGoals!C76)</f>
        <v>3</v>
      </c>
      <c r="D425" s="1" t="str">
        <f>IF(KnockoutGoals!A76="","",KnockoutGoals!D76)</f>
        <v>Goal</v>
      </c>
      <c r="E425" s="1" t="str">
        <f>IF(KnockoutGoals!A76="","",KnockoutGoals!E76)</f>
        <v>8 - FRANCESCO MARANGON</v>
      </c>
      <c r="F425" s="1" t="str">
        <f>IF(KnockoutGoals!A76="","",KnockoutGoals!F76)</f>
        <v>Barrio Boys</v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>FIN</v>
      </c>
      <c r="B426" s="1" t="str">
        <f>IF(KnockoutGoals!A77="","",KnockoutGoals!B77)</f>
        <v>Leoni di Ricky</v>
      </c>
      <c r="C426" s="1">
        <f>IF(KnockoutGoals!A77="","",KnockoutGoals!C77)</f>
        <v>1</v>
      </c>
      <c r="D426" s="1" t="str">
        <f>IF(KnockoutGoals!A77="","",KnockoutGoals!D77)</f>
        <v>Goal</v>
      </c>
      <c r="E426" s="1" t="str">
        <f>IF(KnockoutGoals!A77="","",KnockoutGoals!E77)</f>
        <v>3 - LEONARDO MAGGIO</v>
      </c>
      <c r="F426" s="1" t="str">
        <f>IF(KnockoutGoals!A77="","",KnockoutGoals!F77)</f>
        <v>Leoni di Ricky</v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>FIN</v>
      </c>
      <c r="B427" s="1" t="str">
        <f>IF(KnockoutGoals!A78="","",KnockoutGoals!B78)</f>
        <v>Leoni di Ricky</v>
      </c>
      <c r="C427" s="1">
        <f>IF(KnockoutGoals!A78="","",KnockoutGoals!C78)</f>
        <v>2</v>
      </c>
      <c r="D427" s="1" t="str">
        <f>IF(KnockoutGoals!A78="","",KnockoutGoals!D78)</f>
        <v>Goal</v>
      </c>
      <c r="E427" s="1" t="str">
        <f>IF(KnockoutGoals!A78="","",KnockoutGoals!E78)</f>
        <v>3 - LEONARDO MAGGIO</v>
      </c>
      <c r="F427" s="1" t="str">
        <f>IF(KnockoutGoals!A78="","",KnockoutGoals!F78)</f>
        <v>Leoni di Ricky</v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>FIN</v>
      </c>
      <c r="B428" s="1" t="str">
        <f>IF(KnockoutGoals!A79="","",KnockoutGoals!B79)</f>
        <v>Leoni di Ricky</v>
      </c>
      <c r="C428" s="1">
        <f>IF(KnockoutGoals!A79="","",KnockoutGoals!C79)</f>
        <v>3</v>
      </c>
      <c r="D428" s="1" t="str">
        <f>IF(KnockoutGoals!A79="","",KnockoutGoals!D79)</f>
        <v>Goal</v>
      </c>
      <c r="E428" s="1" t="str">
        <f>IF(KnockoutGoals!A79="","",KnockoutGoals!E79)</f>
        <v>3 - LEONARDO MAGGIO</v>
      </c>
      <c r="F428" s="1" t="str">
        <f>IF(KnockoutGoals!A79="","",KnockoutGoals!F79)</f>
        <v>Leoni di Ricky</v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>FIN</v>
      </c>
      <c r="B429" s="1" t="str">
        <f>IF(KnockoutGoals!A80="","",KnockoutGoals!B80)</f>
        <v>Leoni di Ricky</v>
      </c>
      <c r="C429" s="1">
        <f>IF(KnockoutGoals!A80="","",KnockoutGoals!C80)</f>
        <v>4</v>
      </c>
      <c r="D429" s="1" t="str">
        <f>IF(KnockoutGoals!A80="","",KnockoutGoals!D80)</f>
        <v>Goal</v>
      </c>
      <c r="E429" s="1" t="str">
        <f>IF(KnockoutGoals!A80="","",KnockoutGoals!E80)</f>
        <v>10 - ANDREI BARZAGHIDEANU</v>
      </c>
      <c r="F429" s="1" t="str">
        <f>IF(KnockoutGoals!A80="","",KnockoutGoals!F80)</f>
        <v>Leoni di Ricky</v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2026-07-04T21:58:31Z</dcterms:modified>
</cp:coreProperties>
</file>