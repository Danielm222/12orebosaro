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retto\Documents\12ore26\12orebosaro\"/>
    </mc:Choice>
  </mc:AlternateContent>
  <xr:revisionPtr revIDLastSave="0" documentId="13_ncr:1_{C78C2455-8066-4F55-AE81-EBF5DA97F99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Settings" sheetId="2" r:id="rId2"/>
    <sheet name="Teams" sheetId="3" r:id="rId3"/>
    <sheet name="Rosters" sheetId="4" r:id="rId4"/>
    <sheet name="Players" sheetId="5" r:id="rId5"/>
    <sheet name="Matches" sheetId="6" r:id="rId6"/>
    <sheet name="Goals" sheetId="7" r:id="rId7"/>
    <sheet name="ScorerData" sheetId="8" r:id="rId8"/>
    <sheet name="TopScorers" sheetId="9" r:id="rId9"/>
    <sheet name="StandingsData" sheetId="10" r:id="rId10"/>
    <sheet name="Standings" sheetId="11" r:id="rId11"/>
    <sheet name="Knockout" sheetId="12" r:id="rId12"/>
    <sheet name="KnockoutGoals" sheetId="13" r:id="rId13"/>
    <sheet name="NoBounce" sheetId="16" r:id="rId14"/>
    <sheet name="Validation" sheetId="14" r:id="rId15"/>
    <sheet name="Export" sheetId="15" r:id="rId16"/>
  </sheets>
  <definedNames>
    <definedName name="_xlnm._FilterDatabase" localSheetId="12" hidden="1">KnockoutGoals!$A$1:$K$85</definedName>
    <definedName name="_xlnm._FilterDatabase" localSheetId="13" hidden="1">NoBounce!$A$1:$C$101</definedName>
    <definedName name="_xlnm._FilterDatabase" localSheetId="4" hidden="1">Players!$A$1:$G$481</definedName>
    <definedName name="TeamList">Teams!$C$2:$C$17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4" i="15" l="1"/>
  <c r="P84" i="15"/>
  <c r="O84" i="15"/>
  <c r="N84" i="15"/>
  <c r="Q83" i="15"/>
  <c r="P83" i="15"/>
  <c r="O83" i="15"/>
  <c r="N83" i="15"/>
  <c r="Q82" i="15"/>
  <c r="P82" i="15"/>
  <c r="O82" i="15"/>
  <c r="N82" i="15"/>
  <c r="Q81" i="15"/>
  <c r="P81" i="15"/>
  <c r="O81" i="15"/>
  <c r="N81" i="15"/>
  <c r="Q80" i="15"/>
  <c r="P80" i="15"/>
  <c r="O80" i="15"/>
  <c r="N80" i="15"/>
  <c r="Q79" i="15"/>
  <c r="P79" i="15"/>
  <c r="O79" i="15"/>
  <c r="N79" i="15"/>
  <c r="Q78" i="15"/>
  <c r="P78" i="15"/>
  <c r="O78" i="15"/>
  <c r="N78" i="15"/>
  <c r="Q77" i="15"/>
  <c r="P77" i="15"/>
  <c r="O77" i="15"/>
  <c r="N77" i="15"/>
  <c r="Q76" i="15"/>
  <c r="P76" i="15"/>
  <c r="O76" i="15"/>
  <c r="N76" i="15"/>
  <c r="Q75" i="15"/>
  <c r="P75" i="15"/>
  <c r="O75" i="15"/>
  <c r="N75" i="15"/>
  <c r="Q74" i="15"/>
  <c r="P74" i="15"/>
  <c r="O74" i="15"/>
  <c r="N74" i="15"/>
  <c r="Q73" i="15"/>
  <c r="P73" i="15"/>
  <c r="O73" i="15"/>
  <c r="N73" i="15"/>
  <c r="Q72" i="15"/>
  <c r="P72" i="15"/>
  <c r="O72" i="15"/>
  <c r="N72" i="15"/>
  <c r="Q71" i="15"/>
  <c r="P71" i="15"/>
  <c r="O71" i="15"/>
  <c r="N71" i="15"/>
  <c r="Q70" i="15"/>
  <c r="P70" i="15"/>
  <c r="O70" i="15"/>
  <c r="N70" i="15"/>
  <c r="Q69" i="15"/>
  <c r="P69" i="15"/>
  <c r="O69" i="15"/>
  <c r="N69" i="15"/>
  <c r="Q68" i="15"/>
  <c r="P68" i="15"/>
  <c r="O68" i="15"/>
  <c r="N68" i="15"/>
  <c r="Q67" i="15"/>
  <c r="P67" i="15"/>
  <c r="O67" i="15"/>
  <c r="N67" i="15"/>
  <c r="Q66" i="15"/>
  <c r="P66" i="15"/>
  <c r="O66" i="15"/>
  <c r="N66" i="15"/>
  <c r="Q65" i="15"/>
  <c r="P65" i="15"/>
  <c r="O65" i="15"/>
  <c r="N65" i="15"/>
  <c r="Q64" i="15"/>
  <c r="P64" i="15"/>
  <c r="O64" i="15"/>
  <c r="N64" i="15"/>
  <c r="Q63" i="15"/>
  <c r="P63" i="15"/>
  <c r="O63" i="15"/>
  <c r="N63" i="15"/>
  <c r="Q62" i="15"/>
  <c r="P62" i="15"/>
  <c r="O62" i="15"/>
  <c r="N62" i="15"/>
  <c r="Q61" i="15"/>
  <c r="P61" i="15"/>
  <c r="O61" i="15"/>
  <c r="N61" i="15"/>
  <c r="Q60" i="15"/>
  <c r="P60" i="15"/>
  <c r="O60" i="15"/>
  <c r="N60" i="15"/>
  <c r="Q59" i="15"/>
  <c r="P59" i="15"/>
  <c r="O59" i="15"/>
  <c r="N59" i="15"/>
  <c r="K59" i="15"/>
  <c r="J59" i="15"/>
  <c r="I59" i="15"/>
  <c r="H59" i="15"/>
  <c r="G59" i="15"/>
  <c r="F59" i="15"/>
  <c r="E59" i="15"/>
  <c r="D59" i="15"/>
  <c r="C59" i="15"/>
  <c r="B59" i="15"/>
  <c r="A59" i="15"/>
  <c r="Q58" i="15"/>
  <c r="P58" i="15"/>
  <c r="O58" i="15"/>
  <c r="N58" i="15"/>
  <c r="K58" i="15"/>
  <c r="J58" i="15"/>
  <c r="I58" i="15"/>
  <c r="H58" i="15"/>
  <c r="G58" i="15"/>
  <c r="F58" i="15"/>
  <c r="E58" i="15"/>
  <c r="D58" i="15"/>
  <c r="C58" i="15"/>
  <c r="B58" i="15"/>
  <c r="A58" i="15"/>
  <c r="Q57" i="15"/>
  <c r="P57" i="15"/>
  <c r="O57" i="15"/>
  <c r="N57" i="15"/>
  <c r="K57" i="15"/>
  <c r="J57" i="15"/>
  <c r="I57" i="15"/>
  <c r="H57" i="15"/>
  <c r="G57" i="15"/>
  <c r="F57" i="15"/>
  <c r="E57" i="15"/>
  <c r="D57" i="15"/>
  <c r="C57" i="15"/>
  <c r="B57" i="15"/>
  <c r="A57" i="15"/>
  <c r="Q56" i="15"/>
  <c r="P56" i="15"/>
  <c r="O56" i="15"/>
  <c r="N56" i="15"/>
  <c r="K56" i="15"/>
  <c r="J56" i="15"/>
  <c r="I56" i="15"/>
  <c r="H56" i="15"/>
  <c r="G56" i="15"/>
  <c r="F56" i="15"/>
  <c r="E56" i="15"/>
  <c r="D56" i="15"/>
  <c r="C56" i="15"/>
  <c r="B56" i="15"/>
  <c r="A56" i="15"/>
  <c r="Q55" i="15"/>
  <c r="P55" i="15"/>
  <c r="O55" i="15"/>
  <c r="N55" i="15"/>
  <c r="K55" i="15"/>
  <c r="J55" i="15"/>
  <c r="I55" i="15"/>
  <c r="H55" i="15"/>
  <c r="G55" i="15"/>
  <c r="F55" i="15"/>
  <c r="E55" i="15"/>
  <c r="D55" i="15"/>
  <c r="C55" i="15"/>
  <c r="B55" i="15"/>
  <c r="A55" i="15"/>
  <c r="K54" i="15"/>
  <c r="J54" i="15"/>
  <c r="I54" i="15"/>
  <c r="H54" i="15"/>
  <c r="G54" i="15"/>
  <c r="F54" i="15"/>
  <c r="E54" i="15"/>
  <c r="D54" i="15"/>
  <c r="C54" i="15"/>
  <c r="B54" i="15"/>
  <c r="A54" i="15"/>
  <c r="K53" i="15"/>
  <c r="J53" i="15"/>
  <c r="I53" i="15"/>
  <c r="H53" i="15"/>
  <c r="G53" i="15"/>
  <c r="F53" i="15"/>
  <c r="E53" i="15"/>
  <c r="D53" i="15"/>
  <c r="C53" i="15"/>
  <c r="B53" i="15"/>
  <c r="A53" i="15"/>
  <c r="K48" i="15"/>
  <c r="J48" i="15"/>
  <c r="I48" i="15"/>
  <c r="H48" i="15"/>
  <c r="G48" i="15"/>
  <c r="F48" i="15"/>
  <c r="E48" i="15"/>
  <c r="D48" i="15"/>
  <c r="C48" i="15"/>
  <c r="B48" i="15"/>
  <c r="A48" i="15"/>
  <c r="K47" i="15"/>
  <c r="J47" i="15"/>
  <c r="I47" i="15"/>
  <c r="H47" i="15"/>
  <c r="G47" i="15"/>
  <c r="F47" i="15"/>
  <c r="E47" i="15"/>
  <c r="D47" i="15"/>
  <c r="C47" i="15"/>
  <c r="B47" i="15"/>
  <c r="A47" i="15"/>
  <c r="K46" i="15"/>
  <c r="J46" i="15"/>
  <c r="I46" i="15"/>
  <c r="H46" i="15"/>
  <c r="G46" i="15"/>
  <c r="F46" i="15"/>
  <c r="E46" i="15"/>
  <c r="D46" i="15"/>
  <c r="C46" i="15"/>
  <c r="B46" i="15"/>
  <c r="A46" i="15"/>
  <c r="K45" i="15"/>
  <c r="J45" i="15"/>
  <c r="I45" i="15"/>
  <c r="H45" i="15"/>
  <c r="G45" i="15"/>
  <c r="F45" i="15"/>
  <c r="E45" i="15"/>
  <c r="D45" i="15"/>
  <c r="C45" i="15"/>
  <c r="B45" i="15"/>
  <c r="A45" i="15"/>
  <c r="K44" i="15"/>
  <c r="J44" i="15"/>
  <c r="I44" i="15"/>
  <c r="H44" i="15"/>
  <c r="G44" i="15"/>
  <c r="F44" i="15"/>
  <c r="E44" i="15"/>
  <c r="D44" i="15"/>
  <c r="C44" i="15"/>
  <c r="B44" i="15"/>
  <c r="A44" i="15"/>
  <c r="K43" i="15"/>
  <c r="J43" i="15"/>
  <c r="I43" i="15"/>
  <c r="H43" i="15"/>
  <c r="G43" i="15"/>
  <c r="F43" i="15"/>
  <c r="E43" i="15"/>
  <c r="D43" i="15"/>
  <c r="C43" i="15"/>
  <c r="B43" i="15"/>
  <c r="A43" i="15"/>
  <c r="K42" i="15"/>
  <c r="J42" i="15"/>
  <c r="I42" i="15"/>
  <c r="H42" i="15"/>
  <c r="G42" i="15"/>
  <c r="F42" i="15"/>
  <c r="E42" i="15"/>
  <c r="D42" i="15"/>
  <c r="C42" i="15"/>
  <c r="B42" i="15"/>
  <c r="A42" i="15"/>
  <c r="K41" i="15"/>
  <c r="J41" i="15"/>
  <c r="I41" i="15"/>
  <c r="H41" i="15"/>
  <c r="G41" i="15"/>
  <c r="F41" i="15"/>
  <c r="E41" i="15"/>
  <c r="D41" i="15"/>
  <c r="C41" i="15"/>
  <c r="B41" i="15"/>
  <c r="A41" i="15"/>
  <c r="K40" i="15"/>
  <c r="J40" i="15"/>
  <c r="I40" i="15"/>
  <c r="H40" i="15"/>
  <c r="G40" i="15"/>
  <c r="F40" i="15"/>
  <c r="E40" i="15"/>
  <c r="D40" i="15"/>
  <c r="C40" i="15"/>
  <c r="B40" i="15"/>
  <c r="A40" i="15"/>
  <c r="K39" i="15"/>
  <c r="J39" i="15"/>
  <c r="I39" i="15"/>
  <c r="H39" i="15"/>
  <c r="G39" i="15"/>
  <c r="F39" i="15"/>
  <c r="E39" i="15"/>
  <c r="D39" i="15"/>
  <c r="C39" i="15"/>
  <c r="B39" i="15"/>
  <c r="A39" i="15"/>
  <c r="K38" i="15"/>
  <c r="J38" i="15"/>
  <c r="I38" i="15"/>
  <c r="H38" i="15"/>
  <c r="G38" i="15"/>
  <c r="F38" i="15"/>
  <c r="E38" i="15"/>
  <c r="D38" i="15"/>
  <c r="C38" i="15"/>
  <c r="B38" i="15"/>
  <c r="A38" i="15"/>
  <c r="K37" i="15"/>
  <c r="J37" i="15"/>
  <c r="I37" i="15"/>
  <c r="H37" i="15"/>
  <c r="G37" i="15"/>
  <c r="F37" i="15"/>
  <c r="E37" i="15"/>
  <c r="D37" i="15"/>
  <c r="C37" i="15"/>
  <c r="B37" i="15"/>
  <c r="A37" i="15"/>
  <c r="K36" i="15"/>
  <c r="J36" i="15"/>
  <c r="I36" i="15"/>
  <c r="H36" i="15"/>
  <c r="G36" i="15"/>
  <c r="F36" i="15"/>
  <c r="E36" i="15"/>
  <c r="D36" i="15"/>
  <c r="C36" i="15"/>
  <c r="B36" i="15"/>
  <c r="A36" i="15"/>
  <c r="K35" i="15"/>
  <c r="J35" i="15"/>
  <c r="I35" i="15"/>
  <c r="H35" i="15"/>
  <c r="G35" i="15"/>
  <c r="F35" i="15"/>
  <c r="E35" i="15"/>
  <c r="D35" i="15"/>
  <c r="C35" i="15"/>
  <c r="B35" i="15"/>
  <c r="A35" i="15"/>
  <c r="K34" i="15"/>
  <c r="J34" i="15"/>
  <c r="I34" i="15"/>
  <c r="H34" i="15"/>
  <c r="G34" i="15"/>
  <c r="F34" i="15"/>
  <c r="E34" i="15"/>
  <c r="D34" i="15"/>
  <c r="C34" i="15"/>
  <c r="B34" i="15"/>
  <c r="A34" i="15"/>
  <c r="K33" i="15"/>
  <c r="J33" i="15"/>
  <c r="I33" i="15"/>
  <c r="H33" i="15"/>
  <c r="G33" i="15"/>
  <c r="F33" i="15"/>
  <c r="E33" i="15"/>
  <c r="D33" i="15"/>
  <c r="C33" i="15"/>
  <c r="B33" i="15"/>
  <c r="A33" i="15"/>
  <c r="K32" i="15"/>
  <c r="J32" i="15"/>
  <c r="I32" i="15"/>
  <c r="H32" i="15"/>
  <c r="G32" i="15"/>
  <c r="F32" i="15"/>
  <c r="E32" i="15"/>
  <c r="D32" i="15"/>
  <c r="C32" i="15"/>
  <c r="B32" i="15"/>
  <c r="A32" i="15"/>
  <c r="K31" i="15"/>
  <c r="J31" i="15"/>
  <c r="I31" i="15"/>
  <c r="H31" i="15"/>
  <c r="G31" i="15"/>
  <c r="F31" i="15"/>
  <c r="E31" i="15"/>
  <c r="D31" i="15"/>
  <c r="C31" i="15"/>
  <c r="B31" i="15"/>
  <c r="A31" i="15"/>
  <c r="K30" i="15"/>
  <c r="J30" i="15"/>
  <c r="I30" i="15"/>
  <c r="H30" i="15"/>
  <c r="G30" i="15"/>
  <c r="F30" i="15"/>
  <c r="E30" i="15"/>
  <c r="D30" i="15"/>
  <c r="C30" i="15"/>
  <c r="B30" i="15"/>
  <c r="A30" i="15"/>
  <c r="K29" i="15"/>
  <c r="J29" i="15"/>
  <c r="I29" i="15"/>
  <c r="H29" i="15"/>
  <c r="G29" i="15"/>
  <c r="F29" i="15"/>
  <c r="E29" i="15"/>
  <c r="D29" i="15"/>
  <c r="C29" i="15"/>
  <c r="B29" i="15"/>
  <c r="A29" i="15"/>
  <c r="K28" i="15"/>
  <c r="J28" i="15"/>
  <c r="I28" i="15"/>
  <c r="H28" i="15"/>
  <c r="G28" i="15"/>
  <c r="F28" i="15"/>
  <c r="E28" i="15"/>
  <c r="D28" i="15"/>
  <c r="C28" i="15"/>
  <c r="B28" i="15"/>
  <c r="A28" i="15"/>
  <c r="K27" i="15"/>
  <c r="J27" i="15"/>
  <c r="I27" i="15"/>
  <c r="H27" i="15"/>
  <c r="G27" i="15"/>
  <c r="F27" i="15"/>
  <c r="E27" i="15"/>
  <c r="D27" i="15"/>
  <c r="C27" i="15"/>
  <c r="B27" i="15"/>
  <c r="A27" i="15"/>
  <c r="K26" i="15"/>
  <c r="J26" i="15"/>
  <c r="I26" i="15"/>
  <c r="H26" i="15"/>
  <c r="G26" i="15"/>
  <c r="F26" i="15"/>
  <c r="E26" i="15"/>
  <c r="D26" i="15"/>
  <c r="C26" i="15"/>
  <c r="B26" i="15"/>
  <c r="A26" i="15"/>
  <c r="K25" i="15"/>
  <c r="J25" i="15"/>
  <c r="I25" i="15"/>
  <c r="H25" i="15"/>
  <c r="G25" i="15"/>
  <c r="F25" i="15"/>
  <c r="E25" i="15"/>
  <c r="D25" i="15"/>
  <c r="C25" i="15"/>
  <c r="B25" i="15"/>
  <c r="A25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J85" i="13"/>
  <c r="I85" i="13"/>
  <c r="J84" i="13"/>
  <c r="I84" i="13"/>
  <c r="J83" i="13"/>
  <c r="I83" i="13"/>
  <c r="J82" i="13"/>
  <c r="I82" i="13"/>
  <c r="J81" i="13"/>
  <c r="I81" i="13"/>
  <c r="J80" i="13"/>
  <c r="I80" i="13"/>
  <c r="J79" i="13"/>
  <c r="I79" i="13"/>
  <c r="A79" i="13" s="1"/>
  <c r="D79" i="13" s="1"/>
  <c r="J78" i="13"/>
  <c r="I78" i="13"/>
  <c r="A78" i="13" s="1"/>
  <c r="D78" i="13" s="1"/>
  <c r="J77" i="13"/>
  <c r="I77" i="13"/>
  <c r="J76" i="13"/>
  <c r="I76" i="13"/>
  <c r="J75" i="13"/>
  <c r="I75" i="13"/>
  <c r="J74" i="13"/>
  <c r="I74" i="13"/>
  <c r="J73" i="13"/>
  <c r="I73" i="13"/>
  <c r="J72" i="13"/>
  <c r="I72" i="13"/>
  <c r="J71" i="13"/>
  <c r="I71" i="13"/>
  <c r="J70" i="13"/>
  <c r="I70" i="13"/>
  <c r="J69" i="13"/>
  <c r="I69" i="13"/>
  <c r="J68" i="13"/>
  <c r="I68" i="13"/>
  <c r="J67" i="13"/>
  <c r="I67" i="13"/>
  <c r="A67" i="13" s="1"/>
  <c r="D67" i="13" s="1"/>
  <c r="J66" i="13"/>
  <c r="I66" i="13"/>
  <c r="J65" i="13"/>
  <c r="I65" i="13"/>
  <c r="J64" i="13"/>
  <c r="I64" i="13"/>
  <c r="J63" i="13"/>
  <c r="I63" i="13"/>
  <c r="A63" i="13" s="1"/>
  <c r="D63" i="13" s="1"/>
  <c r="J62" i="13"/>
  <c r="I62" i="13"/>
  <c r="J61" i="13"/>
  <c r="I61" i="13"/>
  <c r="J60" i="13"/>
  <c r="I60" i="13"/>
  <c r="J59" i="13"/>
  <c r="I59" i="13"/>
  <c r="J58" i="13"/>
  <c r="I58" i="13"/>
  <c r="J57" i="13"/>
  <c r="I57" i="13"/>
  <c r="J56" i="13"/>
  <c r="I56" i="13"/>
  <c r="J55" i="13"/>
  <c r="I55" i="13"/>
  <c r="J54" i="13"/>
  <c r="I54" i="13"/>
  <c r="J53" i="13"/>
  <c r="I53" i="13"/>
  <c r="J52" i="13"/>
  <c r="I52" i="13"/>
  <c r="J51" i="13"/>
  <c r="I51" i="13"/>
  <c r="J50" i="13"/>
  <c r="I50" i="13"/>
  <c r="J49" i="13"/>
  <c r="I49" i="13"/>
  <c r="J48" i="13"/>
  <c r="I48" i="13"/>
  <c r="J47" i="13"/>
  <c r="I47" i="13"/>
  <c r="J46" i="13"/>
  <c r="I46" i="13"/>
  <c r="J45" i="13"/>
  <c r="I45" i="13"/>
  <c r="J44" i="13"/>
  <c r="I44" i="13"/>
  <c r="J43" i="13"/>
  <c r="I43" i="13"/>
  <c r="J42" i="13"/>
  <c r="I42" i="13"/>
  <c r="J41" i="13"/>
  <c r="I41" i="13"/>
  <c r="J40" i="13"/>
  <c r="I40" i="13"/>
  <c r="J39" i="13"/>
  <c r="I39" i="13"/>
  <c r="J38" i="13"/>
  <c r="I38" i="13"/>
  <c r="J37" i="13"/>
  <c r="I37" i="13"/>
  <c r="J36" i="13"/>
  <c r="I36" i="13"/>
  <c r="J35" i="13"/>
  <c r="I35" i="13"/>
  <c r="J34" i="13"/>
  <c r="I34" i="13"/>
  <c r="J33" i="13"/>
  <c r="I33" i="13"/>
  <c r="J32" i="13"/>
  <c r="I32" i="13"/>
  <c r="J31" i="13"/>
  <c r="I31" i="13"/>
  <c r="J30" i="13"/>
  <c r="I30" i="13"/>
  <c r="J29" i="13"/>
  <c r="I29" i="13"/>
  <c r="J28" i="13"/>
  <c r="I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20" i="13"/>
  <c r="I20" i="13"/>
  <c r="J19" i="13"/>
  <c r="I19" i="13"/>
  <c r="J18" i="13"/>
  <c r="I18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J10" i="13"/>
  <c r="I10" i="13"/>
  <c r="J9" i="13"/>
  <c r="I9" i="13"/>
  <c r="J8" i="13"/>
  <c r="I8" i="13"/>
  <c r="J7" i="13"/>
  <c r="I7" i="13"/>
  <c r="J6" i="13"/>
  <c r="I6" i="13"/>
  <c r="J5" i="13"/>
  <c r="I5" i="13"/>
  <c r="J4" i="13"/>
  <c r="I4" i="13"/>
  <c r="J3" i="13"/>
  <c r="I3" i="13"/>
  <c r="J2" i="13"/>
  <c r="I2" i="13"/>
  <c r="M8" i="12"/>
  <c r="L8" i="12"/>
  <c r="M7" i="12"/>
  <c r="L7" i="12"/>
  <c r="M6" i="12"/>
  <c r="L6" i="12"/>
  <c r="M5" i="12"/>
  <c r="L5" i="12"/>
  <c r="M4" i="12"/>
  <c r="L4" i="12"/>
  <c r="M3" i="12"/>
  <c r="L3" i="12"/>
  <c r="M2" i="12"/>
  <c r="L2" i="12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A268" i="7" s="1"/>
  <c r="D268" i="7" s="1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A258" i="7" s="1"/>
  <c r="D258" i="7" s="1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A242" i="7" s="1"/>
  <c r="D242" i="7" s="1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A231" i="7" s="1"/>
  <c r="D231" i="7" s="1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A224" i="7" s="1"/>
  <c r="D224" i="7" s="1"/>
  <c r="J223" i="7"/>
  <c r="I223" i="7"/>
  <c r="J222" i="7"/>
  <c r="I222" i="7"/>
  <c r="J221" i="7"/>
  <c r="I221" i="7"/>
  <c r="J220" i="7"/>
  <c r="I220" i="7"/>
  <c r="J219" i="7"/>
  <c r="I219" i="7"/>
  <c r="J218" i="7"/>
  <c r="I218" i="7"/>
  <c r="A218" i="7" s="1"/>
  <c r="D218" i="7" s="1"/>
  <c r="J217" i="7"/>
  <c r="I217" i="7"/>
  <c r="J216" i="7"/>
  <c r="I216" i="7"/>
  <c r="J215" i="7"/>
  <c r="I215" i="7"/>
  <c r="J214" i="7"/>
  <c r="I214" i="7"/>
  <c r="J213" i="7"/>
  <c r="I213" i="7"/>
  <c r="J212" i="7"/>
  <c r="I212" i="7"/>
  <c r="A212" i="7" s="1"/>
  <c r="D212" i="7" s="1"/>
  <c r="J211" i="7"/>
  <c r="I211" i="7"/>
  <c r="J210" i="7"/>
  <c r="I210" i="7"/>
  <c r="J209" i="7"/>
  <c r="I209" i="7"/>
  <c r="J208" i="7"/>
  <c r="I208" i="7"/>
  <c r="J207" i="7"/>
  <c r="I207" i="7"/>
  <c r="J206" i="7"/>
  <c r="I206" i="7"/>
  <c r="A206" i="7" s="1"/>
  <c r="D206" i="7" s="1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A198" i="7" s="1"/>
  <c r="D198" i="7" s="1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A186" i="7" s="1"/>
  <c r="D186" i="7" s="1"/>
  <c r="J185" i="7"/>
  <c r="I185" i="7"/>
  <c r="A185" i="7" s="1"/>
  <c r="D185" i="7" s="1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A69" i="7" s="1"/>
  <c r="D69" i="7" s="1"/>
  <c r="J68" i="7"/>
  <c r="I68" i="7"/>
  <c r="J67" i="7"/>
  <c r="I67" i="7"/>
  <c r="J66" i="7"/>
  <c r="I66" i="7"/>
  <c r="J65" i="7"/>
  <c r="I65" i="7"/>
  <c r="J64" i="7"/>
  <c r="I64" i="7"/>
  <c r="J63" i="7"/>
  <c r="I63" i="7"/>
  <c r="A63" i="7" s="1"/>
  <c r="D63" i="7" s="1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P25" i="6"/>
  <c r="O25" i="6"/>
  <c r="N25" i="6"/>
  <c r="M25" i="6"/>
  <c r="L25" i="6"/>
  <c r="P24" i="6"/>
  <c r="O24" i="6"/>
  <c r="N24" i="6"/>
  <c r="M24" i="6"/>
  <c r="L24" i="6"/>
  <c r="P23" i="6"/>
  <c r="O23" i="6"/>
  <c r="N23" i="6"/>
  <c r="M23" i="6"/>
  <c r="L23" i="6"/>
  <c r="P22" i="6"/>
  <c r="O22" i="6"/>
  <c r="N22" i="6"/>
  <c r="M22" i="6"/>
  <c r="L22" i="6"/>
  <c r="P21" i="6"/>
  <c r="O21" i="6"/>
  <c r="N21" i="6"/>
  <c r="M21" i="6"/>
  <c r="L21" i="6"/>
  <c r="P20" i="6"/>
  <c r="O20" i="6"/>
  <c r="N20" i="6"/>
  <c r="M20" i="6"/>
  <c r="L20" i="6"/>
  <c r="P19" i="6"/>
  <c r="O19" i="6"/>
  <c r="N19" i="6"/>
  <c r="M19" i="6"/>
  <c r="L19" i="6"/>
  <c r="P18" i="6"/>
  <c r="O18" i="6"/>
  <c r="N18" i="6"/>
  <c r="M18" i="6"/>
  <c r="L18" i="6"/>
  <c r="P17" i="6"/>
  <c r="O17" i="6"/>
  <c r="N17" i="6"/>
  <c r="M17" i="6"/>
  <c r="L17" i="6"/>
  <c r="P16" i="6"/>
  <c r="O16" i="6"/>
  <c r="N16" i="6"/>
  <c r="M16" i="6"/>
  <c r="L16" i="6"/>
  <c r="P15" i="6"/>
  <c r="O15" i="6"/>
  <c r="N15" i="6"/>
  <c r="M15" i="6"/>
  <c r="L15" i="6"/>
  <c r="P14" i="6"/>
  <c r="O14" i="6"/>
  <c r="N14" i="6"/>
  <c r="M14" i="6"/>
  <c r="L14" i="6"/>
  <c r="P13" i="6"/>
  <c r="O13" i="6"/>
  <c r="N13" i="6"/>
  <c r="M13" i="6"/>
  <c r="L13" i="6"/>
  <c r="P12" i="6"/>
  <c r="O12" i="6"/>
  <c r="N12" i="6"/>
  <c r="M12" i="6"/>
  <c r="L12" i="6"/>
  <c r="P11" i="6"/>
  <c r="O11" i="6"/>
  <c r="N11" i="6"/>
  <c r="M11" i="6"/>
  <c r="L11" i="6"/>
  <c r="P10" i="6"/>
  <c r="O10" i="6"/>
  <c r="N10" i="6"/>
  <c r="M10" i="6"/>
  <c r="L10" i="6"/>
  <c r="P9" i="6"/>
  <c r="O9" i="6"/>
  <c r="N9" i="6"/>
  <c r="M9" i="6"/>
  <c r="L9" i="6"/>
  <c r="P8" i="6"/>
  <c r="O8" i="6"/>
  <c r="N8" i="6"/>
  <c r="M8" i="6"/>
  <c r="L8" i="6"/>
  <c r="P7" i="6"/>
  <c r="O7" i="6"/>
  <c r="N7" i="6"/>
  <c r="M7" i="6"/>
  <c r="L7" i="6"/>
  <c r="P6" i="6"/>
  <c r="O6" i="6"/>
  <c r="N6" i="6"/>
  <c r="M6" i="6"/>
  <c r="L6" i="6"/>
  <c r="P5" i="6"/>
  <c r="O5" i="6"/>
  <c r="N5" i="6"/>
  <c r="M5" i="6"/>
  <c r="L5" i="6"/>
  <c r="P4" i="6"/>
  <c r="O4" i="6"/>
  <c r="N4" i="6"/>
  <c r="M4" i="6"/>
  <c r="L4" i="6"/>
  <c r="P3" i="6"/>
  <c r="O3" i="6"/>
  <c r="N3" i="6"/>
  <c r="M3" i="6"/>
  <c r="L3" i="6"/>
  <c r="P2" i="6"/>
  <c r="O2" i="6"/>
  <c r="N2" i="6"/>
  <c r="M2" i="6"/>
  <c r="L2" i="6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16" i="13" l="1"/>
  <c r="A413" i="5"/>
  <c r="B413" i="5"/>
  <c r="A257" i="7"/>
  <c r="D257" i="7" s="1"/>
  <c r="A205" i="7"/>
  <c r="D205" i="7" s="1"/>
  <c r="A200" i="7"/>
  <c r="D200" i="7" s="1"/>
  <c r="A197" i="7"/>
  <c r="D197" i="7" s="1"/>
  <c r="A77" i="13"/>
  <c r="D77" i="13" s="1"/>
  <c r="A74" i="13"/>
  <c r="D74" i="13" s="1"/>
  <c r="A66" i="13"/>
  <c r="D66" i="13" s="1"/>
  <c r="A190" i="7"/>
  <c r="D190" i="7" s="1"/>
  <c r="A187" i="7"/>
  <c r="D187" i="7" s="1"/>
  <c r="A48" i="7"/>
  <c r="D48" i="7" s="1"/>
  <c r="A28" i="13"/>
  <c r="D28" i="13" s="1"/>
  <c r="A15" i="13"/>
  <c r="D15" i="13" s="1"/>
  <c r="A261" i="7"/>
  <c r="D261" i="7" s="1"/>
  <c r="A62" i="13"/>
  <c r="D62" i="13" s="1"/>
  <c r="A404" i="5"/>
  <c r="A68" i="13"/>
  <c r="D68" i="13" s="1"/>
  <c r="A26" i="13"/>
  <c r="D26" i="13" s="1"/>
  <c r="A70" i="13"/>
  <c r="D70" i="13" s="1"/>
  <c r="A285" i="5"/>
  <c r="B285" i="5"/>
  <c r="A411" i="5"/>
  <c r="B404" i="5"/>
  <c r="A408" i="5"/>
  <c r="C404" i="5"/>
  <c r="D404" i="5"/>
  <c r="C413" i="5"/>
  <c r="A392" i="5"/>
  <c r="A316" i="5"/>
  <c r="B412" i="5"/>
  <c r="B408" i="5"/>
  <c r="A403" i="5"/>
  <c r="C400" i="5"/>
  <c r="D395" i="5"/>
  <c r="A395" i="5"/>
  <c r="D394" i="5"/>
  <c r="C391" i="5"/>
  <c r="B390" i="5"/>
  <c r="B389" i="5"/>
  <c r="A389" i="5"/>
  <c r="A388" i="5"/>
  <c r="D387" i="5"/>
  <c r="A387" i="5"/>
  <c r="B386" i="5"/>
  <c r="A385" i="5"/>
  <c r="B384" i="5"/>
  <c r="B415" i="5"/>
  <c r="A412" i="5"/>
  <c r="B410" i="5"/>
  <c r="A406" i="5"/>
  <c r="A405" i="5"/>
  <c r="B393" i="5"/>
  <c r="A271" i="7"/>
  <c r="D271" i="7" s="1"/>
  <c r="B430" i="5"/>
  <c r="D413" i="5"/>
  <c r="A410" i="5"/>
  <c r="C408" i="5"/>
  <c r="B402" i="5"/>
  <c r="A401" i="5"/>
  <c r="B400" i="5"/>
  <c r="B395" i="5"/>
  <c r="B394" i="5"/>
  <c r="D393" i="5"/>
  <c r="A393" i="5"/>
  <c r="C392" i="5"/>
  <c r="B392" i="5"/>
  <c r="B391" i="5"/>
  <c r="A391" i="5"/>
  <c r="C390" i="5"/>
  <c r="C387" i="5"/>
  <c r="C384" i="5"/>
  <c r="A382" i="5"/>
  <c r="D408" i="5"/>
  <c r="C402" i="5"/>
  <c r="D400" i="5"/>
  <c r="A400" i="5"/>
  <c r="C395" i="5"/>
  <c r="C394" i="5"/>
  <c r="C393" i="5"/>
  <c r="A384" i="5"/>
  <c r="A360" i="5"/>
  <c r="B411" i="5"/>
  <c r="B406" i="5"/>
  <c r="B405" i="5"/>
  <c r="A396" i="5"/>
  <c r="A386" i="5"/>
  <c r="D384" i="5"/>
  <c r="B360" i="5"/>
  <c r="A402" i="5"/>
  <c r="A394" i="5"/>
  <c r="D392" i="5"/>
  <c r="D391" i="5"/>
  <c r="A390" i="5"/>
  <c r="C389" i="5"/>
  <c r="B388" i="5"/>
  <c r="B387" i="5"/>
  <c r="C386" i="5"/>
  <c r="A58" i="7"/>
  <c r="D58" i="7" s="1"/>
  <c r="A26" i="7"/>
  <c r="D26" i="7" s="1"/>
  <c r="A62" i="7"/>
  <c r="D62" i="7" s="1"/>
  <c r="A27" i="13"/>
  <c r="D27" i="13" s="1"/>
  <c r="A133" i="7"/>
  <c r="D133" i="7" s="1"/>
  <c r="A19" i="13"/>
  <c r="D19" i="13" s="1"/>
  <c r="A18" i="13"/>
  <c r="D18" i="13" s="1"/>
  <c r="A361" i="5"/>
  <c r="B361" i="5"/>
  <c r="C360" i="5"/>
  <c r="A351" i="5"/>
  <c r="B331" i="5"/>
  <c r="A304" i="5"/>
  <c r="A303" i="5"/>
  <c r="C302" i="5"/>
  <c r="D362" i="5"/>
  <c r="D360" i="5"/>
  <c r="B358" i="5"/>
  <c r="B349" i="5"/>
  <c r="A344" i="5"/>
  <c r="D303" i="5"/>
  <c r="B302" i="5"/>
  <c r="C301" i="5"/>
  <c r="A292" i="5"/>
  <c r="A252" i="7"/>
  <c r="D252" i="7" s="1"/>
  <c r="D385" i="5"/>
  <c r="C362" i="5"/>
  <c r="A362" i="5"/>
  <c r="D361" i="5"/>
  <c r="D359" i="5"/>
  <c r="B359" i="5"/>
  <c r="A355" i="5"/>
  <c r="A350" i="5"/>
  <c r="A349" i="5"/>
  <c r="B344" i="5"/>
  <c r="A327" i="5"/>
  <c r="A315" i="5"/>
  <c r="A310" i="5"/>
  <c r="D308" i="5"/>
  <c r="B308" i="5"/>
  <c r="B307" i="5"/>
  <c r="A306" i="5"/>
  <c r="C303" i="5"/>
  <c r="A296" i="5"/>
  <c r="A295" i="5"/>
  <c r="A289" i="5"/>
  <c r="A284" i="5"/>
  <c r="D406" i="5"/>
  <c r="C406" i="5"/>
  <c r="D405" i="5"/>
  <c r="C405" i="5"/>
  <c r="D403" i="5"/>
  <c r="C403" i="5"/>
  <c r="B403" i="5"/>
  <c r="D402" i="5"/>
  <c r="D401" i="5"/>
  <c r="C401" i="5"/>
  <c r="B401" i="5"/>
  <c r="D399" i="5"/>
  <c r="C399" i="5"/>
  <c r="B399" i="5"/>
  <c r="A399" i="5"/>
  <c r="D398" i="5"/>
  <c r="C398" i="5"/>
  <c r="B398" i="5"/>
  <c r="A398" i="5"/>
  <c r="D396" i="5"/>
  <c r="C396" i="5"/>
  <c r="B396" i="5"/>
  <c r="D390" i="5"/>
  <c r="D388" i="5"/>
  <c r="C388" i="5"/>
  <c r="B385" i="5"/>
  <c r="B382" i="5"/>
  <c r="A381" i="5"/>
  <c r="A376" i="5"/>
  <c r="B374" i="5"/>
  <c r="B362" i="5"/>
  <c r="D358" i="5"/>
  <c r="A358" i="5"/>
  <c r="B348" i="5"/>
  <c r="B343" i="5"/>
  <c r="B315" i="5"/>
  <c r="A314" i="5"/>
  <c r="A307" i="5"/>
  <c r="B306" i="5"/>
  <c r="B304" i="5"/>
  <c r="B303" i="5"/>
  <c r="D302" i="5"/>
  <c r="A302" i="5"/>
  <c r="D301" i="5"/>
  <c r="B301" i="5"/>
  <c r="A417" i="5"/>
  <c r="D412" i="5"/>
  <c r="C412" i="5"/>
  <c r="D411" i="5"/>
  <c r="C411" i="5"/>
  <c r="D410" i="5"/>
  <c r="C410" i="5"/>
  <c r="D409" i="5"/>
  <c r="C409" i="5"/>
  <c r="B409" i="5"/>
  <c r="A409" i="5"/>
  <c r="D407" i="5"/>
  <c r="C407" i="5"/>
  <c r="B407" i="5"/>
  <c r="D397" i="5"/>
  <c r="C397" i="5"/>
  <c r="B397" i="5"/>
  <c r="A397" i="5"/>
  <c r="D389" i="5"/>
  <c r="D386" i="5"/>
  <c r="C385" i="5"/>
  <c r="C382" i="5"/>
  <c r="A374" i="5"/>
  <c r="C361" i="5"/>
  <c r="C359" i="5"/>
  <c r="A359" i="5"/>
  <c r="C358" i="5"/>
  <c r="A348" i="5"/>
  <c r="A343" i="5"/>
  <c r="A331" i="5"/>
  <c r="C308" i="5"/>
  <c r="A308" i="5"/>
  <c r="A297" i="5"/>
  <c r="B296" i="5"/>
  <c r="B295" i="5"/>
  <c r="B289" i="5"/>
  <c r="A238" i="5"/>
  <c r="A290" i="5"/>
  <c r="C273" i="5"/>
  <c r="A251" i="5"/>
  <c r="A294" i="5"/>
  <c r="A271" i="5"/>
  <c r="A256" i="5"/>
  <c r="B294" i="5"/>
  <c r="A291" i="5"/>
  <c r="C289" i="5"/>
  <c r="A283" i="5"/>
  <c r="B273" i="5"/>
  <c r="A273" i="5"/>
  <c r="A272" i="5"/>
  <c r="A267" i="5"/>
  <c r="A253" i="5"/>
  <c r="A151" i="5"/>
  <c r="B298" i="5"/>
  <c r="A165" i="5"/>
  <c r="A118" i="5"/>
  <c r="A298" i="5"/>
  <c r="A269" i="7"/>
  <c r="D269" i="7" s="1"/>
  <c r="A41" i="7"/>
  <c r="D41" i="7" s="1"/>
  <c r="D145" i="5"/>
  <c r="A45" i="7"/>
  <c r="D45" i="7" s="1"/>
  <c r="A84" i="13"/>
  <c r="D84" i="13" s="1"/>
  <c r="A251" i="7"/>
  <c r="D251" i="7" s="1"/>
  <c r="A238" i="7"/>
  <c r="D238" i="7" s="1"/>
  <c r="A436" i="5"/>
  <c r="A256" i="7"/>
  <c r="D256" i="7" s="1"/>
  <c r="A241" i="7"/>
  <c r="D241" i="7" s="1"/>
  <c r="A240" i="7"/>
  <c r="D240" i="7" s="1"/>
  <c r="A237" i="7"/>
  <c r="D237" i="7" s="1"/>
  <c r="A92" i="7"/>
  <c r="D92" i="7" s="1"/>
  <c r="A59" i="7"/>
  <c r="D59" i="7" s="1"/>
  <c r="A42" i="7"/>
  <c r="D42" i="7" s="1"/>
  <c r="A35" i="7"/>
  <c r="D35" i="7" s="1"/>
  <c r="A262" i="7"/>
  <c r="D262" i="7" s="1"/>
  <c r="A259" i="7"/>
  <c r="D259" i="7" s="1"/>
  <c r="A246" i="7"/>
  <c r="D246" i="7" s="1"/>
  <c r="A243" i="7"/>
  <c r="D243" i="7" s="1"/>
  <c r="A235" i="7"/>
  <c r="D235" i="7" s="1"/>
  <c r="A91" i="7"/>
  <c r="D91" i="7" s="1"/>
  <c r="A89" i="7"/>
  <c r="D89" i="7" s="1"/>
  <c r="A78" i="7"/>
  <c r="D78" i="7" s="1"/>
  <c r="A46" i="7"/>
  <c r="D46" i="7" s="1"/>
  <c r="A43" i="7"/>
  <c r="D43" i="7" s="1"/>
  <c r="A40" i="7"/>
  <c r="D40" i="7" s="1"/>
  <c r="A255" i="7"/>
  <c r="D255" i="7" s="1"/>
  <c r="A254" i="7"/>
  <c r="D254" i="7" s="1"/>
  <c r="A253" i="7"/>
  <c r="D253" i="7" s="1"/>
  <c r="A249" i="7"/>
  <c r="D249" i="7" s="1"/>
  <c r="A248" i="7"/>
  <c r="D248" i="7" s="1"/>
  <c r="A247" i="7"/>
  <c r="D247" i="7" s="1"/>
  <c r="A236" i="7"/>
  <c r="D236" i="7" s="1"/>
  <c r="A86" i="7"/>
  <c r="D86" i="7" s="1"/>
  <c r="A61" i="7"/>
  <c r="D61" i="7" s="1"/>
  <c r="A52" i="7"/>
  <c r="D52" i="7" s="1"/>
  <c r="A2" i="13"/>
  <c r="D2" i="13" s="1"/>
  <c r="A263" i="7"/>
  <c r="D263" i="7" s="1"/>
  <c r="A260" i="7"/>
  <c r="D260" i="7" s="1"/>
  <c r="A49" i="7"/>
  <c r="D49" i="7" s="1"/>
  <c r="A47" i="7"/>
  <c r="D47" i="7" s="1"/>
  <c r="A83" i="7"/>
  <c r="D83" i="7" s="1"/>
  <c r="A244" i="7"/>
  <c r="D244" i="7" s="1"/>
  <c r="A85" i="7"/>
  <c r="D85" i="7" s="1"/>
  <c r="A301" i="5"/>
  <c r="A82" i="7"/>
  <c r="D82" i="7" s="1"/>
  <c r="A51" i="7"/>
  <c r="D51" i="7" s="1"/>
  <c r="A50" i="7"/>
  <c r="D50" i="7" s="1"/>
  <c r="A44" i="7"/>
  <c r="D44" i="7" s="1"/>
  <c r="A39" i="7"/>
  <c r="D39" i="7" s="1"/>
  <c r="A38" i="7"/>
  <c r="D38" i="7" s="1"/>
  <c r="A37" i="7"/>
  <c r="D37" i="7" s="1"/>
  <c r="A233" i="7"/>
  <c r="D233" i="7" s="1"/>
  <c r="A232" i="7"/>
  <c r="D232" i="7" s="1"/>
  <c r="A226" i="7"/>
  <c r="D226" i="7" s="1"/>
  <c r="A77" i="7"/>
  <c r="D77" i="7" s="1"/>
  <c r="A74" i="7"/>
  <c r="D74" i="7" s="1"/>
  <c r="A64" i="7"/>
  <c r="D64" i="7" s="1"/>
  <c r="A60" i="7"/>
  <c r="D60" i="7" s="1"/>
  <c r="D271" i="5"/>
  <c r="A263" i="5"/>
  <c r="C250" i="5"/>
  <c r="A250" i="5"/>
  <c r="A241" i="5"/>
  <c r="B240" i="5"/>
  <c r="B238" i="5"/>
  <c r="C237" i="5"/>
  <c r="B158" i="5"/>
  <c r="C157" i="5"/>
  <c r="D156" i="5"/>
  <c r="D155" i="5"/>
  <c r="B152" i="5"/>
  <c r="A245" i="7"/>
  <c r="D245" i="7" s="1"/>
  <c r="A73" i="7"/>
  <c r="D73" i="7" s="1"/>
  <c r="A237" i="5"/>
  <c r="D151" i="5"/>
  <c r="D150" i="5"/>
  <c r="D149" i="5"/>
  <c r="A146" i="5"/>
  <c r="A145" i="5"/>
  <c r="C144" i="5"/>
  <c r="A250" i="7"/>
  <c r="D250" i="7" s="1"/>
  <c r="A234" i="7"/>
  <c r="D234" i="7" s="1"/>
  <c r="A229" i="7"/>
  <c r="D229" i="7" s="1"/>
  <c r="A227" i="7"/>
  <c r="D227" i="7" s="1"/>
  <c r="A225" i="7"/>
  <c r="D225" i="7" s="1"/>
  <c r="A56" i="7"/>
  <c r="D56" i="7" s="1"/>
  <c r="A55" i="7"/>
  <c r="D55" i="7" s="1"/>
  <c r="A155" i="5"/>
  <c r="A153" i="5"/>
  <c r="C151" i="5"/>
  <c r="B150" i="5"/>
  <c r="A149" i="5"/>
  <c r="C148" i="5"/>
  <c r="B147" i="5"/>
  <c r="D146" i="5"/>
  <c r="C145" i="5"/>
  <c r="B144" i="5"/>
  <c r="A239" i="7"/>
  <c r="D239" i="7" s="1"/>
  <c r="A230" i="7"/>
  <c r="D230" i="7" s="1"/>
  <c r="A228" i="7"/>
  <c r="D228" i="7" s="1"/>
  <c r="A262" i="5"/>
  <c r="A242" i="5"/>
  <c r="C238" i="5"/>
  <c r="C158" i="5"/>
  <c r="A158" i="5"/>
  <c r="A157" i="5"/>
  <c r="C149" i="5"/>
  <c r="D148" i="5"/>
  <c r="D147" i="5"/>
  <c r="D144" i="5"/>
  <c r="A57" i="7"/>
  <c r="D57" i="7" s="1"/>
  <c r="A54" i="7"/>
  <c r="D54" i="7" s="1"/>
  <c r="B251" i="5"/>
  <c r="C240" i="5"/>
  <c r="A240" i="5"/>
  <c r="B237" i="5"/>
  <c r="B157" i="5"/>
  <c r="B156" i="5"/>
  <c r="C154" i="5"/>
  <c r="D153" i="5"/>
  <c r="A152" i="5"/>
  <c r="A59" i="5"/>
  <c r="A53" i="7"/>
  <c r="D53" i="7" s="1"/>
  <c r="B290" i="5"/>
  <c r="C283" i="5"/>
  <c r="B283" i="5"/>
  <c r="A282" i="5"/>
  <c r="C276" i="5"/>
  <c r="B276" i="5"/>
  <c r="A276" i="5"/>
  <c r="D274" i="5"/>
  <c r="C274" i="5"/>
  <c r="B274" i="5"/>
  <c r="A274" i="5"/>
  <c r="C271" i="5"/>
  <c r="B271" i="5"/>
  <c r="B165" i="5"/>
  <c r="A156" i="5"/>
  <c r="B155" i="5"/>
  <c r="D154" i="5"/>
  <c r="A154" i="5"/>
  <c r="B153" i="5"/>
  <c r="C152" i="5"/>
  <c r="C150" i="5"/>
  <c r="A148" i="5"/>
  <c r="C147" i="5"/>
  <c r="A147" i="5"/>
  <c r="C146" i="5"/>
  <c r="A407" i="5"/>
  <c r="B297" i="5"/>
  <c r="A288" i="5"/>
  <c r="B284" i="5"/>
  <c r="A277" i="5"/>
  <c r="A275" i="5"/>
  <c r="D273" i="5"/>
  <c r="D250" i="5"/>
  <c r="B250" i="5"/>
  <c r="D158" i="5"/>
  <c r="D157" i="5"/>
  <c r="C156" i="5"/>
  <c r="C155" i="5"/>
  <c r="B154" i="5"/>
  <c r="C153" i="5"/>
  <c r="D152" i="5"/>
  <c r="B151" i="5"/>
  <c r="A150" i="5"/>
  <c r="B149" i="5"/>
  <c r="B148" i="5"/>
  <c r="B146" i="5"/>
  <c r="B145" i="5"/>
  <c r="A144" i="5"/>
  <c r="A76" i="13"/>
  <c r="D76" i="13" s="1"/>
  <c r="A75" i="13"/>
  <c r="D75" i="13" s="1"/>
  <c r="A25" i="13"/>
  <c r="D25" i="13" s="1"/>
  <c r="A222" i="7"/>
  <c r="D222" i="7" s="1"/>
  <c r="A221" i="7"/>
  <c r="D221" i="7" s="1"/>
  <c r="A220" i="7"/>
  <c r="D220" i="7" s="1"/>
  <c r="A219" i="7"/>
  <c r="D219" i="7" s="1"/>
  <c r="A217" i="7"/>
  <c r="D217" i="7" s="1"/>
  <c r="A215" i="7"/>
  <c r="D215" i="7" s="1"/>
  <c r="A214" i="7"/>
  <c r="D214" i="7" s="1"/>
  <c r="A199" i="7"/>
  <c r="D199" i="7" s="1"/>
  <c r="A192" i="7"/>
  <c r="D192" i="7" s="1"/>
  <c r="A184" i="7"/>
  <c r="D184" i="7" s="1"/>
  <c r="A183" i="7"/>
  <c r="D183" i="7" s="1"/>
  <c r="C143" i="5"/>
  <c r="A143" i="5"/>
  <c r="D141" i="5"/>
  <c r="C140" i="5"/>
  <c r="B139" i="5"/>
  <c r="B138" i="5"/>
  <c r="A137" i="5"/>
  <c r="C136" i="5"/>
  <c r="C135" i="5"/>
  <c r="C134" i="5"/>
  <c r="D133" i="5"/>
  <c r="A133" i="5"/>
  <c r="D129" i="5"/>
  <c r="D128" i="5"/>
  <c r="A127" i="5"/>
  <c r="C126" i="5"/>
  <c r="B125" i="5"/>
  <c r="B121" i="5"/>
  <c r="A120" i="5"/>
  <c r="B119" i="5"/>
  <c r="B118" i="5"/>
  <c r="B117" i="5"/>
  <c r="D116" i="5"/>
  <c r="A115" i="5"/>
  <c r="B114" i="5"/>
  <c r="D113" i="5"/>
  <c r="B111" i="5"/>
  <c r="D110" i="5"/>
  <c r="C108" i="5"/>
  <c r="D107" i="5"/>
  <c r="D106" i="5"/>
  <c r="D105" i="5"/>
  <c r="D102" i="5"/>
  <c r="A99" i="5"/>
  <c r="A98" i="5"/>
  <c r="A97" i="5"/>
  <c r="C96" i="5"/>
  <c r="D95" i="5"/>
  <c r="A21" i="13"/>
  <c r="D21" i="13" s="1"/>
  <c r="A370" i="5"/>
  <c r="B368" i="5"/>
  <c r="D364" i="5"/>
  <c r="C363" i="5"/>
  <c r="C142" i="5"/>
  <c r="A141" i="5"/>
  <c r="C139" i="5"/>
  <c r="C138" i="5"/>
  <c r="D132" i="5"/>
  <c r="C131" i="5"/>
  <c r="D123" i="5"/>
  <c r="D119" i="5"/>
  <c r="C116" i="5"/>
  <c r="C115" i="5"/>
  <c r="C112" i="5"/>
  <c r="C111" i="5"/>
  <c r="A110" i="5"/>
  <c r="C109" i="5"/>
  <c r="A108" i="5"/>
  <c r="B97" i="5"/>
  <c r="B96" i="5"/>
  <c r="A201" i="7"/>
  <c r="D201" i="7" s="1"/>
  <c r="A196" i="7"/>
  <c r="D196" i="7" s="1"/>
  <c r="A368" i="5"/>
  <c r="C367" i="5"/>
  <c r="B366" i="5"/>
  <c r="D365" i="5"/>
  <c r="B365" i="5"/>
  <c r="C364" i="5"/>
  <c r="A364" i="5"/>
  <c r="D142" i="5"/>
  <c r="C141" i="5"/>
  <c r="A140" i="5"/>
  <c r="D139" i="5"/>
  <c r="B136" i="5"/>
  <c r="D135" i="5"/>
  <c r="A135" i="5"/>
  <c r="A134" i="5"/>
  <c r="B132" i="5"/>
  <c r="A131" i="5"/>
  <c r="B130" i="5"/>
  <c r="D125" i="5"/>
  <c r="A124" i="5"/>
  <c r="B123" i="5"/>
  <c r="B122" i="5"/>
  <c r="C121" i="5"/>
  <c r="C118" i="5"/>
  <c r="B113" i="5"/>
  <c r="B112" i="5"/>
  <c r="A111" i="5"/>
  <c r="C110" i="5"/>
  <c r="B107" i="5"/>
  <c r="A105" i="5"/>
  <c r="C104" i="5"/>
  <c r="C103" i="5"/>
  <c r="A102" i="5"/>
  <c r="C101" i="5"/>
  <c r="B100" i="5"/>
  <c r="B95" i="5"/>
  <c r="A94" i="5"/>
  <c r="A93" i="5"/>
  <c r="A91" i="5"/>
  <c r="A223" i="7"/>
  <c r="D223" i="7" s="1"/>
  <c r="A216" i="7"/>
  <c r="D216" i="7" s="1"/>
  <c r="A213" i="7"/>
  <c r="D213" i="7" s="1"/>
  <c r="A188" i="7"/>
  <c r="D188" i="7" s="1"/>
  <c r="C368" i="5"/>
  <c r="A367" i="5"/>
  <c r="C366" i="5"/>
  <c r="B143" i="5"/>
  <c r="A142" i="5"/>
  <c r="D140" i="5"/>
  <c r="B137" i="5"/>
  <c r="D136" i="5"/>
  <c r="B135" i="5"/>
  <c r="A129" i="5"/>
  <c r="C124" i="5"/>
  <c r="A123" i="5"/>
  <c r="C122" i="5"/>
  <c r="D118" i="5"/>
  <c r="C117" i="5"/>
  <c r="A113" i="5"/>
  <c r="A112" i="5"/>
  <c r="A109" i="5"/>
  <c r="B105" i="5"/>
  <c r="B104" i="5"/>
  <c r="D103" i="5"/>
  <c r="A100" i="5"/>
  <c r="C99" i="5"/>
  <c r="B98" i="5"/>
  <c r="C97" i="5"/>
  <c r="A56" i="5"/>
  <c r="A36" i="7"/>
  <c r="D36" i="7" s="1"/>
  <c r="A22" i="7"/>
  <c r="D22" i="7" s="1"/>
  <c r="A17" i="7"/>
  <c r="D17" i="7" s="1"/>
  <c r="B370" i="5"/>
  <c r="D366" i="5"/>
  <c r="C365" i="5"/>
  <c r="A138" i="5"/>
  <c r="C137" i="5"/>
  <c r="B133" i="5"/>
  <c r="A132" i="5"/>
  <c r="B131" i="5"/>
  <c r="C130" i="5"/>
  <c r="B129" i="5"/>
  <c r="B128" i="5"/>
  <c r="B127" i="5"/>
  <c r="B126" i="5"/>
  <c r="A125" i="5"/>
  <c r="B124" i="5"/>
  <c r="D120" i="5"/>
  <c r="A114" i="5"/>
  <c r="C113" i="5"/>
  <c r="D112" i="5"/>
  <c r="D111" i="5"/>
  <c r="B110" i="5"/>
  <c r="D108" i="5"/>
  <c r="A107" i="5"/>
  <c r="A106" i="5"/>
  <c r="D104" i="5"/>
  <c r="A103" i="5"/>
  <c r="B102" i="5"/>
  <c r="A101" i="5"/>
  <c r="C100" i="5"/>
  <c r="B99" i="5"/>
  <c r="D98" i="5"/>
  <c r="C94" i="5"/>
  <c r="D93" i="5"/>
  <c r="D368" i="5"/>
  <c r="D367" i="5"/>
  <c r="B367" i="5"/>
  <c r="A366" i="5"/>
  <c r="A365" i="5"/>
  <c r="B364" i="5"/>
  <c r="D363" i="5"/>
  <c r="B142" i="5"/>
  <c r="B141" i="5"/>
  <c r="B140" i="5"/>
  <c r="D138" i="5"/>
  <c r="B134" i="5"/>
  <c r="D127" i="5"/>
  <c r="A126" i="5"/>
  <c r="C125" i="5"/>
  <c r="D124" i="5"/>
  <c r="C123" i="5"/>
  <c r="D122" i="5"/>
  <c r="A121" i="5"/>
  <c r="B120" i="5"/>
  <c r="A119" i="5"/>
  <c r="D117" i="5"/>
  <c r="A117" i="5"/>
  <c r="B116" i="5"/>
  <c r="D115" i="5"/>
  <c r="D114" i="5"/>
  <c r="D109" i="5"/>
  <c r="B106" i="5"/>
  <c r="C105" i="5"/>
  <c r="A104" i="5"/>
  <c r="B101" i="5"/>
  <c r="D99" i="5"/>
  <c r="C98" i="5"/>
  <c r="D97" i="5"/>
  <c r="D96" i="5"/>
  <c r="C95" i="5"/>
  <c r="D94" i="5"/>
  <c r="C93" i="5"/>
  <c r="A90" i="5"/>
  <c r="B363" i="5"/>
  <c r="A363" i="5"/>
  <c r="D143" i="5"/>
  <c r="A139" i="5"/>
  <c r="D137" i="5"/>
  <c r="A136" i="5"/>
  <c r="D134" i="5"/>
  <c r="C133" i="5"/>
  <c r="C132" i="5"/>
  <c r="D131" i="5"/>
  <c r="D130" i="5"/>
  <c r="A130" i="5"/>
  <c r="C129" i="5"/>
  <c r="C128" i="5"/>
  <c r="A128" i="5"/>
  <c r="C127" i="5"/>
  <c r="D126" i="5"/>
  <c r="A122" i="5"/>
  <c r="D121" i="5"/>
  <c r="C120" i="5"/>
  <c r="C119" i="5"/>
  <c r="A116" i="5"/>
  <c r="B115" i="5"/>
  <c r="C114" i="5"/>
  <c r="B109" i="5"/>
  <c r="B108" i="5"/>
  <c r="C107" i="5"/>
  <c r="C106" i="5"/>
  <c r="B103" i="5"/>
  <c r="C102" i="5"/>
  <c r="D101" i="5"/>
  <c r="D100" i="5"/>
  <c r="A96" i="5"/>
  <c r="A95" i="5"/>
  <c r="B94" i="5"/>
  <c r="B93" i="5"/>
  <c r="A73" i="13"/>
  <c r="D73" i="13" s="1"/>
  <c r="A72" i="13"/>
  <c r="D72" i="13" s="1"/>
  <c r="A60" i="13"/>
  <c r="D60" i="13" s="1"/>
  <c r="A48" i="13"/>
  <c r="D48" i="13" s="1"/>
  <c r="A22" i="13"/>
  <c r="D22" i="13" s="1"/>
  <c r="A17" i="13"/>
  <c r="D17" i="13" s="1"/>
  <c r="A13" i="13"/>
  <c r="D13" i="13" s="1"/>
  <c r="A238" i="8"/>
  <c r="A233" i="8"/>
  <c r="A229" i="8"/>
  <c r="A227" i="8"/>
  <c r="A223" i="8"/>
  <c r="A220" i="8"/>
  <c r="A278" i="7"/>
  <c r="D278" i="7" s="1"/>
  <c r="A275" i="7"/>
  <c r="D275" i="7" s="1"/>
  <c r="A273" i="7"/>
  <c r="D273" i="7" s="1"/>
  <c r="A203" i="7"/>
  <c r="D203" i="7" s="1"/>
  <c r="A194" i="7"/>
  <c r="D194" i="7" s="1"/>
  <c r="A193" i="7"/>
  <c r="D193" i="7" s="1"/>
  <c r="A138" i="7"/>
  <c r="D138" i="7" s="1"/>
  <c r="A34" i="7"/>
  <c r="D34" i="7" s="1"/>
  <c r="A33" i="7"/>
  <c r="D33" i="7" s="1"/>
  <c r="A32" i="7"/>
  <c r="D32" i="7" s="1"/>
  <c r="A13" i="7"/>
  <c r="D13" i="7" s="1"/>
  <c r="A10" i="7"/>
  <c r="D10" i="7" s="1"/>
  <c r="A9" i="7"/>
  <c r="D9" i="7" s="1"/>
  <c r="A8" i="7"/>
  <c r="D8" i="7" s="1"/>
  <c r="A7" i="7"/>
  <c r="D7" i="7" s="1"/>
  <c r="A6" i="7"/>
  <c r="D6" i="7" s="1"/>
  <c r="D238" i="5"/>
  <c r="C235" i="5"/>
  <c r="B234" i="5"/>
  <c r="C230" i="5"/>
  <c r="D229" i="5"/>
  <c r="A229" i="5"/>
  <c r="A228" i="5"/>
  <c r="B227" i="5"/>
  <c r="C226" i="5"/>
  <c r="B225" i="5"/>
  <c r="C224" i="5"/>
  <c r="D223" i="5"/>
  <c r="A215" i="5"/>
  <c r="C214" i="5"/>
  <c r="D213" i="5"/>
  <c r="A213" i="5"/>
  <c r="D212" i="5"/>
  <c r="D211" i="5"/>
  <c r="D208" i="5"/>
  <c r="A207" i="5"/>
  <c r="C206" i="5"/>
  <c r="D205" i="5"/>
  <c r="A205" i="5"/>
  <c r="A204" i="5"/>
  <c r="C203" i="5"/>
  <c r="D202" i="5"/>
  <c r="A202" i="5"/>
  <c r="D201" i="5"/>
  <c r="B200" i="5"/>
  <c r="D199" i="5"/>
  <c r="B196" i="5"/>
  <c r="C195" i="5"/>
  <c r="C194" i="5"/>
  <c r="D193" i="5"/>
  <c r="B190" i="5"/>
  <c r="C189" i="5"/>
  <c r="D188" i="5"/>
  <c r="A188" i="5"/>
  <c r="B187" i="5"/>
  <c r="D186" i="5"/>
  <c r="C185" i="5"/>
  <c r="D184" i="5"/>
  <c r="A184" i="5"/>
  <c r="C183" i="5"/>
  <c r="D182" i="5"/>
  <c r="C179" i="5"/>
  <c r="B178" i="5"/>
  <c r="B172" i="5"/>
  <c r="A168" i="5"/>
  <c r="C163" i="5"/>
  <c r="A235" i="8"/>
  <c r="A231" i="8"/>
  <c r="A226" i="8"/>
  <c r="A222" i="8"/>
  <c r="A217" i="8"/>
  <c r="A195" i="7"/>
  <c r="D195" i="7" s="1"/>
  <c r="A182" i="7"/>
  <c r="D182" i="7" s="1"/>
  <c r="A181" i="7"/>
  <c r="D181" i="7" s="1"/>
  <c r="A27" i="7"/>
  <c r="D27" i="7" s="1"/>
  <c r="A25" i="7"/>
  <c r="D25" i="7" s="1"/>
  <c r="A24" i="7"/>
  <c r="D24" i="7" s="1"/>
  <c r="A15" i="7"/>
  <c r="A5" i="7"/>
  <c r="D5" i="7" s="1"/>
  <c r="D236" i="5"/>
  <c r="B236" i="5"/>
  <c r="D235" i="5"/>
  <c r="A235" i="5"/>
  <c r="A234" i="5"/>
  <c r="B233" i="5"/>
  <c r="C232" i="5"/>
  <c r="D231" i="5"/>
  <c r="D230" i="5"/>
  <c r="C229" i="5"/>
  <c r="B228" i="5"/>
  <c r="C227" i="5"/>
  <c r="A226" i="5"/>
  <c r="A224" i="5"/>
  <c r="A223" i="5"/>
  <c r="A212" i="5"/>
  <c r="D210" i="5"/>
  <c r="B209" i="5"/>
  <c r="C208" i="5"/>
  <c r="B207" i="5"/>
  <c r="B206" i="5"/>
  <c r="B205" i="5"/>
  <c r="C204" i="5"/>
  <c r="C201" i="5"/>
  <c r="A200" i="5"/>
  <c r="A199" i="5"/>
  <c r="C198" i="5"/>
  <c r="A193" i="5"/>
  <c r="C191" i="5"/>
  <c r="C190" i="5"/>
  <c r="A189" i="5"/>
  <c r="C188" i="5"/>
  <c r="C180" i="5"/>
  <c r="D179" i="5"/>
  <c r="D178" i="5"/>
  <c r="A177" i="5"/>
  <c r="B176" i="5"/>
  <c r="B175" i="5"/>
  <c r="A174" i="5"/>
  <c r="B173" i="5"/>
  <c r="A161" i="5"/>
  <c r="D159" i="5"/>
  <c r="A69" i="13"/>
  <c r="D69" i="13" s="1"/>
  <c r="A61" i="13"/>
  <c r="D61" i="13" s="1"/>
  <c r="A59" i="13"/>
  <c r="D59" i="13" s="1"/>
  <c r="A9" i="13"/>
  <c r="D9" i="13" s="1"/>
  <c r="A237" i="8"/>
  <c r="A232" i="8"/>
  <c r="A228" i="8"/>
  <c r="A224" i="8"/>
  <c r="A219" i="8"/>
  <c r="A207" i="7"/>
  <c r="D207" i="7" s="1"/>
  <c r="A191" i="7"/>
  <c r="D191" i="7" s="1"/>
  <c r="A139" i="7"/>
  <c r="D139" i="7" s="1"/>
  <c r="A134" i="7"/>
  <c r="D134" i="7" s="1"/>
  <c r="A30" i="7"/>
  <c r="D30" i="7" s="1"/>
  <c r="A12" i="7"/>
  <c r="D12" i="7" s="1"/>
  <c r="D234" i="5"/>
  <c r="A233" i="5"/>
  <c r="D228" i="5"/>
  <c r="D227" i="5"/>
  <c r="D226" i="5"/>
  <c r="D225" i="5"/>
  <c r="A222" i="5"/>
  <c r="C220" i="5"/>
  <c r="D218" i="5"/>
  <c r="C212" i="5"/>
  <c r="C211" i="5"/>
  <c r="B210" i="5"/>
  <c r="C209" i="5"/>
  <c r="B208" i="5"/>
  <c r="C207" i="5"/>
  <c r="A203" i="5"/>
  <c r="B202" i="5"/>
  <c r="A195" i="5"/>
  <c r="D190" i="5"/>
  <c r="D189" i="5"/>
  <c r="A186" i="5"/>
  <c r="A185" i="5"/>
  <c r="C184" i="5"/>
  <c r="D183" i="5"/>
  <c r="C182" i="5"/>
  <c r="B177" i="5"/>
  <c r="A176" i="5"/>
  <c r="C175" i="5"/>
  <c r="B174" i="5"/>
  <c r="C166" i="5"/>
  <c r="C160" i="5"/>
  <c r="A265" i="7"/>
  <c r="D265" i="7" s="1"/>
  <c r="A211" i="7"/>
  <c r="D211" i="7" s="1"/>
  <c r="A210" i="7"/>
  <c r="D210" i="7" s="1"/>
  <c r="A209" i="7"/>
  <c r="D209" i="7" s="1"/>
  <c r="A208" i="7"/>
  <c r="D208" i="7" s="1"/>
  <c r="A167" i="7"/>
  <c r="D167" i="7" s="1"/>
  <c r="A23" i="7"/>
  <c r="D23" i="7" s="1"/>
  <c r="A20" i="7"/>
  <c r="D20" i="7" s="1"/>
  <c r="A19" i="7"/>
  <c r="D19" i="7" s="1"/>
  <c r="A11" i="7"/>
  <c r="D11" i="7" s="1"/>
  <c r="A4" i="7"/>
  <c r="D4" i="7" s="1"/>
  <c r="C234" i="5"/>
  <c r="C233" i="5"/>
  <c r="D232" i="5"/>
  <c r="A232" i="5"/>
  <c r="A217" i="5"/>
  <c r="D215" i="5"/>
  <c r="A214" i="5"/>
  <c r="B213" i="5"/>
  <c r="B212" i="5"/>
  <c r="B211" i="5"/>
  <c r="C210" i="5"/>
  <c r="D209" i="5"/>
  <c r="A206" i="5"/>
  <c r="D204" i="5"/>
  <c r="B203" i="5"/>
  <c r="C202" i="5"/>
  <c r="C200" i="5"/>
  <c r="B199" i="5"/>
  <c r="A198" i="5"/>
  <c r="C197" i="5"/>
  <c r="C196" i="5"/>
  <c r="B195" i="5"/>
  <c r="B194" i="5"/>
  <c r="C193" i="5"/>
  <c r="A192" i="5"/>
  <c r="A183" i="5"/>
  <c r="B182" i="5"/>
  <c r="C181" i="5"/>
  <c r="D174" i="5"/>
  <c r="C173" i="5"/>
  <c r="A172" i="5"/>
  <c r="A171" i="5"/>
  <c r="B170" i="5"/>
  <c r="B169" i="5"/>
  <c r="B168" i="5"/>
  <c r="B166" i="5"/>
  <c r="A164" i="5"/>
  <c r="A163" i="5"/>
  <c r="B161" i="5"/>
  <c r="A31" i="7"/>
  <c r="D31" i="7" s="1"/>
  <c r="A29" i="7"/>
  <c r="D29" i="7" s="1"/>
  <c r="A28" i="7"/>
  <c r="D28" i="7" s="1"/>
  <c r="A3" i="7"/>
  <c r="D3" i="7" s="1"/>
  <c r="A467" i="5"/>
  <c r="D233" i="5"/>
  <c r="A231" i="5"/>
  <c r="A230" i="5"/>
  <c r="B229" i="5"/>
  <c r="C228" i="5"/>
  <c r="A227" i="5"/>
  <c r="B226" i="5"/>
  <c r="C225" i="5"/>
  <c r="D224" i="5"/>
  <c r="B223" i="5"/>
  <c r="B222" i="5"/>
  <c r="B221" i="5"/>
  <c r="B220" i="5"/>
  <c r="C219" i="5"/>
  <c r="C218" i="5"/>
  <c r="C217" i="5"/>
  <c r="C216" i="5"/>
  <c r="C215" i="5"/>
  <c r="B214" i="5"/>
  <c r="C213" i="5"/>
  <c r="A209" i="5"/>
  <c r="A208" i="5"/>
  <c r="D206" i="5"/>
  <c r="C205" i="5"/>
  <c r="D198" i="5"/>
  <c r="D197" i="5"/>
  <c r="D196" i="5"/>
  <c r="D195" i="5"/>
  <c r="D194" i="5"/>
  <c r="A194" i="5"/>
  <c r="B193" i="5"/>
  <c r="D192" i="5"/>
  <c r="D187" i="5"/>
  <c r="A187" i="5"/>
  <c r="B180" i="5"/>
  <c r="B179" i="5"/>
  <c r="C178" i="5"/>
  <c r="C177" i="5"/>
  <c r="D176" i="5"/>
  <c r="D175" i="5"/>
  <c r="C174" i="5"/>
  <c r="D173" i="5"/>
  <c r="C172" i="5"/>
  <c r="B171" i="5"/>
  <c r="C170" i="5"/>
  <c r="A169" i="5"/>
  <c r="C168" i="5"/>
  <c r="B167" i="5"/>
  <c r="A166" i="5"/>
  <c r="C165" i="5"/>
  <c r="D237" i="5"/>
  <c r="C236" i="5"/>
  <c r="A236" i="5"/>
  <c r="B235" i="5"/>
  <c r="B232" i="5"/>
  <c r="C231" i="5"/>
  <c r="B230" i="5"/>
  <c r="C222" i="5"/>
  <c r="C221" i="5"/>
  <c r="D220" i="5"/>
  <c r="D219" i="5"/>
  <c r="A219" i="5"/>
  <c r="A218" i="5"/>
  <c r="B217" i="5"/>
  <c r="B216" i="5"/>
  <c r="B201" i="5"/>
  <c r="A197" i="5"/>
  <c r="B192" i="5"/>
  <c r="B191" i="5"/>
  <c r="B186" i="5"/>
  <c r="B185" i="5"/>
  <c r="B184" i="5"/>
  <c r="B183" i="5"/>
  <c r="A182" i="5"/>
  <c r="B181" i="5"/>
  <c r="A180" i="5"/>
  <c r="A175" i="5"/>
  <c r="A170" i="5"/>
  <c r="D160" i="5"/>
  <c r="C159" i="5"/>
  <c r="B159" i="5"/>
  <c r="A159" i="5"/>
  <c r="A236" i="8"/>
  <c r="A234" i="8"/>
  <c r="A230" i="8"/>
  <c r="A225" i="8"/>
  <c r="A221" i="8"/>
  <c r="A218" i="8"/>
  <c r="A279" i="7"/>
  <c r="D279" i="7" s="1"/>
  <c r="A204" i="7"/>
  <c r="D204" i="7" s="1"/>
  <c r="A202" i="7"/>
  <c r="D202" i="7" s="1"/>
  <c r="A189" i="7"/>
  <c r="D189" i="7" s="1"/>
  <c r="A180" i="7"/>
  <c r="D180" i="7" s="1"/>
  <c r="A179" i="7"/>
  <c r="D179" i="7" s="1"/>
  <c r="A156" i="7"/>
  <c r="D156" i="7" s="1"/>
  <c r="A145" i="7"/>
  <c r="D145" i="7" s="1"/>
  <c r="A143" i="7"/>
  <c r="D143" i="7" s="1"/>
  <c r="A123" i="7"/>
  <c r="D123" i="7" s="1"/>
  <c r="A21" i="7"/>
  <c r="D21" i="7" s="1"/>
  <c r="A18" i="7"/>
  <c r="D18" i="7" s="1"/>
  <c r="A16" i="7"/>
  <c r="A14" i="7"/>
  <c r="B231" i="5"/>
  <c r="A225" i="5"/>
  <c r="B224" i="5"/>
  <c r="C223" i="5"/>
  <c r="D222" i="5"/>
  <c r="D221" i="5"/>
  <c r="A221" i="5"/>
  <c r="A220" i="5"/>
  <c r="B219" i="5"/>
  <c r="B218" i="5"/>
  <c r="D217" i="5"/>
  <c r="D216" i="5"/>
  <c r="A216" i="5"/>
  <c r="B215" i="5"/>
  <c r="D214" i="5"/>
  <c r="A211" i="5"/>
  <c r="A210" i="5"/>
  <c r="D207" i="5"/>
  <c r="B204" i="5"/>
  <c r="D203" i="5"/>
  <c r="D200" i="5"/>
  <c r="C199" i="5"/>
  <c r="B198" i="5"/>
  <c r="B197" i="5"/>
  <c r="A196" i="5"/>
  <c r="C192" i="5"/>
  <c r="D191" i="5"/>
  <c r="A191" i="5"/>
  <c r="A190" i="5"/>
  <c r="B189" i="5"/>
  <c r="B188" i="5"/>
  <c r="C187" i="5"/>
  <c r="C186" i="5"/>
  <c r="D185" i="5"/>
  <c r="D181" i="5"/>
  <c r="A181" i="5"/>
  <c r="D180" i="5"/>
  <c r="A179" i="5"/>
  <c r="A178" i="5"/>
  <c r="D177" i="5"/>
  <c r="C176" i="5"/>
  <c r="A173" i="5"/>
  <c r="C171" i="5"/>
  <c r="D170" i="5"/>
  <c r="A167" i="5"/>
  <c r="B163" i="5"/>
  <c r="A11" i="13"/>
  <c r="D11" i="13" s="1"/>
  <c r="A5" i="13"/>
  <c r="D5" i="13" s="1"/>
  <c r="A122" i="7"/>
  <c r="D122" i="7" s="1"/>
  <c r="A65" i="13"/>
  <c r="D65" i="13" s="1"/>
  <c r="A64" i="13"/>
  <c r="D64" i="13" s="1"/>
  <c r="A24" i="13"/>
  <c r="D24" i="13" s="1"/>
  <c r="A272" i="7"/>
  <c r="D272" i="7" s="1"/>
  <c r="A146" i="7"/>
  <c r="D146" i="7" s="1"/>
  <c r="A131" i="7"/>
  <c r="D131" i="7" s="1"/>
  <c r="A71" i="13"/>
  <c r="D71" i="13" s="1"/>
  <c r="A32" i="13"/>
  <c r="D32" i="13" s="1"/>
  <c r="A178" i="7"/>
  <c r="D178" i="7" s="1"/>
  <c r="A264" i="7"/>
  <c r="D264" i="7" s="1"/>
  <c r="A99" i="7"/>
  <c r="D99" i="7" s="1"/>
  <c r="A443" i="5"/>
  <c r="A466" i="5"/>
  <c r="D171" i="5"/>
  <c r="D169" i="5"/>
  <c r="C169" i="5"/>
  <c r="D167" i="5"/>
  <c r="C167" i="5"/>
  <c r="D165" i="5"/>
  <c r="D164" i="5"/>
  <c r="C164" i="5"/>
  <c r="B164" i="5"/>
  <c r="D163" i="5"/>
  <c r="D162" i="5"/>
  <c r="C162" i="5"/>
  <c r="B162" i="5"/>
  <c r="A162" i="5"/>
  <c r="B86" i="5"/>
  <c r="A7" i="13"/>
  <c r="D7" i="13" s="1"/>
  <c r="A3" i="13"/>
  <c r="D3" i="13" s="1"/>
  <c r="A277" i="7"/>
  <c r="D277" i="7" s="1"/>
  <c r="A276" i="7"/>
  <c r="D276" i="7" s="1"/>
  <c r="A274" i="7"/>
  <c r="A266" i="7"/>
  <c r="D266" i="7" s="1"/>
  <c r="A175" i="7"/>
  <c r="D175" i="7" s="1"/>
  <c r="A2" i="7"/>
  <c r="D2" i="7" s="1"/>
  <c r="D172" i="5"/>
  <c r="D168" i="5"/>
  <c r="D166" i="5"/>
  <c r="D161" i="5"/>
  <c r="C161" i="5"/>
  <c r="A86" i="5"/>
  <c r="C56" i="5"/>
  <c r="A270" i="7"/>
  <c r="D270" i="7" s="1"/>
  <c r="B160" i="5"/>
  <c r="A160" i="5"/>
  <c r="A267" i="7"/>
  <c r="D267" i="7" s="1"/>
  <c r="F338" i="15"/>
  <c r="E338" i="15"/>
  <c r="D338" i="15"/>
  <c r="C338" i="15"/>
  <c r="B338" i="15"/>
  <c r="A338" i="15"/>
  <c r="F337" i="15"/>
  <c r="E337" i="15"/>
  <c r="D337" i="15"/>
  <c r="C337" i="15"/>
  <c r="B337" i="15"/>
  <c r="A337" i="15"/>
  <c r="F329" i="15"/>
  <c r="E329" i="15"/>
  <c r="D329" i="15"/>
  <c r="C329" i="15"/>
  <c r="B329" i="15"/>
  <c r="A329" i="15"/>
  <c r="F319" i="15"/>
  <c r="E319" i="15"/>
  <c r="D319" i="15"/>
  <c r="C319" i="15"/>
  <c r="B319" i="15"/>
  <c r="A319" i="15"/>
  <c r="F303" i="15"/>
  <c r="E303" i="15"/>
  <c r="D303" i="15"/>
  <c r="C303" i="15"/>
  <c r="B303" i="15"/>
  <c r="A303" i="15"/>
  <c r="F292" i="15"/>
  <c r="E292" i="15"/>
  <c r="D292" i="15"/>
  <c r="C292" i="15"/>
  <c r="B292" i="15"/>
  <c r="A292" i="15"/>
  <c r="F285" i="15"/>
  <c r="E285" i="15"/>
  <c r="D285" i="15"/>
  <c r="C285" i="15"/>
  <c r="B285" i="15"/>
  <c r="A285" i="15"/>
  <c r="F279" i="15"/>
  <c r="E279" i="15"/>
  <c r="D279" i="15"/>
  <c r="C279" i="15"/>
  <c r="B279" i="15"/>
  <c r="A279" i="15"/>
  <c r="F273" i="15"/>
  <c r="E273" i="15"/>
  <c r="D273" i="15"/>
  <c r="C273" i="15"/>
  <c r="B273" i="15"/>
  <c r="A273" i="15"/>
  <c r="F267" i="15"/>
  <c r="E267" i="15"/>
  <c r="D267" i="15"/>
  <c r="C267" i="15"/>
  <c r="B267" i="15"/>
  <c r="A267" i="15"/>
  <c r="F259" i="15"/>
  <c r="E259" i="15"/>
  <c r="D259" i="15"/>
  <c r="C259" i="15"/>
  <c r="B259" i="15"/>
  <c r="A259" i="15"/>
  <c r="E247" i="15"/>
  <c r="A247" i="15"/>
  <c r="E246" i="15"/>
  <c r="A246" i="15"/>
  <c r="A83" i="13"/>
  <c r="D83" i="13" s="1"/>
  <c r="A81" i="13"/>
  <c r="D81" i="13" s="1"/>
  <c r="A57" i="13"/>
  <c r="D57" i="13" s="1"/>
  <c r="A56" i="13"/>
  <c r="D56" i="13" s="1"/>
  <c r="A52" i="13"/>
  <c r="D52" i="13" s="1"/>
  <c r="A49" i="13"/>
  <c r="D49" i="13" s="1"/>
  <c r="A31" i="13"/>
  <c r="D31" i="13" s="1"/>
  <c r="A30" i="13"/>
  <c r="D30" i="13" s="1"/>
  <c r="A14" i="13"/>
  <c r="D14" i="13" s="1"/>
  <c r="A12" i="13"/>
  <c r="D12" i="13" s="1"/>
  <c r="H17" i="10"/>
  <c r="I16" i="10"/>
  <c r="I15" i="10"/>
  <c r="I14" i="10"/>
  <c r="I13" i="10"/>
  <c r="I12" i="10"/>
  <c r="C12" i="10"/>
  <c r="G11" i="10"/>
  <c r="G10" i="10"/>
  <c r="H9" i="10"/>
  <c r="I8" i="10"/>
  <c r="K7" i="10"/>
  <c r="I6" i="10"/>
  <c r="I5" i="10"/>
  <c r="I4" i="10"/>
  <c r="C4" i="10"/>
  <c r="F3" i="10"/>
  <c r="E2" i="10"/>
  <c r="A473" i="8"/>
  <c r="A463" i="8"/>
  <c r="A280" i="7"/>
  <c r="D280" i="7" s="1"/>
  <c r="A144" i="7"/>
  <c r="D144" i="7" s="1"/>
  <c r="A101" i="7"/>
  <c r="D101" i="7" s="1"/>
  <c r="A84" i="7"/>
  <c r="D84" i="7" s="1"/>
  <c r="A72" i="7"/>
  <c r="D72" i="7" s="1"/>
  <c r="G477" i="5"/>
  <c r="A476" i="5"/>
  <c r="A475" i="5"/>
  <c r="B474" i="5"/>
  <c r="D473" i="5"/>
  <c r="A473" i="5"/>
  <c r="B471" i="5"/>
  <c r="A468" i="5"/>
  <c r="D466" i="5"/>
  <c r="A85" i="13"/>
  <c r="D85" i="13" s="1"/>
  <c r="A80" i="13"/>
  <c r="D80" i="13" s="1"/>
  <c r="A46" i="13"/>
  <c r="D46" i="13" s="1"/>
  <c r="A41" i="13"/>
  <c r="D41" i="13" s="1"/>
  <c r="A37" i="13"/>
  <c r="D37" i="13" s="1"/>
  <c r="A36" i="13"/>
  <c r="D36" i="13" s="1"/>
  <c r="A35" i="13"/>
  <c r="D35" i="13" s="1"/>
  <c r="A34" i="13"/>
  <c r="D34" i="13" s="1"/>
  <c r="A33" i="13"/>
  <c r="D33" i="13" s="1"/>
  <c r="A8" i="13"/>
  <c r="D8" i="13" s="1"/>
  <c r="A6" i="13"/>
  <c r="D6" i="13" s="1"/>
  <c r="E17" i="10"/>
  <c r="K16" i="10"/>
  <c r="C16" i="10"/>
  <c r="F15" i="10"/>
  <c r="F14" i="10"/>
  <c r="E13" i="10"/>
  <c r="E12" i="10"/>
  <c r="H11" i="10"/>
  <c r="H10" i="10"/>
  <c r="G9" i="10"/>
  <c r="K8" i="10"/>
  <c r="I7" i="10"/>
  <c r="K6" i="10"/>
  <c r="K5" i="10"/>
  <c r="K4" i="10"/>
  <c r="D4" i="10"/>
  <c r="E3" i="10"/>
  <c r="F2" i="10"/>
  <c r="A472" i="8"/>
  <c r="A464" i="8"/>
  <c r="A287" i="7"/>
  <c r="D287" i="7" s="1"/>
  <c r="A285" i="7"/>
  <c r="D285" i="7" s="1"/>
  <c r="A282" i="7"/>
  <c r="D282" i="7" s="1"/>
  <c r="A163" i="7"/>
  <c r="D163" i="7" s="1"/>
  <c r="A162" i="7"/>
  <c r="D162" i="7" s="1"/>
  <c r="A160" i="7"/>
  <c r="D160" i="7" s="1"/>
  <c r="A159" i="7"/>
  <c r="D159" i="7" s="1"/>
  <c r="A153" i="7"/>
  <c r="D153" i="7" s="1"/>
  <c r="A151" i="7"/>
  <c r="D151" i="7" s="1"/>
  <c r="A142" i="7"/>
  <c r="D142" i="7" s="1"/>
  <c r="A141" i="7"/>
  <c r="D141" i="7" s="1"/>
  <c r="A140" i="7"/>
  <c r="D140" i="7" s="1"/>
  <c r="A124" i="7"/>
  <c r="D124" i="7" s="1"/>
  <c r="A98" i="7"/>
  <c r="D98" i="7" s="1"/>
  <c r="A71" i="7"/>
  <c r="D71" i="7" s="1"/>
  <c r="A70" i="7"/>
  <c r="D70" i="7" s="1"/>
  <c r="C476" i="5"/>
  <c r="B475" i="5"/>
  <c r="D470" i="5"/>
  <c r="C467" i="5"/>
  <c r="B466" i="5"/>
  <c r="D460" i="5"/>
  <c r="D459" i="5"/>
  <c r="D458" i="5"/>
  <c r="A458" i="5"/>
  <c r="D457" i="5"/>
  <c r="B457" i="5"/>
  <c r="A457" i="5"/>
  <c r="D456" i="5"/>
  <c r="D454" i="5"/>
  <c r="C453" i="5"/>
  <c r="A448" i="5"/>
  <c r="D446" i="5"/>
  <c r="B445" i="5"/>
  <c r="B444" i="5"/>
  <c r="B443" i="5"/>
  <c r="C442" i="5"/>
  <c r="B441" i="5"/>
  <c r="C440" i="5"/>
  <c r="B439" i="5"/>
  <c r="A437" i="5"/>
  <c r="B436" i="5"/>
  <c r="D435" i="5"/>
  <c r="B434" i="5"/>
  <c r="C433" i="5"/>
  <c r="C432" i="5"/>
  <c r="D431" i="5"/>
  <c r="A431" i="5"/>
  <c r="B419" i="5"/>
  <c r="B418" i="5"/>
  <c r="D416" i="5"/>
  <c r="D415" i="5"/>
  <c r="A415" i="5"/>
  <c r="C414" i="5"/>
  <c r="A82" i="13"/>
  <c r="D82" i="13" s="1"/>
  <c r="A58" i="13"/>
  <c r="D58" i="13" s="1"/>
  <c r="A55" i="13"/>
  <c r="D55" i="13" s="1"/>
  <c r="A53" i="13"/>
  <c r="D53" i="13" s="1"/>
  <c r="A51" i="13"/>
  <c r="D51" i="13" s="1"/>
  <c r="A47" i="13"/>
  <c r="D47" i="13" s="1"/>
  <c r="A44" i="13"/>
  <c r="D44" i="13" s="1"/>
  <c r="A42" i="13"/>
  <c r="D42" i="13" s="1"/>
  <c r="A39" i="13"/>
  <c r="D39" i="13" s="1"/>
  <c r="A10" i="13"/>
  <c r="D10" i="13" s="1"/>
  <c r="A4" i="13"/>
  <c r="D4" i="13" s="1"/>
  <c r="F17" i="10"/>
  <c r="G16" i="10"/>
  <c r="K15" i="10"/>
  <c r="K14" i="10"/>
  <c r="K13" i="10"/>
  <c r="K12" i="10"/>
  <c r="D12" i="10"/>
  <c r="F11" i="10"/>
  <c r="E10" i="10"/>
  <c r="E9" i="10"/>
  <c r="F8" i="10"/>
  <c r="E7" i="10"/>
  <c r="F6" i="10"/>
  <c r="F5" i="10"/>
  <c r="F4" i="10"/>
  <c r="G3" i="10"/>
  <c r="H2" i="10"/>
  <c r="A479" i="8"/>
  <c r="A467" i="8"/>
  <c r="A460" i="8"/>
  <c r="A286" i="7"/>
  <c r="D286" i="7" s="1"/>
  <c r="A284" i="7"/>
  <c r="D284" i="7" s="1"/>
  <c r="A176" i="7"/>
  <c r="D176" i="7" s="1"/>
  <c r="A170" i="7"/>
  <c r="D170" i="7" s="1"/>
  <c r="A168" i="7"/>
  <c r="D168" i="7" s="1"/>
  <c r="A166" i="7"/>
  <c r="D166" i="7" s="1"/>
  <c r="A119" i="7"/>
  <c r="D119" i="7" s="1"/>
  <c r="A113" i="7"/>
  <c r="D113" i="7" s="1"/>
  <c r="A109" i="7"/>
  <c r="D109" i="7" s="1"/>
  <c r="A81" i="7"/>
  <c r="D81" i="7" s="1"/>
  <c r="A66" i="7"/>
  <c r="D66" i="7" s="1"/>
  <c r="A477" i="5"/>
  <c r="A472" i="5"/>
  <c r="A471" i="5"/>
  <c r="A470" i="5"/>
  <c r="D464" i="5"/>
  <c r="B463" i="5"/>
  <c r="D462" i="5"/>
  <c r="A462" i="5"/>
  <c r="C461" i="5"/>
  <c r="C460" i="5"/>
  <c r="A460" i="5"/>
  <c r="B459" i="5"/>
  <c r="C458" i="5"/>
  <c r="A455" i="5"/>
  <c r="A454" i="5"/>
  <c r="A453" i="5"/>
  <c r="D451" i="5"/>
  <c r="B450" i="5"/>
  <c r="D449" i="5"/>
  <c r="D448" i="5"/>
  <c r="C447" i="5"/>
  <c r="C446" i="5"/>
  <c r="D445" i="5"/>
  <c r="A445" i="5"/>
  <c r="A444" i="5"/>
  <c r="C439" i="5"/>
  <c r="B438" i="5"/>
  <c r="B437" i="5"/>
  <c r="D432" i="5"/>
  <c r="B431" i="5"/>
  <c r="A430" i="5"/>
  <c r="C429" i="5"/>
  <c r="B428" i="5"/>
  <c r="C427" i="5"/>
  <c r="D426" i="5"/>
  <c r="B426" i="5"/>
  <c r="B425" i="5"/>
  <c r="A424" i="5"/>
  <c r="C423" i="5"/>
  <c r="C422" i="5"/>
  <c r="D418" i="5"/>
  <c r="B417" i="5"/>
  <c r="C416" i="5"/>
  <c r="A54" i="13"/>
  <c r="D54" i="13" s="1"/>
  <c r="A50" i="13"/>
  <c r="D50" i="13" s="1"/>
  <c r="A45" i="13"/>
  <c r="D45" i="13" s="1"/>
  <c r="A43" i="13"/>
  <c r="D43" i="13" s="1"/>
  <c r="A40" i="13"/>
  <c r="D40" i="13" s="1"/>
  <c r="A38" i="13"/>
  <c r="D38" i="13" s="1"/>
  <c r="A29" i="13"/>
  <c r="D29" i="13" s="1"/>
  <c r="A23" i="13"/>
  <c r="D23" i="13" s="1"/>
  <c r="I17" i="10"/>
  <c r="H16" i="10"/>
  <c r="D16" i="10"/>
  <c r="E15" i="10"/>
  <c r="E14" i="10"/>
  <c r="F13" i="10"/>
  <c r="F12" i="10"/>
  <c r="E11" i="10"/>
  <c r="F10" i="10"/>
  <c r="F9" i="10"/>
  <c r="E8" i="10"/>
  <c r="F7" i="10"/>
  <c r="E6" i="10"/>
  <c r="E5" i="10"/>
  <c r="E4" i="10"/>
  <c r="H3" i="10"/>
  <c r="G2" i="10"/>
  <c r="A478" i="8"/>
  <c r="A468" i="8"/>
  <c r="A461" i="8"/>
  <c r="A283" i="7"/>
  <c r="D283" i="7" s="1"/>
  <c r="A148" i="7"/>
  <c r="D148" i="7" s="1"/>
  <c r="A79" i="7"/>
  <c r="D79" i="7" s="1"/>
  <c r="D477" i="5"/>
  <c r="C472" i="5"/>
  <c r="D471" i="5"/>
  <c r="D467" i="5"/>
  <c r="C462" i="5"/>
  <c r="D461" i="5"/>
  <c r="A461" i="5"/>
  <c r="C459" i="5"/>
  <c r="B454" i="5"/>
  <c r="B453" i="5"/>
  <c r="B452" i="5"/>
  <c r="B451" i="5"/>
  <c r="C450" i="5"/>
  <c r="B449" i="5"/>
  <c r="C448" i="5"/>
  <c r="D444" i="5"/>
  <c r="D441" i="5"/>
  <c r="A440" i="5"/>
  <c r="D433" i="5"/>
  <c r="B432" i="5"/>
  <c r="B427" i="5"/>
  <c r="C426" i="5"/>
  <c r="D425" i="5"/>
  <c r="C424" i="5"/>
  <c r="B423" i="5"/>
  <c r="D421" i="5"/>
  <c r="D420" i="5"/>
  <c r="A158" i="7"/>
  <c r="D158" i="7" s="1"/>
  <c r="A152" i="7"/>
  <c r="D152" i="7" s="1"/>
  <c r="A150" i="7"/>
  <c r="D150" i="7" s="1"/>
  <c r="A111" i="7"/>
  <c r="D111" i="7" s="1"/>
  <c r="A108" i="7"/>
  <c r="D108" i="7" s="1"/>
  <c r="C473" i="5"/>
  <c r="C470" i="5"/>
  <c r="D468" i="5"/>
  <c r="B460" i="5"/>
  <c r="A459" i="5"/>
  <c r="B458" i="5"/>
  <c r="C457" i="5"/>
  <c r="C456" i="5"/>
  <c r="C455" i="5"/>
  <c r="C454" i="5"/>
  <c r="D453" i="5"/>
  <c r="C452" i="5"/>
  <c r="B442" i="5"/>
  <c r="C441" i="5"/>
  <c r="D440" i="5"/>
  <c r="D439" i="5"/>
  <c r="C438" i="5"/>
  <c r="D437" i="5"/>
  <c r="D436" i="5"/>
  <c r="B435" i="5"/>
  <c r="A433" i="5"/>
  <c r="A432" i="5"/>
  <c r="D430" i="5"/>
  <c r="D429" i="5"/>
  <c r="D424" i="5"/>
  <c r="C417" i="5"/>
  <c r="A65" i="7"/>
  <c r="D65" i="7" s="1"/>
  <c r="C468" i="5"/>
  <c r="A464" i="5"/>
  <c r="B462" i="5"/>
  <c r="B456" i="5"/>
  <c r="D452" i="5"/>
  <c r="C451" i="5"/>
  <c r="D450" i="5"/>
  <c r="A450" i="5"/>
  <c r="A449" i="5"/>
  <c r="B448" i="5"/>
  <c r="B447" i="5"/>
  <c r="A446" i="5"/>
  <c r="C444" i="5"/>
  <c r="D443" i="5"/>
  <c r="C436" i="5"/>
  <c r="B433" i="5"/>
  <c r="C428" i="5"/>
  <c r="D427" i="5"/>
  <c r="A427" i="5"/>
  <c r="A422" i="5"/>
  <c r="B421" i="5"/>
  <c r="C420" i="5"/>
  <c r="C419" i="5"/>
  <c r="A418" i="5"/>
  <c r="B416" i="5"/>
  <c r="B414" i="5"/>
  <c r="G238" i="5"/>
  <c r="K17" i="10"/>
  <c r="C17" i="10"/>
  <c r="F16" i="10"/>
  <c r="G15" i="10"/>
  <c r="C15" i="10"/>
  <c r="G14" i="10"/>
  <c r="D14" i="10"/>
  <c r="G13" i="10"/>
  <c r="D13" i="10"/>
  <c r="H12" i="10"/>
  <c r="I11" i="10"/>
  <c r="D11" i="10"/>
  <c r="K10" i="10"/>
  <c r="C10" i="10"/>
  <c r="I9" i="10"/>
  <c r="D9" i="10"/>
  <c r="H8" i="10"/>
  <c r="C8" i="10"/>
  <c r="H7" i="10"/>
  <c r="C7" i="10"/>
  <c r="G6" i="10"/>
  <c r="D6" i="10"/>
  <c r="G5" i="10"/>
  <c r="C5" i="10"/>
  <c r="H4" i="10"/>
  <c r="K3" i="10"/>
  <c r="C3" i="10"/>
  <c r="K2" i="10"/>
  <c r="C2" i="10"/>
  <c r="A481" i="8"/>
  <c r="A477" i="8"/>
  <c r="A474" i="8"/>
  <c r="A470" i="8"/>
  <c r="A466" i="8"/>
  <c r="A462" i="8"/>
  <c r="A458" i="8"/>
  <c r="A288" i="7"/>
  <c r="D288" i="7" s="1"/>
  <c r="A174" i="7"/>
  <c r="D174" i="7" s="1"/>
  <c r="A165" i="7"/>
  <c r="D165" i="7" s="1"/>
  <c r="A164" i="7"/>
  <c r="D164" i="7" s="1"/>
  <c r="A161" i="7"/>
  <c r="D161" i="7" s="1"/>
  <c r="A149" i="7"/>
  <c r="D149" i="7" s="1"/>
  <c r="A137" i="7"/>
  <c r="D137" i="7" s="1"/>
  <c r="A135" i="7"/>
  <c r="D135" i="7" s="1"/>
  <c r="A132" i="7"/>
  <c r="D132" i="7" s="1"/>
  <c r="A129" i="7"/>
  <c r="D129" i="7" s="1"/>
  <c r="A127" i="7"/>
  <c r="D127" i="7" s="1"/>
  <c r="A112" i="7"/>
  <c r="D112" i="7" s="1"/>
  <c r="A110" i="7"/>
  <c r="D110" i="7" s="1"/>
  <c r="A107" i="7"/>
  <c r="D107" i="7" s="1"/>
  <c r="A106" i="7"/>
  <c r="D106" i="7" s="1"/>
  <c r="A105" i="7"/>
  <c r="D105" i="7" s="1"/>
  <c r="A100" i="7"/>
  <c r="D100" i="7" s="1"/>
  <c r="A97" i="7"/>
  <c r="D97" i="7" s="1"/>
  <c r="A94" i="7"/>
  <c r="D94" i="7" s="1"/>
  <c r="A93" i="7"/>
  <c r="D93" i="7" s="1"/>
  <c r="A87" i="7"/>
  <c r="D87" i="7" s="1"/>
  <c r="A75" i="7"/>
  <c r="D75" i="7" s="1"/>
  <c r="A481" i="5"/>
  <c r="C477" i="5"/>
  <c r="D476" i="5"/>
  <c r="D475" i="5"/>
  <c r="D472" i="5"/>
  <c r="C469" i="5"/>
  <c r="A469" i="5"/>
  <c r="B468" i="5"/>
  <c r="B467" i="5"/>
  <c r="C466" i="5"/>
  <c r="C465" i="5"/>
  <c r="A465" i="5"/>
  <c r="B464" i="5"/>
  <c r="C463" i="5"/>
  <c r="B461" i="5"/>
  <c r="C449" i="5"/>
  <c r="A447" i="5"/>
  <c r="C443" i="5"/>
  <c r="D442" i="5"/>
  <c r="B440" i="5"/>
  <c r="A439" i="5"/>
  <c r="A438" i="5"/>
  <c r="C437" i="5"/>
  <c r="A435" i="5"/>
  <c r="C434" i="5"/>
  <c r="C431" i="5"/>
  <c r="C425" i="5"/>
  <c r="D422" i="5"/>
  <c r="C421" i="5"/>
  <c r="A420" i="5"/>
  <c r="D419" i="5"/>
  <c r="A419" i="5"/>
  <c r="C418" i="5"/>
  <c r="D417" i="5"/>
  <c r="D414" i="5"/>
  <c r="A414" i="5"/>
  <c r="A201" i="5"/>
  <c r="G17" i="10"/>
  <c r="D17" i="10"/>
  <c r="E16" i="10"/>
  <c r="H15" i="10"/>
  <c r="D15" i="10"/>
  <c r="H14" i="10"/>
  <c r="C14" i="10"/>
  <c r="H13" i="10"/>
  <c r="C13" i="10"/>
  <c r="G12" i="10"/>
  <c r="K11" i="10"/>
  <c r="C11" i="10"/>
  <c r="I10" i="10"/>
  <c r="D10" i="10"/>
  <c r="K9" i="10"/>
  <c r="C9" i="10"/>
  <c r="G8" i="10"/>
  <c r="D8" i="10"/>
  <c r="G7" i="10"/>
  <c r="D7" i="10"/>
  <c r="H6" i="10"/>
  <c r="C6" i="10"/>
  <c r="H5" i="10"/>
  <c r="D5" i="10"/>
  <c r="G4" i="10"/>
  <c r="I3" i="10"/>
  <c r="D3" i="10"/>
  <c r="I2" i="10"/>
  <c r="D2" i="10"/>
  <c r="A480" i="8"/>
  <c r="A476" i="8"/>
  <c r="A475" i="8"/>
  <c r="A471" i="8"/>
  <c r="A469" i="8"/>
  <c r="A465" i="8"/>
  <c r="A459" i="8"/>
  <c r="A289" i="7"/>
  <c r="D289" i="7" s="1"/>
  <c r="A281" i="7"/>
  <c r="D281" i="7" s="1"/>
  <c r="A169" i="7"/>
  <c r="D169" i="7" s="1"/>
  <c r="A157" i="7"/>
  <c r="D157" i="7" s="1"/>
  <c r="A155" i="7"/>
  <c r="D155" i="7" s="1"/>
  <c r="A154" i="7"/>
  <c r="D154" i="7" s="1"/>
  <c r="A147" i="7"/>
  <c r="D147" i="7" s="1"/>
  <c r="A136" i="7"/>
  <c r="D136" i="7" s="1"/>
  <c r="A130" i="7"/>
  <c r="D130" i="7" s="1"/>
  <c r="A128" i="7"/>
  <c r="D128" i="7" s="1"/>
  <c r="A126" i="7"/>
  <c r="D126" i="7" s="1"/>
  <c r="A125" i="7"/>
  <c r="D125" i="7" s="1"/>
  <c r="A121" i="7"/>
  <c r="D121" i="7" s="1"/>
  <c r="A120" i="7"/>
  <c r="D120" i="7" s="1"/>
  <c r="A118" i="7"/>
  <c r="D118" i="7" s="1"/>
  <c r="A117" i="7"/>
  <c r="D117" i="7" s="1"/>
  <c r="A116" i="7"/>
  <c r="D116" i="7" s="1"/>
  <c r="A115" i="7"/>
  <c r="D115" i="7" s="1"/>
  <c r="A114" i="7"/>
  <c r="D114" i="7" s="1"/>
  <c r="A104" i="7"/>
  <c r="D104" i="7" s="1"/>
  <c r="A103" i="7"/>
  <c r="D103" i="7" s="1"/>
  <c r="A102" i="7"/>
  <c r="D102" i="7" s="1"/>
  <c r="A96" i="7"/>
  <c r="D96" i="7" s="1"/>
  <c r="A95" i="7"/>
  <c r="D95" i="7" s="1"/>
  <c r="A90" i="7"/>
  <c r="D90" i="7" s="1"/>
  <c r="A88" i="7"/>
  <c r="D88" i="7" s="1"/>
  <c r="A80" i="7"/>
  <c r="D80" i="7" s="1"/>
  <c r="A76" i="7"/>
  <c r="D76" i="7" s="1"/>
  <c r="A68" i="7"/>
  <c r="D68" i="7" s="1"/>
  <c r="A67" i="7"/>
  <c r="D67" i="7" s="1"/>
  <c r="A480" i="5"/>
  <c r="B477" i="5"/>
  <c r="B476" i="5"/>
  <c r="C475" i="5"/>
  <c r="D474" i="5"/>
  <c r="C474" i="5"/>
  <c r="A474" i="5"/>
  <c r="B473" i="5"/>
  <c r="B472" i="5"/>
  <c r="C471" i="5"/>
  <c r="B470" i="5"/>
  <c r="D469" i="5"/>
  <c r="B469" i="5"/>
  <c r="D465" i="5"/>
  <c r="B465" i="5"/>
  <c r="C464" i="5"/>
  <c r="D463" i="5"/>
  <c r="A463" i="5"/>
  <c r="A456" i="5"/>
  <c r="D455" i="5"/>
  <c r="B455" i="5"/>
  <c r="A452" i="5"/>
  <c r="A451" i="5"/>
  <c r="D447" i="5"/>
  <c r="B446" i="5"/>
  <c r="C445" i="5"/>
  <c r="A442" i="5"/>
  <c r="A441" i="5"/>
  <c r="D438" i="5"/>
  <c r="C435" i="5"/>
  <c r="D434" i="5"/>
  <c r="A434" i="5"/>
  <c r="C430" i="5"/>
  <c r="B429" i="5"/>
  <c r="A429" i="5"/>
  <c r="D428" i="5"/>
  <c r="A428" i="5"/>
  <c r="A426" i="5"/>
  <c r="A425" i="5"/>
  <c r="B424" i="5"/>
  <c r="D423" i="5"/>
  <c r="A423" i="5"/>
  <c r="B422" i="5"/>
  <c r="A421" i="5"/>
  <c r="B420" i="5"/>
  <c r="A416" i="5"/>
  <c r="C415" i="5"/>
  <c r="F428" i="15"/>
  <c r="E428" i="15"/>
  <c r="D428" i="15"/>
  <c r="C428" i="15"/>
  <c r="B428" i="15"/>
  <c r="A428" i="15"/>
  <c r="F427" i="15"/>
  <c r="E427" i="15"/>
  <c r="D427" i="15"/>
  <c r="C427" i="15"/>
  <c r="B427" i="15"/>
  <c r="A427" i="15"/>
  <c r="E426" i="15"/>
  <c r="A426" i="15"/>
  <c r="E423" i="15"/>
  <c r="A423" i="15"/>
  <c r="E416" i="15"/>
  <c r="A416" i="15"/>
  <c r="E415" i="15"/>
  <c r="A415" i="15"/>
  <c r="E412" i="15"/>
  <c r="A412" i="15"/>
  <c r="F130" i="15"/>
  <c r="E130" i="15"/>
  <c r="D130" i="15"/>
  <c r="C130" i="15"/>
  <c r="B130" i="15"/>
  <c r="A130" i="15"/>
  <c r="E124" i="15"/>
  <c r="D124" i="15"/>
  <c r="A124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P48" i="15"/>
  <c r="O48" i="15"/>
  <c r="N48" i="15"/>
  <c r="M48" i="15"/>
  <c r="L48" i="15"/>
  <c r="P47" i="15"/>
  <c r="O47" i="15"/>
  <c r="N47" i="15"/>
  <c r="M47" i="15"/>
  <c r="L47" i="15"/>
  <c r="P46" i="15"/>
  <c r="O46" i="15"/>
  <c r="N46" i="15"/>
  <c r="M46" i="15"/>
  <c r="L46" i="15"/>
  <c r="P45" i="15"/>
  <c r="O45" i="15"/>
  <c r="N45" i="15"/>
  <c r="M45" i="15"/>
  <c r="L45" i="15"/>
  <c r="P44" i="15"/>
  <c r="O44" i="15"/>
  <c r="N44" i="15"/>
  <c r="M44" i="15"/>
  <c r="L44" i="15"/>
  <c r="P43" i="15"/>
  <c r="O43" i="15"/>
  <c r="N43" i="15"/>
  <c r="M43" i="15"/>
  <c r="L43" i="15"/>
  <c r="P42" i="15"/>
  <c r="O42" i="15"/>
  <c r="N42" i="15"/>
  <c r="M42" i="15"/>
  <c r="L42" i="15"/>
  <c r="P41" i="15"/>
  <c r="O41" i="15"/>
  <c r="N41" i="15"/>
  <c r="M41" i="15"/>
  <c r="L41" i="15"/>
  <c r="P40" i="15"/>
  <c r="O40" i="15"/>
  <c r="N40" i="15"/>
  <c r="M40" i="15"/>
  <c r="L40" i="15"/>
  <c r="P39" i="15"/>
  <c r="O39" i="15"/>
  <c r="N39" i="15"/>
  <c r="M39" i="15"/>
  <c r="L39" i="15"/>
  <c r="P38" i="15"/>
  <c r="O38" i="15"/>
  <c r="N38" i="15"/>
  <c r="M38" i="15"/>
  <c r="L38" i="15"/>
  <c r="P37" i="15"/>
  <c r="O37" i="15"/>
  <c r="N37" i="15"/>
  <c r="M37" i="15"/>
  <c r="L37" i="15"/>
  <c r="P36" i="15"/>
  <c r="O36" i="15"/>
  <c r="N36" i="15"/>
  <c r="M36" i="15"/>
  <c r="L36" i="15"/>
  <c r="P35" i="15"/>
  <c r="O35" i="15"/>
  <c r="N35" i="15"/>
  <c r="M35" i="15"/>
  <c r="L35" i="15"/>
  <c r="P34" i="15"/>
  <c r="O34" i="15"/>
  <c r="N34" i="15"/>
  <c r="M34" i="15"/>
  <c r="L34" i="15"/>
  <c r="P33" i="15"/>
  <c r="O33" i="15"/>
  <c r="N33" i="15"/>
  <c r="M33" i="15"/>
  <c r="L33" i="15"/>
  <c r="P32" i="15"/>
  <c r="O32" i="15"/>
  <c r="N32" i="15"/>
  <c r="M32" i="15"/>
  <c r="L32" i="15"/>
  <c r="P31" i="15"/>
  <c r="O31" i="15"/>
  <c r="N31" i="15"/>
  <c r="M31" i="15"/>
  <c r="L31" i="15"/>
  <c r="P30" i="15"/>
  <c r="O30" i="15"/>
  <c r="N30" i="15"/>
  <c r="M30" i="15"/>
  <c r="L30" i="15"/>
  <c r="P29" i="15"/>
  <c r="O29" i="15"/>
  <c r="N29" i="15"/>
  <c r="M29" i="15"/>
  <c r="L29" i="15"/>
  <c r="P28" i="15"/>
  <c r="O28" i="15"/>
  <c r="N28" i="15"/>
  <c r="M28" i="15"/>
  <c r="L28" i="15"/>
  <c r="P27" i="15"/>
  <c r="O27" i="15"/>
  <c r="N27" i="15"/>
  <c r="M27" i="15"/>
  <c r="L27" i="15"/>
  <c r="P26" i="15"/>
  <c r="O26" i="15"/>
  <c r="N26" i="15"/>
  <c r="M26" i="15"/>
  <c r="L26" i="15"/>
  <c r="P25" i="15"/>
  <c r="O25" i="15"/>
  <c r="N25" i="15"/>
  <c r="M25" i="15"/>
  <c r="L25" i="15"/>
  <c r="G79" i="13"/>
  <c r="F79" i="13"/>
  <c r="H79" i="13" s="1"/>
  <c r="C79" i="13"/>
  <c r="B79" i="13"/>
  <c r="G78" i="13"/>
  <c r="F78" i="13"/>
  <c r="H78" i="13" s="1"/>
  <c r="C78" i="13"/>
  <c r="B78" i="13"/>
  <c r="B67" i="13"/>
  <c r="B63" i="13"/>
  <c r="A20" i="13"/>
  <c r="D20" i="13" s="1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G231" i="7"/>
  <c r="F231" i="7"/>
  <c r="H231" i="7" s="1"/>
  <c r="C231" i="7"/>
  <c r="B231" i="7"/>
  <c r="G224" i="7"/>
  <c r="C224" i="7"/>
  <c r="G218" i="7"/>
  <c r="F218" i="7"/>
  <c r="H218" i="7" s="1"/>
  <c r="C218" i="7"/>
  <c r="B218" i="7"/>
  <c r="G212" i="7"/>
  <c r="F212" i="7"/>
  <c r="H212" i="7" s="1"/>
  <c r="C212" i="7"/>
  <c r="B212" i="7"/>
  <c r="F206" i="7"/>
  <c r="H206" i="7" s="1"/>
  <c r="B206" i="7"/>
  <c r="A177" i="7"/>
  <c r="D177" i="7" s="1"/>
  <c r="A173" i="7"/>
  <c r="D173" i="7" s="1"/>
  <c r="A172" i="7"/>
  <c r="D172" i="7" s="1"/>
  <c r="F69" i="7"/>
  <c r="H69" i="7" s="1"/>
  <c r="G63" i="7"/>
  <c r="B63" i="7"/>
  <c r="B124" i="15" s="1"/>
  <c r="F481" i="5"/>
  <c r="B481" i="5"/>
  <c r="G480" i="5"/>
  <c r="F479" i="5"/>
  <c r="D479" i="5"/>
  <c r="C479" i="5"/>
  <c r="B479" i="5"/>
  <c r="A479" i="5"/>
  <c r="F478" i="5"/>
  <c r="D478" i="5"/>
  <c r="B478" i="5"/>
  <c r="F359" i="5"/>
  <c r="D357" i="5"/>
  <c r="B357" i="5"/>
  <c r="F356" i="5"/>
  <c r="C356" i="5"/>
  <c r="A356" i="5"/>
  <c r="F355" i="5"/>
  <c r="D355" i="5"/>
  <c r="C355" i="5"/>
  <c r="B355" i="5"/>
  <c r="D354" i="5"/>
  <c r="B354" i="5"/>
  <c r="G353" i="5"/>
  <c r="C353" i="5"/>
  <c r="A353" i="5"/>
  <c r="F350" i="5"/>
  <c r="D350" i="5"/>
  <c r="C350" i="5"/>
  <c r="D348" i="5"/>
  <c r="C348" i="5"/>
  <c r="B347" i="5"/>
  <c r="F346" i="5"/>
  <c r="C346" i="5"/>
  <c r="A346" i="5"/>
  <c r="G345" i="5"/>
  <c r="F341" i="5"/>
  <c r="B341" i="5"/>
  <c r="C340" i="5"/>
  <c r="A335" i="5"/>
  <c r="B333" i="5"/>
  <c r="G330" i="5"/>
  <c r="F330" i="5"/>
  <c r="D330" i="5"/>
  <c r="B330" i="5"/>
  <c r="F329" i="5"/>
  <c r="C329" i="5"/>
  <c r="G328" i="5"/>
  <c r="D327" i="5"/>
  <c r="A326" i="5"/>
  <c r="D325" i="5"/>
  <c r="B325" i="5"/>
  <c r="F324" i="5"/>
  <c r="D324" i="5"/>
  <c r="B324" i="5"/>
  <c r="G323" i="5"/>
  <c r="C322" i="5"/>
  <c r="A322" i="5"/>
  <c r="F321" i="5"/>
  <c r="D321" i="5"/>
  <c r="B321" i="5"/>
  <c r="G320" i="5"/>
  <c r="D320" i="5"/>
  <c r="B320" i="5"/>
  <c r="G319" i="5"/>
  <c r="D319" i="5"/>
  <c r="B319" i="5"/>
  <c r="A319" i="5"/>
  <c r="F318" i="5"/>
  <c r="C318" i="5"/>
  <c r="B318" i="5"/>
  <c r="F317" i="5"/>
  <c r="C317" i="5"/>
  <c r="A317" i="5"/>
  <c r="F316" i="5"/>
  <c r="D316" i="5"/>
  <c r="C316" i="5"/>
  <c r="B316" i="5"/>
  <c r="G315" i="5"/>
  <c r="F315" i="5"/>
  <c r="F314" i="5"/>
  <c r="C314" i="5"/>
  <c r="C313" i="5"/>
  <c r="G312" i="5"/>
  <c r="B312" i="5"/>
  <c r="D311" i="5"/>
  <c r="B311" i="5"/>
  <c r="F310" i="5"/>
  <c r="D310" i="5"/>
  <c r="C310" i="5"/>
  <c r="B310" i="5"/>
  <c r="D307" i="5"/>
  <c r="C307" i="5"/>
  <c r="F306" i="5"/>
  <c r="F288" i="5"/>
  <c r="A287" i="5"/>
  <c r="F286" i="5"/>
  <c r="C286" i="5"/>
  <c r="A286" i="5"/>
  <c r="F285" i="5"/>
  <c r="C285" i="5"/>
  <c r="D284" i="5"/>
  <c r="D283" i="5"/>
  <c r="B281" i="5"/>
  <c r="D280" i="5"/>
  <c r="B280" i="5"/>
  <c r="D276" i="5"/>
  <c r="F275" i="5"/>
  <c r="D272" i="5"/>
  <c r="C272" i="5"/>
  <c r="B272" i="5"/>
  <c r="G271" i="5"/>
  <c r="F271" i="5"/>
  <c r="G270" i="5"/>
  <c r="G265" i="5"/>
  <c r="C265" i="5"/>
  <c r="G264" i="5"/>
  <c r="D264" i="5"/>
  <c r="B264" i="5"/>
  <c r="G263" i="5"/>
  <c r="D263" i="5"/>
  <c r="B263" i="5"/>
  <c r="B262" i="5"/>
  <c r="G261" i="5"/>
  <c r="D260" i="5"/>
  <c r="B260" i="5"/>
  <c r="G259" i="5"/>
  <c r="D259" i="5"/>
  <c r="C259" i="5"/>
  <c r="A259" i="5"/>
  <c r="F258" i="5"/>
  <c r="C258" i="5"/>
  <c r="A258" i="5"/>
  <c r="F257" i="5"/>
  <c r="D257" i="5"/>
  <c r="C257" i="5"/>
  <c r="A257" i="5"/>
  <c r="F256" i="5"/>
  <c r="C256" i="5"/>
  <c r="A255" i="5"/>
  <c r="C253" i="5"/>
  <c r="F251" i="5"/>
  <c r="D251" i="5"/>
  <c r="D247" i="5"/>
  <c r="A246" i="5"/>
  <c r="F245" i="5"/>
  <c r="D245" i="5"/>
  <c r="B245" i="5"/>
  <c r="A245" i="5"/>
  <c r="F86" i="5"/>
  <c r="G85" i="5"/>
  <c r="D85" i="5"/>
  <c r="A85" i="5"/>
  <c r="F84" i="5"/>
  <c r="B84" i="5"/>
  <c r="F83" i="5"/>
  <c r="C83" i="5"/>
  <c r="A83" i="5"/>
  <c r="C80" i="5"/>
  <c r="G79" i="5"/>
  <c r="B79" i="5"/>
  <c r="G78" i="5"/>
  <c r="C78" i="5"/>
  <c r="G77" i="5"/>
  <c r="B77" i="5"/>
  <c r="F76" i="5"/>
  <c r="C76" i="5"/>
  <c r="A76" i="5"/>
  <c r="A73" i="5"/>
  <c r="C70" i="5"/>
  <c r="F69" i="5"/>
  <c r="C69" i="5"/>
  <c r="A69" i="5"/>
  <c r="C66" i="5"/>
  <c r="C65" i="5"/>
  <c r="D64" i="5"/>
  <c r="B64" i="5"/>
  <c r="F63" i="5"/>
  <c r="C63" i="5"/>
  <c r="A63" i="5"/>
  <c r="B61" i="5"/>
  <c r="F60" i="5"/>
  <c r="C60" i="5"/>
  <c r="A60" i="5"/>
  <c r="F59" i="5"/>
  <c r="C59" i="5"/>
  <c r="G58" i="5"/>
  <c r="G56" i="5"/>
  <c r="D56" i="5"/>
  <c r="B56" i="5"/>
  <c r="G54" i="5"/>
  <c r="C54" i="5"/>
  <c r="G53" i="5"/>
  <c r="C53" i="5"/>
  <c r="G52" i="5"/>
  <c r="B51" i="5"/>
  <c r="G50" i="5"/>
  <c r="C50" i="5"/>
  <c r="G49" i="5"/>
  <c r="B49" i="5"/>
  <c r="C47" i="5"/>
  <c r="G46" i="5"/>
  <c r="D46" i="5"/>
  <c r="B46" i="5"/>
  <c r="G45" i="5"/>
  <c r="D45" i="5"/>
  <c r="A45" i="5"/>
  <c r="F44" i="5"/>
  <c r="F43" i="5"/>
  <c r="B43" i="5"/>
  <c r="F42" i="5"/>
  <c r="C42" i="5"/>
  <c r="F41" i="5"/>
  <c r="B41" i="5"/>
  <c r="A37" i="5"/>
  <c r="D36" i="5"/>
  <c r="B36" i="5"/>
  <c r="D33" i="5"/>
  <c r="D32" i="5"/>
  <c r="A32" i="5"/>
  <c r="F29" i="5"/>
  <c r="C29" i="5"/>
  <c r="G26" i="5"/>
  <c r="C26" i="5"/>
  <c r="F25" i="5"/>
  <c r="C25" i="5"/>
  <c r="A25" i="5"/>
  <c r="G21" i="5"/>
  <c r="D21" i="5"/>
  <c r="B21" i="5"/>
  <c r="F20" i="5"/>
  <c r="C20" i="5"/>
  <c r="G19" i="5"/>
  <c r="F17" i="5"/>
  <c r="C17" i="5"/>
  <c r="G16" i="5"/>
  <c r="C16" i="5"/>
  <c r="F15" i="5"/>
  <c r="F14" i="5"/>
  <c r="C14" i="5"/>
  <c r="F13" i="5"/>
  <c r="C13" i="5"/>
  <c r="G12" i="5"/>
  <c r="D12" i="5"/>
  <c r="B12" i="5"/>
  <c r="F11" i="5"/>
  <c r="C11" i="5"/>
  <c r="F10" i="5"/>
  <c r="C10" i="5"/>
  <c r="C9" i="5"/>
  <c r="D8" i="5"/>
  <c r="B8" i="5"/>
  <c r="F7" i="5"/>
  <c r="D7" i="5"/>
  <c r="A7" i="5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G268" i="7"/>
  <c r="F268" i="7"/>
  <c r="H268" i="7" s="1"/>
  <c r="C268" i="7"/>
  <c r="B268" i="7"/>
  <c r="G258" i="7"/>
  <c r="F258" i="7"/>
  <c r="H258" i="7" s="1"/>
  <c r="C258" i="7"/>
  <c r="B258" i="7"/>
  <c r="G242" i="7"/>
  <c r="F242" i="7"/>
  <c r="H242" i="7" s="1"/>
  <c r="C242" i="7"/>
  <c r="B242" i="7"/>
  <c r="F224" i="7"/>
  <c r="H224" i="7" s="1"/>
  <c r="B224" i="7"/>
  <c r="G206" i="7"/>
  <c r="C206" i="7"/>
  <c r="G198" i="7"/>
  <c r="F198" i="7"/>
  <c r="H198" i="7" s="1"/>
  <c r="C198" i="7"/>
  <c r="B198" i="7"/>
  <c r="B186" i="7"/>
  <c r="B185" i="7"/>
  <c r="F480" i="5"/>
  <c r="D480" i="5"/>
  <c r="B480" i="5"/>
  <c r="G479" i="5"/>
  <c r="C478" i="5"/>
  <c r="A478" i="5"/>
  <c r="F383" i="5"/>
  <c r="D383" i="5"/>
  <c r="C383" i="5"/>
  <c r="B383" i="5"/>
  <c r="A383" i="5"/>
  <c r="G382" i="5"/>
  <c r="F382" i="5"/>
  <c r="G381" i="5"/>
  <c r="F381" i="5"/>
  <c r="G380" i="5"/>
  <c r="C378" i="5"/>
  <c r="A378" i="5"/>
  <c r="F377" i="5"/>
  <c r="D377" i="5"/>
  <c r="B377" i="5"/>
  <c r="A377" i="5"/>
  <c r="F376" i="5"/>
  <c r="D376" i="5"/>
  <c r="B376" i="5"/>
  <c r="G375" i="5"/>
  <c r="A171" i="7"/>
  <c r="D171" i="7" s="1"/>
  <c r="G69" i="7"/>
  <c r="C69" i="7"/>
  <c r="B69" i="7"/>
  <c r="G481" i="5"/>
  <c r="D481" i="5"/>
  <c r="C481" i="5"/>
  <c r="C480" i="5"/>
  <c r="G478" i="5"/>
  <c r="G383" i="5"/>
  <c r="D382" i="5"/>
  <c r="D381" i="5"/>
  <c r="C381" i="5"/>
  <c r="B380" i="5"/>
  <c r="G379" i="5"/>
  <c r="D379" i="5"/>
  <c r="B379" i="5"/>
  <c r="G378" i="5"/>
  <c r="C377" i="5"/>
  <c r="G376" i="5"/>
  <c r="F375" i="5"/>
  <c r="D375" i="5"/>
  <c r="C375" i="5"/>
  <c r="B375" i="5"/>
  <c r="G374" i="5"/>
  <c r="F374" i="5"/>
  <c r="D374" i="5"/>
  <c r="C374" i="5"/>
  <c r="G373" i="5"/>
  <c r="D371" i="5"/>
  <c r="C371" i="5"/>
  <c r="B371" i="5"/>
  <c r="A371" i="5"/>
  <c r="F370" i="5"/>
  <c r="D369" i="5"/>
  <c r="C369" i="5"/>
  <c r="B369" i="5"/>
  <c r="A369" i="5"/>
  <c r="F368" i="5"/>
  <c r="F367" i="5"/>
  <c r="F366" i="5"/>
  <c r="F365" i="5"/>
  <c r="F364" i="5"/>
  <c r="F363" i="5"/>
  <c r="F362" i="5"/>
  <c r="G361" i="5"/>
  <c r="F361" i="5"/>
  <c r="G360" i="5"/>
  <c r="F360" i="5"/>
  <c r="G359" i="5"/>
  <c r="F358" i="5"/>
  <c r="F357" i="5"/>
  <c r="D356" i="5"/>
  <c r="B356" i="5"/>
  <c r="G355" i="5"/>
  <c r="G354" i="5"/>
  <c r="F354" i="5"/>
  <c r="F352" i="5"/>
  <c r="B352" i="5"/>
  <c r="A352" i="5"/>
  <c r="G350" i="5"/>
  <c r="F349" i="5"/>
  <c r="D349" i="5"/>
  <c r="C349" i="5"/>
  <c r="G348" i="5"/>
  <c r="F348" i="5"/>
  <c r="D346" i="5"/>
  <c r="B346" i="5"/>
  <c r="F345" i="5"/>
  <c r="D345" i="5"/>
  <c r="B345" i="5"/>
  <c r="G344" i="5"/>
  <c r="D344" i="5"/>
  <c r="C344" i="5"/>
  <c r="G343" i="5"/>
  <c r="D343" i="5"/>
  <c r="C343" i="5"/>
  <c r="F342" i="5"/>
  <c r="D342" i="5"/>
  <c r="C342" i="5"/>
  <c r="B342" i="5"/>
  <c r="A342" i="5"/>
  <c r="B339" i="5"/>
  <c r="F338" i="5"/>
  <c r="D338" i="5"/>
  <c r="C338" i="5"/>
  <c r="B338" i="5"/>
  <c r="A338" i="5"/>
  <c r="F337" i="5"/>
  <c r="F336" i="5"/>
  <c r="C336" i="5"/>
  <c r="A336" i="5"/>
  <c r="B334" i="5"/>
  <c r="B332" i="5"/>
  <c r="F331" i="5"/>
  <c r="D331" i="5"/>
  <c r="C331" i="5"/>
  <c r="C330" i="5"/>
  <c r="A330" i="5"/>
  <c r="C328" i="5"/>
  <c r="A328" i="5"/>
  <c r="F327" i="5"/>
  <c r="C327" i="5"/>
  <c r="B327" i="5"/>
  <c r="G326" i="5"/>
  <c r="C324" i="5"/>
  <c r="A324" i="5"/>
  <c r="F323" i="5"/>
  <c r="D323" i="5"/>
  <c r="B323" i="5"/>
  <c r="G322" i="5"/>
  <c r="C321" i="5"/>
  <c r="A321" i="5"/>
  <c r="F320" i="5"/>
  <c r="C320" i="5"/>
  <c r="A320" i="5"/>
  <c r="F319" i="5"/>
  <c r="C319" i="5"/>
  <c r="G318" i="5"/>
  <c r="D317" i="5"/>
  <c r="B317" i="5"/>
  <c r="G316" i="5"/>
  <c r="D314" i="5"/>
  <c r="B314" i="5"/>
  <c r="G313" i="5"/>
  <c r="F307" i="5"/>
  <c r="D306" i="5"/>
  <c r="C306" i="5"/>
  <c r="F304" i="5"/>
  <c r="F302" i="5"/>
  <c r="G300" i="5"/>
  <c r="D298" i="5"/>
  <c r="C298" i="5"/>
  <c r="G297" i="5"/>
  <c r="F297" i="5"/>
  <c r="D296" i="5"/>
  <c r="C296" i="5"/>
  <c r="D295" i="5"/>
  <c r="C295" i="5"/>
  <c r="F294" i="5"/>
  <c r="D294" i="5"/>
  <c r="C294" i="5"/>
  <c r="F293" i="5"/>
  <c r="D292" i="5"/>
  <c r="C292" i="5"/>
  <c r="B292" i="5"/>
  <c r="D291" i="5"/>
  <c r="C291" i="5"/>
  <c r="B291" i="5"/>
  <c r="G290" i="5"/>
  <c r="D290" i="5"/>
  <c r="C290" i="5"/>
  <c r="F289" i="5"/>
  <c r="D289" i="5"/>
  <c r="G288" i="5"/>
  <c r="F287" i="5"/>
  <c r="D287" i="5"/>
  <c r="C287" i="5"/>
  <c r="B287" i="5"/>
  <c r="G286" i="5"/>
  <c r="D285" i="5"/>
  <c r="C284" i="5"/>
  <c r="F281" i="5"/>
  <c r="D281" i="5"/>
  <c r="C281" i="5"/>
  <c r="A281" i="5"/>
  <c r="F280" i="5"/>
  <c r="A279" i="5"/>
  <c r="D277" i="5"/>
  <c r="C277" i="5"/>
  <c r="B277" i="5"/>
  <c r="D275" i="5"/>
  <c r="C275" i="5"/>
  <c r="B275" i="5"/>
  <c r="F274" i="5"/>
  <c r="F270" i="5"/>
  <c r="C270" i="5"/>
  <c r="B270" i="5"/>
  <c r="F269" i="5"/>
  <c r="C269" i="5"/>
  <c r="A269" i="5"/>
  <c r="F268" i="5"/>
  <c r="B268" i="5"/>
  <c r="G267" i="5"/>
  <c r="D267" i="5"/>
  <c r="C267" i="5"/>
  <c r="B267" i="5"/>
  <c r="G266" i="5"/>
  <c r="C264" i="5"/>
  <c r="A264" i="5"/>
  <c r="F263" i="5"/>
  <c r="C263" i="5"/>
  <c r="G262" i="5"/>
  <c r="D262" i="5"/>
  <c r="C262" i="5"/>
  <c r="A261" i="5"/>
  <c r="B259" i="5"/>
  <c r="B257" i="5"/>
  <c r="G256" i="5"/>
  <c r="D256" i="5"/>
  <c r="B256" i="5"/>
  <c r="G255" i="5"/>
  <c r="D254" i="5"/>
  <c r="B254" i="5"/>
  <c r="F253" i="5"/>
  <c r="D253" i="5"/>
  <c r="B253" i="5"/>
  <c r="G252" i="5"/>
  <c r="C251" i="5"/>
  <c r="D249" i="5"/>
  <c r="C249" i="5"/>
  <c r="B249" i="5"/>
  <c r="A249" i="5"/>
  <c r="C247" i="5"/>
  <c r="B247" i="5"/>
  <c r="A247" i="5"/>
  <c r="F246" i="5"/>
  <c r="D246" i="5"/>
  <c r="C246" i="5"/>
  <c r="B246" i="5"/>
  <c r="C245" i="5"/>
  <c r="F244" i="5"/>
  <c r="C244" i="5"/>
  <c r="A244" i="5"/>
  <c r="D242" i="5"/>
  <c r="C242" i="5"/>
  <c r="B242" i="5"/>
  <c r="F241" i="5"/>
  <c r="D241" i="5"/>
  <c r="C241" i="5"/>
  <c r="B241" i="5"/>
  <c r="D240" i="5"/>
  <c r="G239" i="5"/>
  <c r="F92" i="5"/>
  <c r="F91" i="5"/>
  <c r="D91" i="5"/>
  <c r="C91" i="5"/>
  <c r="B91" i="5"/>
  <c r="B90" i="5"/>
  <c r="B89" i="5"/>
  <c r="G88" i="5"/>
  <c r="D88" i="5"/>
  <c r="B88" i="5"/>
  <c r="G87" i="5"/>
  <c r="D87" i="5"/>
  <c r="B87" i="5"/>
  <c r="G86" i="5"/>
  <c r="C86" i="5"/>
  <c r="C85" i="5"/>
  <c r="G84" i="5"/>
  <c r="C84" i="5"/>
  <c r="A84" i="5"/>
  <c r="G81" i="5"/>
  <c r="C81" i="5"/>
  <c r="A81" i="5"/>
  <c r="G80" i="5"/>
  <c r="C79" i="5"/>
  <c r="C77" i="5"/>
  <c r="G76" i="5"/>
  <c r="D76" i="5"/>
  <c r="G75" i="5"/>
  <c r="D75" i="5"/>
  <c r="B75" i="5"/>
  <c r="F74" i="5"/>
  <c r="C74" i="5"/>
  <c r="A74" i="5"/>
  <c r="F73" i="5"/>
  <c r="D73" i="5"/>
  <c r="B73" i="5"/>
  <c r="D72" i="5"/>
  <c r="A72" i="5"/>
  <c r="F71" i="5"/>
  <c r="C71" i="5"/>
  <c r="A71" i="5"/>
  <c r="F70" i="5"/>
  <c r="D70" i="5"/>
  <c r="B70" i="5"/>
  <c r="D69" i="5"/>
  <c r="B69" i="5"/>
  <c r="D68" i="5"/>
  <c r="B68" i="5"/>
  <c r="F61" i="5"/>
  <c r="G55" i="5"/>
  <c r="B52" i="5"/>
  <c r="G51" i="5"/>
  <c r="F48" i="5"/>
  <c r="C48" i="5"/>
  <c r="A48" i="5"/>
  <c r="F47" i="5"/>
  <c r="D47" i="5"/>
  <c r="B47" i="5"/>
  <c r="A47" i="5"/>
  <c r="F46" i="5"/>
  <c r="C46" i="5"/>
  <c r="A46" i="5"/>
  <c r="F45" i="5"/>
  <c r="C45" i="5"/>
  <c r="B45" i="5"/>
  <c r="G44" i="5"/>
  <c r="D44" i="5"/>
  <c r="B44" i="5"/>
  <c r="G43" i="5"/>
  <c r="C43" i="5"/>
  <c r="G42" i="5"/>
  <c r="D42" i="5"/>
  <c r="A42" i="5"/>
  <c r="D41" i="5"/>
  <c r="A41" i="5"/>
  <c r="F40" i="5"/>
  <c r="C40" i="5"/>
  <c r="A40" i="5"/>
  <c r="F39" i="5"/>
  <c r="C39" i="5"/>
  <c r="A39" i="5"/>
  <c r="F38" i="5"/>
  <c r="D38" i="5"/>
  <c r="C38" i="5"/>
  <c r="B38" i="5"/>
  <c r="A38" i="5"/>
  <c r="A36" i="5"/>
  <c r="F35" i="5"/>
  <c r="D35" i="5"/>
  <c r="B35" i="5"/>
  <c r="B33" i="5"/>
  <c r="B29" i="5"/>
  <c r="G28" i="5"/>
  <c r="C28" i="5"/>
  <c r="A28" i="5"/>
  <c r="D27" i="5"/>
  <c r="F24" i="5"/>
  <c r="C24" i="5"/>
  <c r="G23" i="5"/>
  <c r="D23" i="5"/>
  <c r="B23" i="5"/>
  <c r="G22" i="5"/>
  <c r="A21" i="5"/>
  <c r="B19" i="5"/>
  <c r="B17" i="5"/>
  <c r="F16" i="5"/>
  <c r="B16" i="5"/>
  <c r="G15" i="5"/>
  <c r="A14" i="5"/>
  <c r="D13" i="5"/>
  <c r="B13" i="5"/>
  <c r="F12" i="5"/>
  <c r="C12" i="5"/>
  <c r="A10" i="5"/>
  <c r="C7" i="5"/>
  <c r="D6" i="5"/>
  <c r="B6" i="5"/>
  <c r="C5" i="5"/>
  <c r="A5" i="5"/>
  <c r="F4" i="5"/>
  <c r="C4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F431" i="5"/>
  <c r="F430" i="5"/>
  <c r="F429" i="5"/>
  <c r="F428" i="5"/>
  <c r="F427" i="5"/>
  <c r="F426" i="5"/>
  <c r="F425" i="5"/>
  <c r="F424" i="5"/>
  <c r="F423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F401" i="5"/>
  <c r="F400" i="5"/>
  <c r="F399" i="5"/>
  <c r="F398" i="5"/>
  <c r="F397" i="5"/>
  <c r="F396" i="5"/>
  <c r="F395" i="5"/>
  <c r="F394" i="5"/>
  <c r="F393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B381" i="5"/>
  <c r="F380" i="5"/>
  <c r="D380" i="5"/>
  <c r="C380" i="5"/>
  <c r="A380" i="5"/>
  <c r="F379" i="5"/>
  <c r="C379" i="5"/>
  <c r="A379" i="5"/>
  <c r="F378" i="5"/>
  <c r="D378" i="5"/>
  <c r="B378" i="5"/>
  <c r="G377" i="5"/>
  <c r="C376" i="5"/>
  <c r="A375" i="5"/>
  <c r="F373" i="5"/>
  <c r="D373" i="5"/>
  <c r="C373" i="5"/>
  <c r="B373" i="5"/>
  <c r="A373" i="5"/>
  <c r="F372" i="5"/>
  <c r="D372" i="5"/>
  <c r="C372" i="5"/>
  <c r="B372" i="5"/>
  <c r="A372" i="5"/>
  <c r="F371" i="5"/>
  <c r="D370" i="5"/>
  <c r="C370" i="5"/>
  <c r="F369" i="5"/>
  <c r="G358" i="5"/>
  <c r="G357" i="5"/>
  <c r="C357" i="5"/>
  <c r="A357" i="5"/>
  <c r="G356" i="5"/>
  <c r="C354" i="5"/>
  <c r="A354" i="5"/>
  <c r="F353" i="5"/>
  <c r="D353" i="5"/>
  <c r="B353" i="5"/>
  <c r="G352" i="5"/>
  <c r="D352" i="5"/>
  <c r="C352" i="5"/>
  <c r="G351" i="5"/>
  <c r="F351" i="5"/>
  <c r="D351" i="5"/>
  <c r="C351" i="5"/>
  <c r="B351" i="5"/>
  <c r="B350" i="5"/>
  <c r="G349" i="5"/>
  <c r="G347" i="5"/>
  <c r="F347" i="5"/>
  <c r="D347" i="5"/>
  <c r="C347" i="5"/>
  <c r="A347" i="5"/>
  <c r="G346" i="5"/>
  <c r="C345" i="5"/>
  <c r="A345" i="5"/>
  <c r="F344" i="5"/>
  <c r="F343" i="5"/>
  <c r="G342" i="5"/>
  <c r="D341" i="5"/>
  <c r="C341" i="5"/>
  <c r="A341" i="5"/>
  <c r="F340" i="5"/>
  <c r="D340" i="5"/>
  <c r="B340" i="5"/>
  <c r="A340" i="5"/>
  <c r="F339" i="5"/>
  <c r="D339" i="5"/>
  <c r="C339" i="5"/>
  <c r="A339" i="5"/>
  <c r="D337" i="5"/>
  <c r="C337" i="5"/>
  <c r="B337" i="5"/>
  <c r="A337" i="5"/>
  <c r="D336" i="5"/>
  <c r="B336" i="5"/>
  <c r="F335" i="5"/>
  <c r="D335" i="5"/>
  <c r="C335" i="5"/>
  <c r="B335" i="5"/>
  <c r="F334" i="5"/>
  <c r="D334" i="5"/>
  <c r="C334" i="5"/>
  <c r="A334" i="5"/>
  <c r="F333" i="5"/>
  <c r="D333" i="5"/>
  <c r="C333" i="5"/>
  <c r="A333" i="5"/>
  <c r="F332" i="5"/>
  <c r="D332" i="5"/>
  <c r="C332" i="5"/>
  <c r="A332" i="5"/>
  <c r="G331" i="5"/>
  <c r="G329" i="5"/>
  <c r="D329" i="5"/>
  <c r="B329" i="5"/>
  <c r="A329" i="5"/>
  <c r="F328" i="5"/>
  <c r="D328" i="5"/>
  <c r="B328" i="5"/>
  <c r="G327" i="5"/>
  <c r="F326" i="5"/>
  <c r="D326" i="5"/>
  <c r="C326" i="5"/>
  <c r="B326" i="5"/>
  <c r="G325" i="5"/>
  <c r="F325" i="5"/>
  <c r="C325" i="5"/>
  <c r="A325" i="5"/>
  <c r="G324" i="5"/>
  <c r="C323" i="5"/>
  <c r="A323" i="5"/>
  <c r="F322" i="5"/>
  <c r="D322" i="5"/>
  <c r="B322" i="5"/>
  <c r="G321" i="5"/>
  <c r="D318" i="5"/>
  <c r="A318" i="5"/>
  <c r="G317" i="5"/>
  <c r="D315" i="5"/>
  <c r="C315" i="5"/>
  <c r="G314" i="5"/>
  <c r="F313" i="5"/>
  <c r="D313" i="5"/>
  <c r="B313" i="5"/>
  <c r="A313" i="5"/>
  <c r="F312" i="5"/>
  <c r="D312" i="5"/>
  <c r="C312" i="5"/>
  <c r="A312" i="5"/>
  <c r="F311" i="5"/>
  <c r="C311" i="5"/>
  <c r="A311" i="5"/>
  <c r="F309" i="5"/>
  <c r="D309" i="5"/>
  <c r="C309" i="5"/>
  <c r="B309" i="5"/>
  <c r="A309" i="5"/>
  <c r="F308" i="5"/>
  <c r="F305" i="5"/>
  <c r="D305" i="5"/>
  <c r="C305" i="5"/>
  <c r="B305" i="5"/>
  <c r="A305" i="5"/>
  <c r="D304" i="5"/>
  <c r="C304" i="5"/>
  <c r="F303" i="5"/>
  <c r="G301" i="5"/>
  <c r="F301" i="5"/>
  <c r="F300" i="5"/>
  <c r="D300" i="5"/>
  <c r="C300" i="5"/>
  <c r="B300" i="5"/>
  <c r="A300" i="5"/>
  <c r="G299" i="5"/>
  <c r="F299" i="5"/>
  <c r="D299" i="5"/>
  <c r="C299" i="5"/>
  <c r="B299" i="5"/>
  <c r="A299" i="5"/>
  <c r="G298" i="5"/>
  <c r="F298" i="5"/>
  <c r="D297" i="5"/>
  <c r="C297" i="5"/>
  <c r="G296" i="5"/>
  <c r="F296" i="5"/>
  <c r="G295" i="5"/>
  <c r="F295" i="5"/>
  <c r="G294" i="5"/>
  <c r="G293" i="5"/>
  <c r="D293" i="5"/>
  <c r="C293" i="5"/>
  <c r="B293" i="5"/>
  <c r="A293" i="5"/>
  <c r="G292" i="5"/>
  <c r="F292" i="5"/>
  <c r="G291" i="5"/>
  <c r="F291" i="5"/>
  <c r="F290" i="5"/>
  <c r="G289" i="5"/>
  <c r="D288" i="5"/>
  <c r="C288" i="5"/>
  <c r="B288" i="5"/>
  <c r="G287" i="5"/>
  <c r="D286" i="5"/>
  <c r="B286" i="5"/>
  <c r="G285" i="5"/>
  <c r="G284" i="5"/>
  <c r="F284" i="5"/>
  <c r="G283" i="5"/>
  <c r="F283" i="5"/>
  <c r="G282" i="5"/>
  <c r="F282" i="5"/>
  <c r="D282" i="5"/>
  <c r="C282" i="5"/>
  <c r="B282" i="5"/>
  <c r="C280" i="5"/>
  <c r="A280" i="5"/>
  <c r="F279" i="5"/>
  <c r="D279" i="5"/>
  <c r="C279" i="5"/>
  <c r="B279" i="5"/>
  <c r="F278" i="5"/>
  <c r="D278" i="5"/>
  <c r="C278" i="5"/>
  <c r="B278" i="5"/>
  <c r="A278" i="5"/>
  <c r="F277" i="5"/>
  <c r="F276" i="5"/>
  <c r="F273" i="5"/>
  <c r="F272" i="5"/>
  <c r="D270" i="5"/>
  <c r="A270" i="5"/>
  <c r="G269" i="5"/>
  <c r="D269" i="5"/>
  <c r="B269" i="5"/>
  <c r="G268" i="5"/>
  <c r="D268" i="5"/>
  <c r="C268" i="5"/>
  <c r="A268" i="5"/>
  <c r="F267" i="5"/>
  <c r="F266" i="5"/>
  <c r="D266" i="5"/>
  <c r="C266" i="5"/>
  <c r="B266" i="5"/>
  <c r="A266" i="5"/>
  <c r="F265" i="5"/>
  <c r="D265" i="5"/>
  <c r="B265" i="5"/>
  <c r="A265" i="5"/>
  <c r="F264" i="5"/>
  <c r="F262" i="5"/>
  <c r="F261" i="5"/>
  <c r="D261" i="5"/>
  <c r="C261" i="5"/>
  <c r="B261" i="5"/>
  <c r="G260" i="5"/>
  <c r="F260" i="5"/>
  <c r="C260" i="5"/>
  <c r="A260" i="5"/>
  <c r="F259" i="5"/>
  <c r="G258" i="5"/>
  <c r="D258" i="5"/>
  <c r="B258" i="5"/>
  <c r="G257" i="5"/>
  <c r="F255" i="5"/>
  <c r="D255" i="5"/>
  <c r="C255" i="5"/>
  <c r="B255" i="5"/>
  <c r="G254" i="5"/>
  <c r="F254" i="5"/>
  <c r="C254" i="5"/>
  <c r="A254" i="5"/>
  <c r="G253" i="5"/>
  <c r="F252" i="5"/>
  <c r="D252" i="5"/>
  <c r="C252" i="5"/>
  <c r="B252" i="5"/>
  <c r="A252" i="5"/>
  <c r="G251" i="5"/>
  <c r="F250" i="5"/>
  <c r="F249" i="5"/>
  <c r="F248" i="5"/>
  <c r="D248" i="5"/>
  <c r="C248" i="5"/>
  <c r="B248" i="5"/>
  <c r="A248" i="5"/>
  <c r="F247" i="5"/>
  <c r="D244" i="5"/>
  <c r="B244" i="5"/>
  <c r="F243" i="5"/>
  <c r="D243" i="5"/>
  <c r="C243" i="5"/>
  <c r="B243" i="5"/>
  <c r="A243" i="5"/>
  <c r="F242" i="5"/>
  <c r="G241" i="5"/>
  <c r="G240" i="5"/>
  <c r="F240" i="5"/>
  <c r="F239" i="5"/>
  <c r="D239" i="5"/>
  <c r="C239" i="5"/>
  <c r="B239" i="5"/>
  <c r="A239" i="5"/>
  <c r="D92" i="5"/>
  <c r="C92" i="5"/>
  <c r="B92" i="5"/>
  <c r="A92" i="5"/>
  <c r="G91" i="5"/>
  <c r="G90" i="5"/>
  <c r="G89" i="5"/>
  <c r="F85" i="5"/>
  <c r="D84" i="5"/>
  <c r="G83" i="5"/>
  <c r="D83" i="5"/>
  <c r="B83" i="5"/>
  <c r="G82" i="5"/>
  <c r="D82" i="5"/>
  <c r="B82" i="5"/>
  <c r="F81" i="5"/>
  <c r="D81" i="5"/>
  <c r="B81" i="5"/>
  <c r="F80" i="5"/>
  <c r="D80" i="5"/>
  <c r="A80" i="5"/>
  <c r="F79" i="5"/>
  <c r="D79" i="5"/>
  <c r="A79" i="5"/>
  <c r="F78" i="5"/>
  <c r="B78" i="5"/>
  <c r="F77" i="5"/>
  <c r="D77" i="5"/>
  <c r="A77" i="5"/>
  <c r="A75" i="5"/>
  <c r="C73" i="5"/>
  <c r="F72" i="5"/>
  <c r="C72" i="5"/>
  <c r="B72" i="5"/>
  <c r="D71" i="5"/>
  <c r="B71" i="5"/>
  <c r="F68" i="5"/>
  <c r="C68" i="5"/>
  <c r="A68" i="5"/>
  <c r="F67" i="5"/>
  <c r="C67" i="5"/>
  <c r="A67" i="5"/>
  <c r="F66" i="5"/>
  <c r="D66" i="5"/>
  <c r="B66" i="5"/>
  <c r="A66" i="5"/>
  <c r="F65" i="5"/>
  <c r="D65" i="5"/>
  <c r="B65" i="5"/>
  <c r="A65" i="5"/>
  <c r="C62" i="5"/>
  <c r="B62" i="5"/>
  <c r="A62" i="5"/>
  <c r="G61" i="5"/>
  <c r="D61" i="5"/>
  <c r="C61" i="5"/>
  <c r="A61" i="5"/>
  <c r="G60" i="5"/>
  <c r="F58" i="5"/>
  <c r="D58" i="5"/>
  <c r="B58" i="5"/>
  <c r="A58" i="5"/>
  <c r="F57" i="5"/>
  <c r="C57" i="5"/>
  <c r="A57" i="5"/>
  <c r="F55" i="5"/>
  <c r="D55" i="5"/>
  <c r="C55" i="5"/>
  <c r="B55" i="5"/>
  <c r="A55" i="5"/>
  <c r="F54" i="5"/>
  <c r="D54" i="5"/>
  <c r="B54" i="5"/>
  <c r="A54" i="5"/>
  <c r="F53" i="5"/>
  <c r="D53" i="5"/>
  <c r="B53" i="5"/>
  <c r="A53" i="5"/>
  <c r="F52" i="5"/>
  <c r="D52" i="5"/>
  <c r="C52" i="5"/>
  <c r="A52" i="5"/>
  <c r="F51" i="5"/>
  <c r="D51" i="5"/>
  <c r="C51" i="5"/>
  <c r="A51" i="5"/>
  <c r="F50" i="5"/>
  <c r="D50" i="5"/>
  <c r="B50" i="5"/>
  <c r="A50" i="5"/>
  <c r="F49" i="5"/>
  <c r="D49" i="5"/>
  <c r="C49" i="5"/>
  <c r="A49" i="5"/>
  <c r="G48" i="5"/>
  <c r="D48" i="5"/>
  <c r="B48" i="5"/>
  <c r="G47" i="5"/>
  <c r="D43" i="5"/>
  <c r="A43" i="5"/>
  <c r="C41" i="5"/>
  <c r="D40" i="5"/>
  <c r="B40" i="5"/>
  <c r="F37" i="5"/>
  <c r="B37" i="5"/>
  <c r="C35" i="5"/>
  <c r="A35" i="5"/>
  <c r="F34" i="5"/>
  <c r="D34" i="5"/>
  <c r="C34" i="5"/>
  <c r="B34" i="5"/>
  <c r="F33" i="5"/>
  <c r="C33" i="5"/>
  <c r="A33" i="5"/>
  <c r="F32" i="5"/>
  <c r="C32" i="5"/>
  <c r="B32" i="5"/>
  <c r="F31" i="5"/>
  <c r="D31" i="5"/>
  <c r="C31" i="5"/>
  <c r="B31" i="5"/>
  <c r="G30" i="5"/>
  <c r="D30" i="5"/>
  <c r="B30" i="5"/>
  <c r="A30" i="5"/>
  <c r="B28" i="5"/>
  <c r="F27" i="5"/>
  <c r="C27" i="5"/>
  <c r="B27" i="5"/>
  <c r="A27" i="5"/>
  <c r="F26" i="5"/>
  <c r="D26" i="5"/>
  <c r="B26" i="5"/>
  <c r="A26" i="5"/>
  <c r="G25" i="5"/>
  <c r="B24" i="5"/>
  <c r="F23" i="5"/>
  <c r="C23" i="5"/>
  <c r="A23" i="5"/>
  <c r="F22" i="5"/>
  <c r="D22" i="5"/>
  <c r="C22" i="5"/>
  <c r="A22" i="5"/>
  <c r="B20" i="5"/>
  <c r="F19" i="5"/>
  <c r="D19" i="5"/>
  <c r="A19" i="5"/>
  <c r="F18" i="5"/>
  <c r="C18" i="5"/>
  <c r="B18" i="5"/>
  <c r="A18" i="5"/>
  <c r="D16" i="5"/>
  <c r="A16" i="5"/>
  <c r="D15" i="5"/>
  <c r="B15" i="5"/>
  <c r="G14" i="5"/>
  <c r="D14" i="5"/>
  <c r="B14" i="5"/>
  <c r="G13" i="5"/>
  <c r="A12" i="5"/>
  <c r="D11" i="5"/>
  <c r="B11" i="5"/>
  <c r="D10" i="5"/>
  <c r="B10" i="5"/>
  <c r="F9" i="5"/>
  <c r="D9" i="5"/>
  <c r="A9" i="5"/>
  <c r="F8" i="5"/>
  <c r="C8" i="5"/>
  <c r="A8" i="5"/>
  <c r="B4" i="5"/>
  <c r="D3" i="5"/>
  <c r="B3" i="5"/>
  <c r="D2" i="5"/>
  <c r="B2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F217" i="5"/>
  <c r="F216" i="5"/>
  <c r="F215" i="5"/>
  <c r="F214" i="5"/>
  <c r="F213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F130" i="5"/>
  <c r="F129" i="5"/>
  <c r="F128" i="5"/>
  <c r="F127" i="5"/>
  <c r="F126" i="5"/>
  <c r="F125" i="5"/>
  <c r="F124" i="5"/>
  <c r="F123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F100" i="5"/>
  <c r="F99" i="5"/>
  <c r="F98" i="5"/>
  <c r="F97" i="5"/>
  <c r="F96" i="5"/>
  <c r="F95" i="5"/>
  <c r="F94" i="5"/>
  <c r="F93" i="5"/>
  <c r="F90" i="5"/>
  <c r="D90" i="5"/>
  <c r="C90" i="5"/>
  <c r="F89" i="5"/>
  <c r="D89" i="5"/>
  <c r="C89" i="5"/>
  <c r="A89" i="5"/>
  <c r="F88" i="5"/>
  <c r="C88" i="5"/>
  <c r="A88" i="5"/>
  <c r="F87" i="5"/>
  <c r="C87" i="5"/>
  <c r="A87" i="5"/>
  <c r="D86" i="5"/>
  <c r="B85" i="5"/>
  <c r="F82" i="5"/>
  <c r="C82" i="5"/>
  <c r="A82" i="5"/>
  <c r="B80" i="5"/>
  <c r="D78" i="5"/>
  <c r="A78" i="5"/>
  <c r="B76" i="5"/>
  <c r="F75" i="5"/>
  <c r="C75" i="5"/>
  <c r="D74" i="5"/>
  <c r="B74" i="5"/>
  <c r="A70" i="5"/>
  <c r="D67" i="5"/>
  <c r="B67" i="5"/>
  <c r="G66" i="5"/>
  <c r="F64" i="5"/>
  <c r="C64" i="5"/>
  <c r="A64" i="5"/>
  <c r="D63" i="5"/>
  <c r="B63" i="5"/>
  <c r="F62" i="5"/>
  <c r="D62" i="5"/>
  <c r="D60" i="5"/>
  <c r="B60" i="5"/>
  <c r="G59" i="5"/>
  <c r="D59" i="5"/>
  <c r="B59" i="5"/>
  <c r="C58" i="5"/>
  <c r="G57" i="5"/>
  <c r="D57" i="5"/>
  <c r="B57" i="5"/>
  <c r="F56" i="5"/>
  <c r="C44" i="5"/>
  <c r="A44" i="5"/>
  <c r="B42" i="5"/>
  <c r="D39" i="5"/>
  <c r="B39" i="5"/>
  <c r="D37" i="5"/>
  <c r="C37" i="5"/>
  <c r="F36" i="5"/>
  <c r="C36" i="5"/>
  <c r="A34" i="5"/>
  <c r="G31" i="5"/>
  <c r="A31" i="5"/>
  <c r="F30" i="5"/>
  <c r="C30" i="5"/>
  <c r="G29" i="5"/>
  <c r="D29" i="5"/>
  <c r="A29" i="5"/>
  <c r="F28" i="5"/>
  <c r="D28" i="5"/>
  <c r="G27" i="5"/>
  <c r="D25" i="5"/>
  <c r="B25" i="5"/>
  <c r="G24" i="5"/>
  <c r="D24" i="5"/>
  <c r="A24" i="5"/>
  <c r="B22" i="5"/>
  <c r="F21" i="5"/>
  <c r="C21" i="5"/>
  <c r="G20" i="5"/>
  <c r="D20" i="5"/>
  <c r="A20" i="5"/>
  <c r="C19" i="5"/>
  <c r="G18" i="5"/>
  <c r="D18" i="5"/>
  <c r="G17" i="5"/>
  <c r="D17" i="5"/>
  <c r="A17" i="5"/>
  <c r="C15" i="5"/>
  <c r="A15" i="5"/>
  <c r="A13" i="5"/>
  <c r="A11" i="5"/>
  <c r="B9" i="5"/>
  <c r="B7" i="5"/>
  <c r="F6" i="5"/>
  <c r="C6" i="5"/>
  <c r="A6" i="5"/>
  <c r="F5" i="5"/>
  <c r="D5" i="5"/>
  <c r="B5" i="5"/>
  <c r="D4" i="5"/>
  <c r="A4" i="5"/>
  <c r="F3" i="5"/>
  <c r="C3" i="5"/>
  <c r="A3" i="5"/>
  <c r="F2" i="5"/>
  <c r="C2" i="5"/>
  <c r="A2" i="5"/>
  <c r="F63" i="7" l="1"/>
  <c r="D274" i="7"/>
  <c r="F335" i="15"/>
  <c r="E335" i="15"/>
  <c r="D335" i="15"/>
  <c r="C335" i="15"/>
  <c r="B335" i="15"/>
  <c r="A335" i="15"/>
  <c r="G250" i="5"/>
  <c r="C250" i="8" s="1"/>
  <c r="G74" i="5"/>
  <c r="C74" i="8" s="1"/>
  <c r="D16" i="13"/>
  <c r="A365" i="15"/>
  <c r="E365" i="15"/>
  <c r="B16" i="13"/>
  <c r="B77" i="13"/>
  <c r="B74" i="13"/>
  <c r="B66" i="13"/>
  <c r="G205" i="7"/>
  <c r="F205" i="7"/>
  <c r="H205" i="7" s="1"/>
  <c r="C205" i="7"/>
  <c r="B205" i="7"/>
  <c r="G200" i="7"/>
  <c r="F200" i="7"/>
  <c r="H200" i="7" s="1"/>
  <c r="C200" i="7"/>
  <c r="B200" i="7"/>
  <c r="G197" i="7"/>
  <c r="F197" i="7"/>
  <c r="H197" i="7" s="1"/>
  <c r="C197" i="7"/>
  <c r="F190" i="7"/>
  <c r="H190" i="7" s="1"/>
  <c r="C190" i="7"/>
  <c r="F187" i="7"/>
  <c r="H187" i="7" s="1"/>
  <c r="B187" i="7"/>
  <c r="B48" i="7"/>
  <c r="F266" i="15"/>
  <c r="E266" i="15"/>
  <c r="D266" i="15"/>
  <c r="C266" i="15"/>
  <c r="B266" i="15"/>
  <c r="A266" i="15"/>
  <c r="F261" i="15"/>
  <c r="E261" i="15"/>
  <c r="D261" i="15"/>
  <c r="C261" i="15"/>
  <c r="B261" i="15"/>
  <c r="A261" i="15"/>
  <c r="F258" i="15"/>
  <c r="E258" i="15"/>
  <c r="D258" i="15"/>
  <c r="C258" i="15"/>
  <c r="B258" i="15"/>
  <c r="A258" i="15"/>
  <c r="F318" i="15"/>
  <c r="E318" i="15"/>
  <c r="D318" i="15"/>
  <c r="C318" i="15"/>
  <c r="B318" i="15"/>
  <c r="A318" i="15"/>
  <c r="G257" i="7"/>
  <c r="F257" i="7"/>
  <c r="H257" i="7" s="1"/>
  <c r="C257" i="7"/>
  <c r="B257" i="7"/>
  <c r="B197" i="7"/>
  <c r="F251" i="15"/>
  <c r="E251" i="15"/>
  <c r="D251" i="15"/>
  <c r="C251" i="15"/>
  <c r="B251" i="15"/>
  <c r="A251" i="15"/>
  <c r="G190" i="7"/>
  <c r="B190" i="7"/>
  <c r="F248" i="15"/>
  <c r="E248" i="15"/>
  <c r="D248" i="15"/>
  <c r="C248" i="15"/>
  <c r="B248" i="15"/>
  <c r="A248" i="15"/>
  <c r="G187" i="7"/>
  <c r="C187" i="7"/>
  <c r="C48" i="7"/>
  <c r="G48" i="7"/>
  <c r="F48" i="7"/>
  <c r="H48" i="7" s="1"/>
  <c r="C261" i="7"/>
  <c r="B261" i="7"/>
  <c r="G261" i="7"/>
  <c r="F261" i="7"/>
  <c r="H261" i="7" s="1"/>
  <c r="F332" i="15"/>
  <c r="E332" i="15"/>
  <c r="D332" i="15"/>
  <c r="C332" i="15"/>
  <c r="B332" i="15"/>
  <c r="A332" i="15"/>
  <c r="F322" i="15"/>
  <c r="E322" i="15"/>
  <c r="D322" i="15"/>
  <c r="C322" i="15"/>
  <c r="B322" i="15"/>
  <c r="A322" i="15"/>
  <c r="F419" i="15"/>
  <c r="E419" i="15"/>
  <c r="D419" i="15"/>
  <c r="C419" i="15"/>
  <c r="B419" i="15"/>
  <c r="A419" i="15"/>
  <c r="F417" i="15"/>
  <c r="E417" i="15"/>
  <c r="D417" i="15"/>
  <c r="C417" i="15"/>
  <c r="B417" i="15"/>
  <c r="A417" i="15"/>
  <c r="E411" i="15"/>
  <c r="A411" i="15"/>
  <c r="E377" i="15"/>
  <c r="A377" i="15"/>
  <c r="E376" i="15"/>
  <c r="A376" i="15"/>
  <c r="E375" i="15"/>
  <c r="A375" i="15"/>
  <c r="E368" i="15"/>
  <c r="A368" i="15"/>
  <c r="E367" i="15"/>
  <c r="A367" i="15"/>
  <c r="E364" i="15"/>
  <c r="A364" i="15"/>
  <c r="E123" i="15"/>
  <c r="A123" i="15"/>
  <c r="F119" i="15"/>
  <c r="E119" i="15"/>
  <c r="D119" i="15"/>
  <c r="C119" i="15"/>
  <c r="B119" i="15"/>
  <c r="A119" i="15"/>
  <c r="F109" i="15"/>
  <c r="E109" i="15"/>
  <c r="D109" i="15"/>
  <c r="C109" i="15"/>
  <c r="B109" i="15"/>
  <c r="A109" i="15"/>
  <c r="E106" i="15"/>
  <c r="D106" i="15"/>
  <c r="A106" i="15"/>
  <c r="E102" i="15"/>
  <c r="A102" i="15"/>
  <c r="E87" i="15"/>
  <c r="D87" i="15"/>
  <c r="A87" i="15"/>
  <c r="B15" i="13"/>
  <c r="B364" i="15" s="1"/>
  <c r="B2" i="13"/>
  <c r="G84" i="13"/>
  <c r="F84" i="13"/>
  <c r="H84" i="13" s="1"/>
  <c r="C84" i="13"/>
  <c r="B84" i="13"/>
  <c r="G70" i="13"/>
  <c r="F70" i="13"/>
  <c r="H70" i="13" s="1"/>
  <c r="C70" i="13"/>
  <c r="B70" i="13"/>
  <c r="G68" i="13"/>
  <c r="F68" i="13"/>
  <c r="H68" i="13" s="1"/>
  <c r="C68" i="13"/>
  <c r="B68" i="13"/>
  <c r="B62" i="13"/>
  <c r="B28" i="13"/>
  <c r="B27" i="13"/>
  <c r="B26" i="13"/>
  <c r="C26" i="13" s="1"/>
  <c r="C375" i="15" s="1"/>
  <c r="B19" i="13"/>
  <c r="B18" i="13"/>
  <c r="G62" i="7"/>
  <c r="F58" i="7"/>
  <c r="H58" i="7" s="1"/>
  <c r="C58" i="7"/>
  <c r="G26" i="7"/>
  <c r="B26" i="7"/>
  <c r="G271" i="7"/>
  <c r="F271" i="7"/>
  <c r="H271" i="7" s="1"/>
  <c r="C271" i="7"/>
  <c r="B271" i="7"/>
  <c r="B62" i="7"/>
  <c r="C63" i="7" s="1"/>
  <c r="C124" i="15" s="1"/>
  <c r="G58" i="7"/>
  <c r="B58" i="7"/>
  <c r="F331" i="15"/>
  <c r="E331" i="15"/>
  <c r="D331" i="15"/>
  <c r="C331" i="15"/>
  <c r="B331" i="15"/>
  <c r="A331" i="15"/>
  <c r="F330" i="15"/>
  <c r="E330" i="15"/>
  <c r="D330" i="15"/>
  <c r="C330" i="15"/>
  <c r="B330" i="15"/>
  <c r="A330" i="15"/>
  <c r="F328" i="15"/>
  <c r="E328" i="15"/>
  <c r="D328" i="15"/>
  <c r="C328" i="15"/>
  <c r="F186" i="7"/>
  <c r="H186" i="7" s="1"/>
  <c r="B328" i="15"/>
  <c r="A328" i="15"/>
  <c r="F327" i="15"/>
  <c r="E327" i="15"/>
  <c r="D327" i="15"/>
  <c r="C327" i="15"/>
  <c r="B327" i="15"/>
  <c r="A327" i="15"/>
  <c r="F325" i="15"/>
  <c r="E325" i="15"/>
  <c r="D325" i="15"/>
  <c r="C325" i="15"/>
  <c r="B325" i="15"/>
  <c r="A325" i="15"/>
  <c r="F324" i="15"/>
  <c r="E324" i="15"/>
  <c r="D324" i="15"/>
  <c r="C324" i="15"/>
  <c r="B324" i="15"/>
  <c r="A324" i="15"/>
  <c r="F323" i="15"/>
  <c r="E323" i="15"/>
  <c r="D323" i="15"/>
  <c r="C323" i="15"/>
  <c r="B323" i="15"/>
  <c r="A323" i="15"/>
  <c r="F321" i="15"/>
  <c r="E321" i="15"/>
  <c r="D321" i="15"/>
  <c r="C321" i="15"/>
  <c r="B321" i="15"/>
  <c r="A321" i="15"/>
  <c r="F320" i="15"/>
  <c r="E320" i="15"/>
  <c r="D320" i="15"/>
  <c r="C320" i="15"/>
  <c r="B320" i="15"/>
  <c r="A320" i="15"/>
  <c r="F317" i="15"/>
  <c r="E317" i="15"/>
  <c r="D317" i="15"/>
  <c r="C317" i="15"/>
  <c r="B317" i="15"/>
  <c r="A317" i="15"/>
  <c r="F247" i="15"/>
  <c r="D247" i="15"/>
  <c r="B247" i="15"/>
  <c r="D246" i="15"/>
  <c r="B246" i="15"/>
  <c r="F194" i="15"/>
  <c r="E194" i="15"/>
  <c r="D194" i="15"/>
  <c r="C194" i="15"/>
  <c r="B194" i="15"/>
  <c r="A194" i="15"/>
  <c r="G185" i="7"/>
  <c r="G186" i="7"/>
  <c r="F185" i="7"/>
  <c r="G133" i="7"/>
  <c r="F133" i="7"/>
  <c r="H133" i="7" s="1"/>
  <c r="C133" i="7"/>
  <c r="B133" i="7"/>
  <c r="F316" i="15"/>
  <c r="E316" i="15"/>
  <c r="D316" i="15"/>
  <c r="C316" i="15"/>
  <c r="B316" i="15"/>
  <c r="A316" i="15"/>
  <c r="F315" i="15"/>
  <c r="E315" i="15"/>
  <c r="D315" i="15"/>
  <c r="C315" i="15"/>
  <c r="B315" i="15"/>
  <c r="A315" i="15"/>
  <c r="F314" i="15"/>
  <c r="E314" i="15"/>
  <c r="D314" i="15"/>
  <c r="C314" i="15"/>
  <c r="B314" i="15"/>
  <c r="A314" i="15"/>
  <c r="F313" i="15"/>
  <c r="E313" i="15"/>
  <c r="D313" i="15"/>
  <c r="C313" i="15"/>
  <c r="B313" i="15"/>
  <c r="A313" i="15"/>
  <c r="F433" i="15"/>
  <c r="E433" i="15"/>
  <c r="D433" i="15"/>
  <c r="C433" i="15"/>
  <c r="B433" i="15"/>
  <c r="A433" i="15"/>
  <c r="E153" i="15"/>
  <c r="A153" i="15"/>
  <c r="E152" i="15"/>
  <c r="A152" i="15"/>
  <c r="E150" i="15"/>
  <c r="A150" i="15"/>
  <c r="E147" i="15"/>
  <c r="A147" i="15"/>
  <c r="E139" i="15"/>
  <c r="A139" i="15"/>
  <c r="F122" i="15"/>
  <c r="E122" i="15"/>
  <c r="D122" i="15"/>
  <c r="C122" i="15"/>
  <c r="B122" i="15"/>
  <c r="A122" i="15"/>
  <c r="F120" i="15"/>
  <c r="E120" i="15"/>
  <c r="D120" i="15"/>
  <c r="C120" i="15"/>
  <c r="B120" i="15"/>
  <c r="A120" i="15"/>
  <c r="E113" i="15"/>
  <c r="A113" i="15"/>
  <c r="F110" i="15"/>
  <c r="E110" i="15"/>
  <c r="D110" i="15"/>
  <c r="C110" i="15"/>
  <c r="B110" i="15"/>
  <c r="A110" i="15"/>
  <c r="E108" i="15"/>
  <c r="D108" i="15"/>
  <c r="A108" i="15"/>
  <c r="E107" i="15"/>
  <c r="D107" i="15"/>
  <c r="A107" i="15"/>
  <c r="E104" i="15"/>
  <c r="D104" i="15"/>
  <c r="A104" i="15"/>
  <c r="E103" i="15"/>
  <c r="A103" i="15"/>
  <c r="E101" i="15"/>
  <c r="A101" i="15"/>
  <c r="E96" i="15"/>
  <c r="D96" i="15"/>
  <c r="A96" i="15"/>
  <c r="G43" i="7"/>
  <c r="B42" i="7"/>
  <c r="B41" i="7"/>
  <c r="B40" i="7"/>
  <c r="G269" i="7"/>
  <c r="F269" i="7"/>
  <c r="H269" i="7" s="1"/>
  <c r="C269" i="7"/>
  <c r="B269" i="7"/>
  <c r="G256" i="7"/>
  <c r="F256" i="7"/>
  <c r="H256" i="7" s="1"/>
  <c r="C256" i="7"/>
  <c r="B256" i="7"/>
  <c r="G252" i="7"/>
  <c r="F252" i="7"/>
  <c r="H252" i="7" s="1"/>
  <c r="C252" i="7"/>
  <c r="B252" i="7"/>
  <c r="G251" i="7"/>
  <c r="F251" i="7"/>
  <c r="H251" i="7" s="1"/>
  <c r="C251" i="7"/>
  <c r="B251" i="7"/>
  <c r="G246" i="7"/>
  <c r="F246" i="7"/>
  <c r="H246" i="7" s="1"/>
  <c r="C246" i="7"/>
  <c r="B246" i="7"/>
  <c r="G243" i="7"/>
  <c r="F243" i="7"/>
  <c r="H243" i="7" s="1"/>
  <c r="C243" i="7"/>
  <c r="B243" i="7"/>
  <c r="G241" i="7"/>
  <c r="F241" i="7"/>
  <c r="H241" i="7" s="1"/>
  <c r="C241" i="7"/>
  <c r="B241" i="7"/>
  <c r="G240" i="7"/>
  <c r="F240" i="7"/>
  <c r="H240" i="7" s="1"/>
  <c r="C240" i="7"/>
  <c r="B240" i="7"/>
  <c r="G238" i="7"/>
  <c r="F238" i="7"/>
  <c r="H238" i="7" s="1"/>
  <c r="C238" i="7"/>
  <c r="B238" i="7"/>
  <c r="G237" i="7"/>
  <c r="F237" i="7"/>
  <c r="H237" i="7" s="1"/>
  <c r="C237" i="7"/>
  <c r="B237" i="7"/>
  <c r="G235" i="7"/>
  <c r="F235" i="7"/>
  <c r="H235" i="7" s="1"/>
  <c r="C235" i="7"/>
  <c r="B235" i="7"/>
  <c r="F59" i="7"/>
  <c r="H59" i="7" s="1"/>
  <c r="C59" i="7"/>
  <c r="G46" i="7"/>
  <c r="B43" i="7"/>
  <c r="B35" i="7"/>
  <c r="B92" i="7"/>
  <c r="B91" i="7"/>
  <c r="B89" i="7"/>
  <c r="B86" i="7"/>
  <c r="G85" i="7"/>
  <c r="F85" i="7"/>
  <c r="H85" i="7" s="1"/>
  <c r="C85" i="7"/>
  <c r="B85" i="7"/>
  <c r="G83" i="7"/>
  <c r="F83" i="7"/>
  <c r="H83" i="7" s="1"/>
  <c r="C83" i="7"/>
  <c r="B83" i="7"/>
  <c r="G82" i="7"/>
  <c r="F82" i="7"/>
  <c r="H82" i="7" s="1"/>
  <c r="C82" i="7"/>
  <c r="B82" i="7"/>
  <c r="B78" i="7"/>
  <c r="G61" i="7"/>
  <c r="F61" i="7"/>
  <c r="H61" i="7" s="1"/>
  <c r="C61" i="7"/>
  <c r="G59" i="7"/>
  <c r="B59" i="7"/>
  <c r="G49" i="7"/>
  <c r="F49" i="7"/>
  <c r="H49" i="7" s="1"/>
  <c r="C49" i="7"/>
  <c r="B46" i="7"/>
  <c r="G45" i="7"/>
  <c r="B45" i="7"/>
  <c r="G44" i="7"/>
  <c r="G37" i="7"/>
  <c r="C37" i="7"/>
  <c r="G35" i="7"/>
  <c r="F312" i="15"/>
  <c r="E312" i="15"/>
  <c r="D312" i="15"/>
  <c r="C312" i="15"/>
  <c r="B312" i="15"/>
  <c r="A312" i="15"/>
  <c r="F311" i="15"/>
  <c r="E311" i="15"/>
  <c r="D311" i="15"/>
  <c r="C311" i="15"/>
  <c r="B311" i="15"/>
  <c r="A311" i="15"/>
  <c r="F310" i="15"/>
  <c r="E310" i="15"/>
  <c r="D310" i="15"/>
  <c r="C310" i="15"/>
  <c r="B310" i="15"/>
  <c r="A310" i="15"/>
  <c r="F309" i="15"/>
  <c r="E309" i="15"/>
  <c r="D309" i="15"/>
  <c r="C309" i="15"/>
  <c r="B309" i="15"/>
  <c r="A309" i="15"/>
  <c r="F308" i="15"/>
  <c r="E308" i="15"/>
  <c r="D308" i="15"/>
  <c r="C308" i="15"/>
  <c r="B308" i="15"/>
  <c r="A308" i="15"/>
  <c r="F307" i="15"/>
  <c r="E307" i="15"/>
  <c r="D307" i="15"/>
  <c r="C307" i="15"/>
  <c r="B307" i="15"/>
  <c r="A307" i="15"/>
  <c r="F306" i="15"/>
  <c r="E306" i="15"/>
  <c r="D306" i="15"/>
  <c r="C306" i="15"/>
  <c r="B306" i="15"/>
  <c r="A306" i="15"/>
  <c r="F305" i="15"/>
  <c r="E305" i="15"/>
  <c r="D305" i="15"/>
  <c r="C305" i="15"/>
  <c r="B305" i="15"/>
  <c r="A305" i="15"/>
  <c r="F304" i="15"/>
  <c r="E304" i="15"/>
  <c r="D304" i="15"/>
  <c r="C304" i="15"/>
  <c r="B304" i="15"/>
  <c r="A304" i="15"/>
  <c r="F302" i="15"/>
  <c r="E302" i="15"/>
  <c r="D302" i="15"/>
  <c r="C302" i="15"/>
  <c r="B302" i="15"/>
  <c r="A302" i="15"/>
  <c r="F301" i="15"/>
  <c r="E301" i="15"/>
  <c r="D301" i="15"/>
  <c r="C301" i="15"/>
  <c r="B301" i="15"/>
  <c r="A301" i="15"/>
  <c r="F300" i="15"/>
  <c r="E300" i="15"/>
  <c r="D300" i="15"/>
  <c r="C300" i="15"/>
  <c r="B300" i="15"/>
  <c r="A300" i="15"/>
  <c r="F299" i="15"/>
  <c r="E299" i="15"/>
  <c r="D299" i="15"/>
  <c r="C299" i="15"/>
  <c r="B299" i="15"/>
  <c r="A299" i="15"/>
  <c r="F298" i="15"/>
  <c r="E298" i="15"/>
  <c r="D298" i="15"/>
  <c r="C298" i="15"/>
  <c r="B298" i="15"/>
  <c r="A298" i="15"/>
  <c r="F297" i="15"/>
  <c r="E297" i="15"/>
  <c r="D297" i="15"/>
  <c r="C297" i="15"/>
  <c r="B297" i="15"/>
  <c r="A297" i="15"/>
  <c r="F296" i="15"/>
  <c r="E296" i="15"/>
  <c r="D296" i="15"/>
  <c r="C296" i="15"/>
  <c r="B296" i="15"/>
  <c r="A296" i="15"/>
  <c r="F295" i="15"/>
  <c r="E295" i="15"/>
  <c r="D295" i="15"/>
  <c r="C295" i="15"/>
  <c r="B295" i="15"/>
  <c r="A295" i="15"/>
  <c r="F294" i="15"/>
  <c r="E294" i="15"/>
  <c r="D294" i="15"/>
  <c r="C294" i="15"/>
  <c r="B294" i="15"/>
  <c r="A294" i="15"/>
  <c r="F293" i="15"/>
  <c r="E293" i="15"/>
  <c r="D293" i="15"/>
  <c r="C293" i="15"/>
  <c r="B293" i="15"/>
  <c r="A293" i="15"/>
  <c r="F291" i="15"/>
  <c r="E291" i="15"/>
  <c r="D291" i="15"/>
  <c r="C291" i="15"/>
  <c r="B291" i="15"/>
  <c r="A291" i="15"/>
  <c r="F290" i="15"/>
  <c r="E290" i="15"/>
  <c r="D290" i="15"/>
  <c r="C290" i="15"/>
  <c r="B290" i="15"/>
  <c r="A290" i="15"/>
  <c r="F289" i="15"/>
  <c r="E289" i="15"/>
  <c r="D289" i="15"/>
  <c r="C289" i="15"/>
  <c r="B289" i="15"/>
  <c r="A289" i="15"/>
  <c r="F288" i="15"/>
  <c r="E288" i="15"/>
  <c r="D288" i="15"/>
  <c r="C288" i="15"/>
  <c r="B288" i="15"/>
  <c r="A288" i="15"/>
  <c r="F287" i="15"/>
  <c r="E287" i="15"/>
  <c r="D287" i="15"/>
  <c r="C287" i="15"/>
  <c r="B287" i="15"/>
  <c r="A287" i="15"/>
  <c r="F286" i="15"/>
  <c r="E286" i="15"/>
  <c r="D286" i="15"/>
  <c r="C286" i="15"/>
  <c r="B286" i="15"/>
  <c r="A286" i="15"/>
  <c r="G462" i="5"/>
  <c r="F284" i="15"/>
  <c r="E284" i="15"/>
  <c r="D284" i="15"/>
  <c r="C284" i="15"/>
  <c r="B284" i="15"/>
  <c r="A284" i="15"/>
  <c r="F283" i="15"/>
  <c r="E283" i="15"/>
  <c r="D283" i="15"/>
  <c r="C283" i="15"/>
  <c r="B283" i="15"/>
  <c r="A283" i="15"/>
  <c r="F282" i="15"/>
  <c r="E282" i="15"/>
  <c r="D282" i="15"/>
  <c r="C282" i="15"/>
  <c r="B282" i="15"/>
  <c r="A282" i="15"/>
  <c r="F281" i="15"/>
  <c r="E281" i="15"/>
  <c r="D281" i="15"/>
  <c r="C281" i="15"/>
  <c r="B51" i="7"/>
  <c r="B50" i="7"/>
  <c r="B49" i="7"/>
  <c r="G47" i="7"/>
  <c r="B47" i="7"/>
  <c r="B44" i="7"/>
  <c r="B39" i="7"/>
  <c r="G263" i="7"/>
  <c r="F263" i="7"/>
  <c r="H263" i="7" s="1"/>
  <c r="C263" i="7"/>
  <c r="B263" i="7"/>
  <c r="G262" i="7"/>
  <c r="F262" i="7"/>
  <c r="H262" i="7" s="1"/>
  <c r="C262" i="7"/>
  <c r="B262" i="7"/>
  <c r="G260" i="7"/>
  <c r="F260" i="7"/>
  <c r="H260" i="7" s="1"/>
  <c r="C260" i="7"/>
  <c r="B260" i="7"/>
  <c r="G259" i="7"/>
  <c r="F259" i="7"/>
  <c r="H259" i="7" s="1"/>
  <c r="C259" i="7"/>
  <c r="B259" i="7"/>
  <c r="G255" i="7"/>
  <c r="F255" i="7"/>
  <c r="H255" i="7" s="1"/>
  <c r="C255" i="7"/>
  <c r="B255" i="7"/>
  <c r="G254" i="7"/>
  <c r="F254" i="7"/>
  <c r="H254" i="7" s="1"/>
  <c r="C254" i="7"/>
  <c r="B254" i="7"/>
  <c r="G253" i="7"/>
  <c r="F253" i="7"/>
  <c r="H253" i="7" s="1"/>
  <c r="C253" i="7"/>
  <c r="B253" i="7"/>
  <c r="G249" i="7"/>
  <c r="F249" i="7"/>
  <c r="H249" i="7" s="1"/>
  <c r="C249" i="7"/>
  <c r="B249" i="7"/>
  <c r="G248" i="7"/>
  <c r="F248" i="7"/>
  <c r="H248" i="7" s="1"/>
  <c r="C248" i="7"/>
  <c r="B248" i="7"/>
  <c r="G247" i="7"/>
  <c r="F247" i="7"/>
  <c r="H247" i="7" s="1"/>
  <c r="C247" i="7"/>
  <c r="B247" i="7"/>
  <c r="G245" i="7"/>
  <c r="F245" i="7"/>
  <c r="H245" i="7" s="1"/>
  <c r="C245" i="7"/>
  <c r="B245" i="7"/>
  <c r="G244" i="7"/>
  <c r="F244" i="7"/>
  <c r="H244" i="7" s="1"/>
  <c r="C244" i="7"/>
  <c r="B244" i="7"/>
  <c r="G236" i="7"/>
  <c r="F236" i="7"/>
  <c r="H236" i="7" s="1"/>
  <c r="C236" i="7"/>
  <c r="B236" i="7"/>
  <c r="G234" i="7"/>
  <c r="F234" i="7"/>
  <c r="H234" i="7" s="1"/>
  <c r="C234" i="7"/>
  <c r="B234" i="7"/>
  <c r="G233" i="7"/>
  <c r="B233" i="7"/>
  <c r="G232" i="7"/>
  <c r="F232" i="7"/>
  <c r="H232" i="7" s="1"/>
  <c r="C232" i="7"/>
  <c r="B232" i="7"/>
  <c r="G230" i="7"/>
  <c r="B230" i="7"/>
  <c r="G229" i="7"/>
  <c r="F229" i="7"/>
  <c r="H229" i="7" s="1"/>
  <c r="B229" i="7"/>
  <c r="B227" i="7"/>
  <c r="G226" i="7"/>
  <c r="F226" i="7"/>
  <c r="H226" i="7" s="1"/>
  <c r="C226" i="7"/>
  <c r="B61" i="7"/>
  <c r="G60" i="7"/>
  <c r="B60" i="7"/>
  <c r="B56" i="7"/>
  <c r="G55" i="7"/>
  <c r="B52" i="7"/>
  <c r="B38" i="7"/>
  <c r="F37" i="7"/>
  <c r="H37" i="7" s="1"/>
  <c r="B37" i="7"/>
  <c r="B77" i="7"/>
  <c r="B74" i="7"/>
  <c r="G73" i="7"/>
  <c r="F73" i="7"/>
  <c r="H73" i="7" s="1"/>
  <c r="C73" i="7"/>
  <c r="B73" i="7"/>
  <c r="G57" i="7"/>
  <c r="F57" i="7"/>
  <c r="H57" i="7" s="1"/>
  <c r="C57" i="7"/>
  <c r="B57" i="7"/>
  <c r="F55" i="7"/>
  <c r="H55" i="7" s="1"/>
  <c r="C55" i="7"/>
  <c r="G54" i="7"/>
  <c r="B54" i="7"/>
  <c r="B53" i="7"/>
  <c r="B281" i="15"/>
  <c r="A281" i="15"/>
  <c r="F280" i="15"/>
  <c r="E280" i="15"/>
  <c r="D280" i="15"/>
  <c r="C280" i="15"/>
  <c r="B280" i="15"/>
  <c r="A280" i="15"/>
  <c r="F278" i="15"/>
  <c r="E278" i="15"/>
  <c r="D278" i="15"/>
  <c r="C278" i="15"/>
  <c r="B278" i="15"/>
  <c r="A278" i="15"/>
  <c r="F277" i="15"/>
  <c r="E277" i="15"/>
  <c r="D277" i="15"/>
  <c r="C277" i="15"/>
  <c r="B277" i="15"/>
  <c r="A277" i="15"/>
  <c r="F276" i="15"/>
  <c r="E276" i="15"/>
  <c r="D276" i="15"/>
  <c r="C276" i="15"/>
  <c r="B276" i="15"/>
  <c r="A276" i="15"/>
  <c r="F275" i="15"/>
  <c r="E275" i="15"/>
  <c r="D275" i="15"/>
  <c r="C275" i="15"/>
  <c r="B275" i="15"/>
  <c r="A275" i="15"/>
  <c r="F274" i="15"/>
  <c r="E274" i="15"/>
  <c r="D274" i="15"/>
  <c r="C274" i="15"/>
  <c r="B274" i="15"/>
  <c r="A274" i="15"/>
  <c r="F262" i="15"/>
  <c r="E262" i="15"/>
  <c r="D262" i="15"/>
  <c r="C262" i="15"/>
  <c r="B262" i="15"/>
  <c r="A262" i="15"/>
  <c r="F260" i="15"/>
  <c r="A244" i="15"/>
  <c r="F434" i="15"/>
  <c r="E434" i="15"/>
  <c r="D434" i="15"/>
  <c r="C434" i="15"/>
  <c r="B434" i="15"/>
  <c r="A434" i="15"/>
  <c r="E112" i="15"/>
  <c r="A112" i="15"/>
  <c r="E111" i="15"/>
  <c r="A111" i="15"/>
  <c r="E105" i="15"/>
  <c r="D105" i="15"/>
  <c r="B105" i="15"/>
  <c r="A105" i="15"/>
  <c r="E100" i="15"/>
  <c r="A100" i="15"/>
  <c r="E99" i="15"/>
  <c r="A99" i="15"/>
  <c r="F98" i="15"/>
  <c r="E98" i="15"/>
  <c r="D98" i="15"/>
  <c r="C98" i="15"/>
  <c r="B98" i="15"/>
  <c r="A98" i="15"/>
  <c r="B76" i="13"/>
  <c r="G25" i="13"/>
  <c r="F25" i="13"/>
  <c r="H25" i="13" s="1"/>
  <c r="C25" i="13"/>
  <c r="B25" i="13"/>
  <c r="B226" i="7"/>
  <c r="G64" i="7"/>
  <c r="B64" i="7"/>
  <c r="F60" i="7"/>
  <c r="H60" i="7" s="1"/>
  <c r="C60" i="7"/>
  <c r="G56" i="7"/>
  <c r="F56" i="7"/>
  <c r="H56" i="7" s="1"/>
  <c r="C56" i="7"/>
  <c r="B55" i="7"/>
  <c r="E260" i="15"/>
  <c r="D260" i="15"/>
  <c r="C260" i="15"/>
  <c r="B260" i="15"/>
  <c r="A260" i="15"/>
  <c r="F257" i="15"/>
  <c r="E257" i="15"/>
  <c r="D257" i="15"/>
  <c r="C257" i="15"/>
  <c r="B257" i="15"/>
  <c r="A257" i="15"/>
  <c r="F253" i="15"/>
  <c r="E253" i="15"/>
  <c r="D253" i="15"/>
  <c r="C253" i="15"/>
  <c r="B253" i="15"/>
  <c r="A253" i="15"/>
  <c r="F249" i="15"/>
  <c r="E249" i="15"/>
  <c r="D249" i="15"/>
  <c r="C249" i="15"/>
  <c r="B249" i="15"/>
  <c r="A249" i="15"/>
  <c r="E245" i="15"/>
  <c r="A245" i="15"/>
  <c r="E244" i="15"/>
  <c r="F432" i="15"/>
  <c r="E432" i="15"/>
  <c r="D432" i="15"/>
  <c r="C432" i="15"/>
  <c r="B432" i="15"/>
  <c r="A432" i="15"/>
  <c r="F431" i="15"/>
  <c r="E431" i="15"/>
  <c r="D431" i="15"/>
  <c r="C431" i="15"/>
  <c r="B431" i="15"/>
  <c r="A431" i="15"/>
  <c r="F430" i="15"/>
  <c r="E430" i="15"/>
  <c r="D430" i="15"/>
  <c r="C430" i="15"/>
  <c r="B430" i="15"/>
  <c r="A430" i="15"/>
  <c r="F429" i="15"/>
  <c r="E429" i="15"/>
  <c r="D429" i="15"/>
  <c r="C429" i="15"/>
  <c r="B429" i="15"/>
  <c r="A429" i="15"/>
  <c r="E425" i="15"/>
  <c r="A425" i="15"/>
  <c r="E424" i="15"/>
  <c r="A424" i="15"/>
  <c r="F422" i="15"/>
  <c r="E422" i="15"/>
  <c r="D422" i="15"/>
  <c r="C422" i="15"/>
  <c r="B422" i="15"/>
  <c r="A422" i="15"/>
  <c r="F421" i="15"/>
  <c r="E421" i="15"/>
  <c r="D421" i="15"/>
  <c r="C421" i="15"/>
  <c r="B421" i="15"/>
  <c r="A421" i="15"/>
  <c r="F420" i="15"/>
  <c r="E420" i="15"/>
  <c r="D420" i="15"/>
  <c r="C420" i="15"/>
  <c r="B420" i="15"/>
  <c r="A420" i="15"/>
  <c r="E351" i="15"/>
  <c r="A351" i="15"/>
  <c r="F146" i="15"/>
  <c r="E146" i="15"/>
  <c r="D146" i="15"/>
  <c r="C146" i="15"/>
  <c r="B146" i="15"/>
  <c r="A146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E138" i="15"/>
  <c r="A138" i="15"/>
  <c r="E135" i="15"/>
  <c r="A135" i="15"/>
  <c r="F134" i="15"/>
  <c r="E134" i="15"/>
  <c r="D134" i="15"/>
  <c r="C134" i="15"/>
  <c r="B134" i="15"/>
  <c r="A134" i="15"/>
  <c r="E125" i="15"/>
  <c r="D125" i="15"/>
  <c r="B125" i="15"/>
  <c r="A125" i="15"/>
  <c r="F121" i="15"/>
  <c r="E121" i="15"/>
  <c r="D121" i="15"/>
  <c r="C121" i="15"/>
  <c r="B121" i="15"/>
  <c r="A121" i="15"/>
  <c r="F118" i="15"/>
  <c r="E118" i="15"/>
  <c r="D118" i="15"/>
  <c r="C118" i="15"/>
  <c r="B118" i="15"/>
  <c r="A118" i="15"/>
  <c r="F117" i="15"/>
  <c r="E117" i="15"/>
  <c r="D117" i="15"/>
  <c r="C117" i="15"/>
  <c r="B117" i="15"/>
  <c r="A117" i="15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E114" i="15"/>
  <c r="A114" i="15"/>
  <c r="B75" i="13"/>
  <c r="G21" i="13"/>
  <c r="B21" i="13"/>
  <c r="F233" i="7"/>
  <c r="H233" i="7" s="1"/>
  <c r="C233" i="7"/>
  <c r="F230" i="7"/>
  <c r="H230" i="7" s="1"/>
  <c r="C230" i="7"/>
  <c r="C229" i="7"/>
  <c r="G228" i="7"/>
  <c r="F228" i="7"/>
  <c r="H228" i="7" s="1"/>
  <c r="C228" i="7"/>
  <c r="B228" i="7"/>
  <c r="G227" i="7"/>
  <c r="F227" i="7"/>
  <c r="H227" i="7" s="1"/>
  <c r="C227" i="7"/>
  <c r="G225" i="7"/>
  <c r="F225" i="7"/>
  <c r="H225" i="7" s="1"/>
  <c r="C225" i="7"/>
  <c r="B225" i="7"/>
  <c r="F222" i="7"/>
  <c r="H222" i="7" s="1"/>
  <c r="B222" i="7"/>
  <c r="G221" i="7"/>
  <c r="F221" i="7"/>
  <c r="H221" i="7" s="1"/>
  <c r="C221" i="7"/>
  <c r="B221" i="7"/>
  <c r="G220" i="7"/>
  <c r="F220" i="7"/>
  <c r="H220" i="7" s="1"/>
  <c r="C220" i="7"/>
  <c r="F219" i="7"/>
  <c r="H219" i="7" s="1"/>
  <c r="B219" i="7"/>
  <c r="G217" i="7"/>
  <c r="F217" i="7"/>
  <c r="H217" i="7" s="1"/>
  <c r="C217" i="7"/>
  <c r="B217" i="7"/>
  <c r="G215" i="7"/>
  <c r="F215" i="7"/>
  <c r="H215" i="7" s="1"/>
  <c r="C215" i="7"/>
  <c r="F214" i="7"/>
  <c r="H214" i="7" s="1"/>
  <c r="C214" i="7"/>
  <c r="F201" i="7"/>
  <c r="H201" i="7" s="1"/>
  <c r="B201" i="7"/>
  <c r="G199" i="7"/>
  <c r="F199" i="7"/>
  <c r="H199" i="7" s="1"/>
  <c r="C199" i="7"/>
  <c r="B199" i="7"/>
  <c r="G196" i="7"/>
  <c r="C196" i="7"/>
  <c r="F192" i="7"/>
  <c r="H192" i="7" s="1"/>
  <c r="B192" i="7"/>
  <c r="B183" i="7"/>
  <c r="F54" i="7"/>
  <c r="H54" i="7" s="1"/>
  <c r="C54" i="7"/>
  <c r="G36" i="7"/>
  <c r="F36" i="7"/>
  <c r="H36" i="7" s="1"/>
  <c r="C36" i="7"/>
  <c r="B36" i="7"/>
  <c r="B17" i="7"/>
  <c r="G279" i="5"/>
  <c r="G65" i="5"/>
  <c r="G250" i="7"/>
  <c r="F250" i="7"/>
  <c r="H250" i="7" s="1"/>
  <c r="C250" i="7"/>
  <c r="B250" i="7"/>
  <c r="G239" i="7"/>
  <c r="F239" i="7"/>
  <c r="H239" i="7" s="1"/>
  <c r="C239" i="7"/>
  <c r="B239" i="7"/>
  <c r="G222" i="7"/>
  <c r="C222" i="7"/>
  <c r="B220" i="7"/>
  <c r="G219" i="7"/>
  <c r="C219" i="7"/>
  <c r="B215" i="7"/>
  <c r="G214" i="7"/>
  <c r="B214" i="7"/>
  <c r="G192" i="7"/>
  <c r="C192" i="7"/>
  <c r="B184" i="7"/>
  <c r="G183" i="7"/>
  <c r="F22" i="7"/>
  <c r="H22" i="7" s="1"/>
  <c r="B22" i="7"/>
  <c r="G248" i="5"/>
  <c r="G34" i="5"/>
  <c r="F199" i="15"/>
  <c r="E199" i="15"/>
  <c r="D199" i="15"/>
  <c r="C199" i="15"/>
  <c r="B199" i="15"/>
  <c r="A199" i="15"/>
  <c r="F418" i="15"/>
  <c r="E418" i="15"/>
  <c r="D418" i="15"/>
  <c r="C418" i="15"/>
  <c r="B418" i="15"/>
  <c r="A418" i="15"/>
  <c r="E414" i="15"/>
  <c r="A414" i="15"/>
  <c r="E413" i="15"/>
  <c r="A413" i="15"/>
  <c r="F410" i="15"/>
  <c r="E410" i="15"/>
  <c r="D410" i="15"/>
  <c r="C410" i="15"/>
  <c r="B410" i="15"/>
  <c r="A410" i="15"/>
  <c r="F409" i="15"/>
  <c r="E409" i="15"/>
  <c r="D409" i="15"/>
  <c r="C409" i="15"/>
  <c r="B409" i="15"/>
  <c r="A409" i="15"/>
  <c r="F408" i="15"/>
  <c r="E408" i="15"/>
  <c r="D408" i="15"/>
  <c r="C408" i="15"/>
  <c r="B408" i="15"/>
  <c r="A408" i="15"/>
  <c r="F397" i="15"/>
  <c r="E397" i="15"/>
  <c r="D397" i="15"/>
  <c r="C397" i="15"/>
  <c r="B397" i="15"/>
  <c r="A397" i="15"/>
  <c r="F381" i="15"/>
  <c r="E381" i="15"/>
  <c r="D381" i="15"/>
  <c r="C381" i="15"/>
  <c r="B381" i="15"/>
  <c r="A381" i="15"/>
  <c r="F374" i="15"/>
  <c r="E374" i="15"/>
  <c r="D374" i="15"/>
  <c r="C374" i="15"/>
  <c r="B374" i="15"/>
  <c r="A374" i="15"/>
  <c r="F373" i="15"/>
  <c r="E373" i="15"/>
  <c r="D373" i="15"/>
  <c r="C373" i="15"/>
  <c r="B373" i="15"/>
  <c r="A373" i="15"/>
  <c r="F371" i="15"/>
  <c r="E371" i="15"/>
  <c r="D371" i="15"/>
  <c r="C371" i="15"/>
  <c r="B371" i="15"/>
  <c r="A371" i="15"/>
  <c r="E370" i="15"/>
  <c r="A370" i="15"/>
  <c r="E366" i="15"/>
  <c r="A366" i="15"/>
  <c r="F362" i="15"/>
  <c r="E362" i="15"/>
  <c r="D362" i="15"/>
  <c r="C362" i="15"/>
  <c r="B362" i="15"/>
  <c r="A362" i="15"/>
  <c r="F360" i="15"/>
  <c r="E360" i="15"/>
  <c r="D360" i="15"/>
  <c r="C360" i="15"/>
  <c r="B360" i="15"/>
  <c r="A360" i="15"/>
  <c r="F358" i="15"/>
  <c r="E358" i="15"/>
  <c r="D358" i="15"/>
  <c r="C358" i="15"/>
  <c r="B358" i="15"/>
  <c r="A358" i="15"/>
  <c r="F357" i="15"/>
  <c r="E357" i="15"/>
  <c r="D357" i="15"/>
  <c r="C357" i="15"/>
  <c r="B357" i="15"/>
  <c r="A357" i="15"/>
  <c r="F356" i="15"/>
  <c r="E356" i="15"/>
  <c r="G216" i="7"/>
  <c r="F216" i="7"/>
  <c r="H216" i="7" s="1"/>
  <c r="C216" i="7"/>
  <c r="B216" i="7"/>
  <c r="F213" i="7"/>
  <c r="H213" i="7" s="1"/>
  <c r="B213" i="7"/>
  <c r="F188" i="7"/>
  <c r="H188" i="7" s="1"/>
  <c r="B188" i="7"/>
  <c r="G223" i="7"/>
  <c r="B223" i="7"/>
  <c r="G213" i="7"/>
  <c r="C213" i="7"/>
  <c r="G201" i="7"/>
  <c r="C201" i="7"/>
  <c r="F196" i="7"/>
  <c r="H196" i="7" s="1"/>
  <c r="B196" i="7"/>
  <c r="G188" i="7"/>
  <c r="C188" i="7"/>
  <c r="G22" i="7"/>
  <c r="C22" i="7"/>
  <c r="G138" i="7"/>
  <c r="F138" i="7"/>
  <c r="H138" i="7" s="1"/>
  <c r="C138" i="7"/>
  <c r="B138" i="7"/>
  <c r="F340" i="15"/>
  <c r="E340" i="15"/>
  <c r="D340" i="15"/>
  <c r="C340" i="15"/>
  <c r="B340" i="15"/>
  <c r="A340" i="15"/>
  <c r="F339" i="15"/>
  <c r="E339" i="15"/>
  <c r="D339" i="15"/>
  <c r="C339" i="15"/>
  <c r="B339" i="15"/>
  <c r="A339" i="15"/>
  <c r="F336" i="15"/>
  <c r="E336" i="15"/>
  <c r="D336" i="15"/>
  <c r="C336" i="15"/>
  <c r="B336" i="15"/>
  <c r="A336" i="15"/>
  <c r="F334" i="15"/>
  <c r="E334" i="15"/>
  <c r="D334" i="15"/>
  <c r="C334" i="15"/>
  <c r="B334" i="15"/>
  <c r="A334" i="15"/>
  <c r="F333" i="15"/>
  <c r="E333" i="15"/>
  <c r="D333" i="15"/>
  <c r="C333" i="15"/>
  <c r="B333" i="15"/>
  <c r="A333" i="15"/>
  <c r="F326" i="15"/>
  <c r="E326" i="15"/>
  <c r="D326" i="15"/>
  <c r="C326" i="15"/>
  <c r="B326" i="15"/>
  <c r="A326" i="15"/>
  <c r="D356" i="15"/>
  <c r="C356" i="15"/>
  <c r="B356" i="15"/>
  <c r="A356" i="15"/>
  <c r="F355" i="15"/>
  <c r="E355" i="15"/>
  <c r="D355" i="15"/>
  <c r="C355" i="15"/>
  <c r="B355" i="15"/>
  <c r="A355" i="15"/>
  <c r="E354" i="15"/>
  <c r="A354" i="15"/>
  <c r="E352" i="15"/>
  <c r="A352" i="15"/>
  <c r="F97" i="15"/>
  <c r="E97" i="15"/>
  <c r="D97" i="15"/>
  <c r="C97" i="15"/>
  <c r="B97" i="15"/>
  <c r="A97" i="15"/>
  <c r="E95" i="15"/>
  <c r="D95" i="15"/>
  <c r="A95" i="15"/>
  <c r="E94" i="15"/>
  <c r="D94" i="15"/>
  <c r="A94" i="15"/>
  <c r="E93" i="15"/>
  <c r="D93" i="15"/>
  <c r="A93" i="15"/>
  <c r="E92" i="15"/>
  <c r="D92" i="15"/>
  <c r="A92" i="15"/>
  <c r="E91" i="15"/>
  <c r="D91" i="15"/>
  <c r="A91" i="15"/>
  <c r="E90" i="15"/>
  <c r="D90" i="15"/>
  <c r="A90" i="15"/>
  <c r="E89" i="15"/>
  <c r="D89" i="15"/>
  <c r="A89" i="15"/>
  <c r="E88" i="15"/>
  <c r="D88" i="15"/>
  <c r="A88" i="15"/>
  <c r="F86" i="15"/>
  <c r="E86" i="15"/>
  <c r="D86" i="15"/>
  <c r="C86" i="15"/>
  <c r="B86" i="15"/>
  <c r="A86" i="15"/>
  <c r="F85" i="15"/>
  <c r="E85" i="15"/>
  <c r="D85" i="15"/>
  <c r="C85" i="15"/>
  <c r="B85" i="15"/>
  <c r="A85" i="15"/>
  <c r="F84" i="15"/>
  <c r="E84" i="15"/>
  <c r="D84" i="15"/>
  <c r="C84" i="15"/>
  <c r="B84" i="15"/>
  <c r="A84" i="15"/>
  <c r="F83" i="15"/>
  <c r="E83" i="15"/>
  <c r="D83" i="15"/>
  <c r="C83" i="15"/>
  <c r="B83" i="15"/>
  <c r="A83" i="15"/>
  <c r="E78" i="15"/>
  <c r="A78" i="15"/>
  <c r="E238" i="8"/>
  <c r="D238" i="8"/>
  <c r="C238" i="8"/>
  <c r="B238" i="8"/>
  <c r="E237" i="8"/>
  <c r="D237" i="8"/>
  <c r="C237" i="8"/>
  <c r="B237" i="8"/>
  <c r="E235" i="8"/>
  <c r="D235" i="8"/>
  <c r="C235" i="8"/>
  <c r="B235" i="8"/>
  <c r="E233" i="8"/>
  <c r="D233" i="8"/>
  <c r="C233" i="8"/>
  <c r="B233" i="8"/>
  <c r="E232" i="8"/>
  <c r="D232" i="8"/>
  <c r="C232" i="8"/>
  <c r="B232" i="8"/>
  <c r="E231" i="8"/>
  <c r="D231" i="8"/>
  <c r="C231" i="8"/>
  <c r="B231" i="8"/>
  <c r="E229" i="8"/>
  <c r="D229" i="8"/>
  <c r="C229" i="8"/>
  <c r="B229" i="8"/>
  <c r="E228" i="8"/>
  <c r="D228" i="8"/>
  <c r="C228" i="8"/>
  <c r="B228" i="8"/>
  <c r="E227" i="8"/>
  <c r="D227" i="8"/>
  <c r="C227" i="8"/>
  <c r="B227" i="8"/>
  <c r="E226" i="8"/>
  <c r="D226" i="8"/>
  <c r="C226" i="8"/>
  <c r="B226" i="8"/>
  <c r="E224" i="8"/>
  <c r="D224" i="8"/>
  <c r="C224" i="8"/>
  <c r="B224" i="8"/>
  <c r="E223" i="8"/>
  <c r="D223" i="8"/>
  <c r="C223" i="8"/>
  <c r="B223" i="8"/>
  <c r="E222" i="8"/>
  <c r="D222" i="8"/>
  <c r="C222" i="8"/>
  <c r="B222" i="8"/>
  <c r="E221" i="8"/>
  <c r="D221" i="8"/>
  <c r="C221" i="8"/>
  <c r="B221" i="8"/>
  <c r="E220" i="8"/>
  <c r="D220" i="8"/>
  <c r="C220" i="8"/>
  <c r="B220" i="8"/>
  <c r="E219" i="8"/>
  <c r="D219" i="8"/>
  <c r="C219" i="8"/>
  <c r="B219" i="8"/>
  <c r="E218" i="8"/>
  <c r="D218" i="8"/>
  <c r="C218" i="8"/>
  <c r="B218" i="8"/>
  <c r="B217" i="8"/>
  <c r="F223" i="7"/>
  <c r="H223" i="7" s="1"/>
  <c r="C223" i="7"/>
  <c r="G73" i="5"/>
  <c r="G38" i="5"/>
  <c r="F272" i="15"/>
  <c r="E272" i="15"/>
  <c r="D272" i="15"/>
  <c r="C272" i="15"/>
  <c r="B272" i="15"/>
  <c r="A272" i="15"/>
  <c r="F271" i="15"/>
  <c r="E271" i="15"/>
  <c r="D271" i="15"/>
  <c r="C271" i="15"/>
  <c r="B271" i="15"/>
  <c r="A271" i="15"/>
  <c r="F270" i="15"/>
  <c r="E270" i="15"/>
  <c r="D270" i="15"/>
  <c r="C270" i="15"/>
  <c r="B270" i="15"/>
  <c r="A270" i="15"/>
  <c r="F269" i="15"/>
  <c r="E269" i="15"/>
  <c r="D269" i="15"/>
  <c r="C269" i="15"/>
  <c r="B269" i="15"/>
  <c r="A269" i="15"/>
  <c r="F268" i="15"/>
  <c r="E268" i="15"/>
  <c r="D268" i="15"/>
  <c r="C268" i="15"/>
  <c r="B268" i="15"/>
  <c r="A268" i="15"/>
  <c r="F265" i="15"/>
  <c r="E265" i="15"/>
  <c r="D265" i="15"/>
  <c r="C265" i="15"/>
  <c r="B265" i="15"/>
  <c r="A265" i="15"/>
  <c r="F264" i="15"/>
  <c r="E264" i="15"/>
  <c r="D264" i="15"/>
  <c r="C264" i="15"/>
  <c r="B264" i="15"/>
  <c r="A264" i="15"/>
  <c r="F263" i="15"/>
  <c r="E263" i="15"/>
  <c r="D263" i="15"/>
  <c r="C263" i="15"/>
  <c r="B263" i="15"/>
  <c r="A263" i="15"/>
  <c r="F256" i="15"/>
  <c r="E256" i="15"/>
  <c r="D256" i="15"/>
  <c r="C256" i="15"/>
  <c r="B256" i="15"/>
  <c r="A256" i="15"/>
  <c r="F255" i="15"/>
  <c r="E255" i="15"/>
  <c r="D255" i="15"/>
  <c r="C255" i="15"/>
  <c r="B255" i="15"/>
  <c r="A255" i="15"/>
  <c r="F254" i="15"/>
  <c r="E254" i="15"/>
  <c r="D254" i="15"/>
  <c r="C254" i="15"/>
  <c r="B254" i="15"/>
  <c r="A254" i="15"/>
  <c r="F252" i="15"/>
  <c r="E252" i="15"/>
  <c r="D252" i="15"/>
  <c r="C252" i="15"/>
  <c r="B252" i="15"/>
  <c r="A252" i="15"/>
  <c r="F250" i="15"/>
  <c r="E250" i="15"/>
  <c r="D250" i="15"/>
  <c r="C250" i="15"/>
  <c r="B250" i="15"/>
  <c r="A250" i="15"/>
  <c r="E243" i="15"/>
  <c r="A243" i="15"/>
  <c r="F242" i="15"/>
  <c r="E242" i="15"/>
  <c r="D242" i="15"/>
  <c r="C242" i="15"/>
  <c r="B242" i="15"/>
  <c r="A242" i="15"/>
  <c r="F241" i="15"/>
  <c r="E241" i="15"/>
  <c r="D241" i="15"/>
  <c r="C241" i="15"/>
  <c r="B241" i="15"/>
  <c r="A241" i="15"/>
  <c r="F240" i="15"/>
  <c r="E240" i="15"/>
  <c r="D240" i="15"/>
  <c r="C240" i="15"/>
  <c r="B240" i="15"/>
  <c r="A240" i="15"/>
  <c r="F228" i="15"/>
  <c r="E228" i="15"/>
  <c r="D228" i="15"/>
  <c r="C228" i="15"/>
  <c r="B228" i="15"/>
  <c r="A228" i="15"/>
  <c r="F217" i="15"/>
  <c r="E217" i="15"/>
  <c r="D217" i="15"/>
  <c r="C217" i="15"/>
  <c r="B217" i="15"/>
  <c r="A217" i="15"/>
  <c r="F206" i="15"/>
  <c r="E206" i="15"/>
  <c r="D206" i="15"/>
  <c r="C206" i="15"/>
  <c r="B206" i="15"/>
  <c r="A206" i="15"/>
  <c r="F204" i="15"/>
  <c r="E204" i="15"/>
  <c r="D204" i="15"/>
  <c r="C204" i="15"/>
  <c r="B204" i="15"/>
  <c r="A204" i="15"/>
  <c r="F200" i="15"/>
  <c r="E200" i="15"/>
  <c r="D200" i="15"/>
  <c r="C200" i="15"/>
  <c r="B200" i="15"/>
  <c r="A200" i="15"/>
  <c r="E195" i="15"/>
  <c r="A195" i="15"/>
  <c r="F192" i="15"/>
  <c r="E192" i="15"/>
  <c r="D192" i="15"/>
  <c r="C192" i="15"/>
  <c r="B192" i="15"/>
  <c r="A192" i="15"/>
  <c r="F184" i="15"/>
  <c r="E184" i="15"/>
  <c r="D184" i="15"/>
  <c r="C184" i="15"/>
  <c r="B184" i="15"/>
  <c r="A184" i="15"/>
  <c r="F183" i="15"/>
  <c r="E183" i="15"/>
  <c r="D183" i="15"/>
  <c r="C183" i="15"/>
  <c r="B183" i="15"/>
  <c r="A183" i="15"/>
  <c r="F82" i="15"/>
  <c r="E82" i="15"/>
  <c r="D82" i="15"/>
  <c r="C82" i="15"/>
  <c r="B82" i="15"/>
  <c r="A82" i="15"/>
  <c r="F81" i="15"/>
  <c r="E81" i="15"/>
  <c r="D81" i="15"/>
  <c r="C81" i="15"/>
  <c r="B81" i="15"/>
  <c r="A81" i="15"/>
  <c r="E80" i="15"/>
  <c r="A80" i="15"/>
  <c r="E79" i="15"/>
  <c r="A79" i="15"/>
  <c r="E77" i="15"/>
  <c r="A77" i="15"/>
  <c r="E76" i="15"/>
  <c r="A76" i="15"/>
  <c r="E75" i="15"/>
  <c r="A75" i="15"/>
  <c r="F74" i="15"/>
  <c r="E74" i="15"/>
  <c r="D74" i="15"/>
  <c r="C74" i="15"/>
  <c r="B74" i="15"/>
  <c r="A74" i="15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F70" i="15"/>
  <c r="E70" i="15"/>
  <c r="D70" i="15"/>
  <c r="C70" i="15"/>
  <c r="B70" i="15"/>
  <c r="A70" i="15"/>
  <c r="F69" i="15"/>
  <c r="E69" i="15"/>
  <c r="D69" i="15"/>
  <c r="C69" i="15"/>
  <c r="B69" i="15"/>
  <c r="A69" i="15"/>
  <c r="E68" i="15"/>
  <c r="A68" i="15"/>
  <c r="E67" i="15"/>
  <c r="A67" i="15"/>
  <c r="E66" i="15"/>
  <c r="A66" i="15"/>
  <c r="E65" i="15"/>
  <c r="A65" i="15"/>
  <c r="E64" i="15"/>
  <c r="A64" i="15"/>
  <c r="E63" i="15"/>
  <c r="A63" i="15"/>
  <c r="G11" i="13"/>
  <c r="F11" i="13"/>
  <c r="H11" i="13" s="1"/>
  <c r="C11" i="13"/>
  <c r="B11" i="13"/>
  <c r="G9" i="13"/>
  <c r="F9" i="13"/>
  <c r="H9" i="13" s="1"/>
  <c r="B9" i="13"/>
  <c r="B5" i="13"/>
  <c r="G73" i="13"/>
  <c r="F73" i="13"/>
  <c r="H73" i="13" s="1"/>
  <c r="C73" i="13"/>
  <c r="B73" i="13"/>
  <c r="G72" i="13"/>
  <c r="F72" i="13"/>
  <c r="H72" i="13" s="1"/>
  <c r="C72" i="13"/>
  <c r="B72" i="13"/>
  <c r="G71" i="13"/>
  <c r="F71" i="13"/>
  <c r="H71" i="13" s="1"/>
  <c r="C71" i="13"/>
  <c r="B71" i="13"/>
  <c r="G69" i="13"/>
  <c r="F69" i="13"/>
  <c r="H69" i="13" s="1"/>
  <c r="C69" i="13"/>
  <c r="B69" i="13"/>
  <c r="B65" i="13"/>
  <c r="B64" i="13"/>
  <c r="G61" i="13"/>
  <c r="F61" i="13"/>
  <c r="H61" i="13" s="1"/>
  <c r="C61" i="13"/>
  <c r="B61" i="13"/>
  <c r="G60" i="13"/>
  <c r="F60" i="13"/>
  <c r="H60" i="13" s="1"/>
  <c r="C60" i="13"/>
  <c r="B60" i="13"/>
  <c r="G59" i="13"/>
  <c r="F59" i="13"/>
  <c r="H59" i="13" s="1"/>
  <c r="C59" i="13"/>
  <c r="B59" i="13"/>
  <c r="G48" i="13"/>
  <c r="F48" i="13"/>
  <c r="H48" i="13" s="1"/>
  <c r="C48" i="13"/>
  <c r="B48" i="13"/>
  <c r="G32" i="13"/>
  <c r="F32" i="13"/>
  <c r="H32" i="13" s="1"/>
  <c r="C32" i="13"/>
  <c r="B32" i="13"/>
  <c r="G24" i="13"/>
  <c r="F24" i="13"/>
  <c r="H24" i="13" s="1"/>
  <c r="C24" i="13"/>
  <c r="B24" i="13"/>
  <c r="G22" i="13"/>
  <c r="F22" i="13"/>
  <c r="H22" i="13" s="1"/>
  <c r="C22" i="13"/>
  <c r="B22" i="13"/>
  <c r="B17" i="13"/>
  <c r="G13" i="13"/>
  <c r="F13" i="13"/>
  <c r="H13" i="13" s="1"/>
  <c r="C13" i="13"/>
  <c r="B13" i="13"/>
  <c r="C9" i="13"/>
  <c r="G7" i="13"/>
  <c r="F7" i="13"/>
  <c r="H7" i="13" s="1"/>
  <c r="C7" i="13"/>
  <c r="B7" i="13"/>
  <c r="B3" i="13"/>
  <c r="E236" i="8"/>
  <c r="D236" i="8"/>
  <c r="C236" i="8"/>
  <c r="B236" i="8"/>
  <c r="E234" i="8"/>
  <c r="D234" i="8"/>
  <c r="C234" i="8"/>
  <c r="B234" i="8"/>
  <c r="E230" i="8"/>
  <c r="D230" i="8"/>
  <c r="C230" i="8"/>
  <c r="B230" i="8"/>
  <c r="E225" i="8"/>
  <c r="D225" i="8"/>
  <c r="C225" i="8"/>
  <c r="B225" i="8"/>
  <c r="C211" i="7"/>
  <c r="G210" i="7"/>
  <c r="B210" i="7"/>
  <c r="G209" i="7"/>
  <c r="F209" i="7"/>
  <c r="H209" i="7" s="1"/>
  <c r="C209" i="7"/>
  <c r="B209" i="7"/>
  <c r="G208" i="7"/>
  <c r="F208" i="7"/>
  <c r="H208" i="7" s="1"/>
  <c r="C208" i="7"/>
  <c r="G207" i="7"/>
  <c r="F207" i="7"/>
  <c r="H207" i="7" s="1"/>
  <c r="B207" i="7"/>
  <c r="B204" i="7"/>
  <c r="G203" i="7"/>
  <c r="F203" i="7"/>
  <c r="H203" i="7" s="1"/>
  <c r="C203" i="7"/>
  <c r="B203" i="7"/>
  <c r="G202" i="7"/>
  <c r="F202" i="7"/>
  <c r="H202" i="7" s="1"/>
  <c r="C202" i="7"/>
  <c r="G195" i="7"/>
  <c r="F195" i="7"/>
  <c r="H195" i="7" s="1"/>
  <c r="C195" i="7"/>
  <c r="G194" i="7"/>
  <c r="F194" i="7"/>
  <c r="H194" i="7" s="1"/>
  <c r="C194" i="7"/>
  <c r="B194" i="7"/>
  <c r="G193" i="7"/>
  <c r="F193" i="7"/>
  <c r="H193" i="7" s="1"/>
  <c r="C193" i="7"/>
  <c r="G191" i="7"/>
  <c r="F191" i="7"/>
  <c r="H191" i="7" s="1"/>
  <c r="C191" i="7"/>
  <c r="F189" i="7"/>
  <c r="H189" i="7" s="1"/>
  <c r="B189" i="7"/>
  <c r="B182" i="7"/>
  <c r="G181" i="7"/>
  <c r="F181" i="7"/>
  <c r="H181" i="7" s="1"/>
  <c r="C181" i="7"/>
  <c r="G180" i="7"/>
  <c r="C180" i="7"/>
  <c r="G179" i="7"/>
  <c r="F179" i="7"/>
  <c r="H179" i="7" s="1"/>
  <c r="C179" i="7"/>
  <c r="B179" i="7"/>
  <c r="G178" i="7"/>
  <c r="F178" i="7"/>
  <c r="H178" i="7" s="1"/>
  <c r="C178" i="7"/>
  <c r="B178" i="7"/>
  <c r="G34" i="7"/>
  <c r="B34" i="7"/>
  <c r="G33" i="7"/>
  <c r="B33" i="7"/>
  <c r="G32" i="7"/>
  <c r="B32" i="7"/>
  <c r="G31" i="7"/>
  <c r="B31" i="7"/>
  <c r="B30" i="7"/>
  <c r="B29" i="7"/>
  <c r="G28" i="7"/>
  <c r="B28" i="7"/>
  <c r="B89" i="15" s="1"/>
  <c r="G27" i="7"/>
  <c r="B27" i="7"/>
  <c r="G25" i="7"/>
  <c r="F25" i="7"/>
  <c r="H25" i="7" s="1"/>
  <c r="F23" i="7"/>
  <c r="H23" i="7" s="1"/>
  <c r="C23" i="7"/>
  <c r="G20" i="7"/>
  <c r="F20" i="7"/>
  <c r="H20" i="7" s="1"/>
  <c r="C20" i="7"/>
  <c r="B16" i="7"/>
  <c r="G13" i="7"/>
  <c r="F13" i="7"/>
  <c r="H13" i="7" s="1"/>
  <c r="C13" i="7"/>
  <c r="B13" i="7"/>
  <c r="G11" i="7"/>
  <c r="F11" i="7"/>
  <c r="H11" i="7" s="1"/>
  <c r="C11" i="7"/>
  <c r="B11" i="7"/>
  <c r="F9" i="7"/>
  <c r="H9" i="7" s="1"/>
  <c r="C9" i="7"/>
  <c r="B5" i="7"/>
  <c r="B4" i="7"/>
  <c r="G9" i="5"/>
  <c r="G279" i="7"/>
  <c r="F279" i="7"/>
  <c r="H279" i="7" s="1"/>
  <c r="C279" i="7"/>
  <c r="B279" i="7"/>
  <c r="G278" i="7"/>
  <c r="F278" i="7"/>
  <c r="H278" i="7" s="1"/>
  <c r="C278" i="7"/>
  <c r="B278" i="7"/>
  <c r="G275" i="7"/>
  <c r="F275" i="7"/>
  <c r="H275" i="7" s="1"/>
  <c r="C275" i="7"/>
  <c r="B275" i="7"/>
  <c r="G273" i="7"/>
  <c r="F273" i="7"/>
  <c r="H273" i="7" s="1"/>
  <c r="C273" i="7"/>
  <c r="B273" i="7"/>
  <c r="G272" i="7"/>
  <c r="F272" i="7"/>
  <c r="H272" i="7" s="1"/>
  <c r="C272" i="7"/>
  <c r="B272" i="7"/>
  <c r="G265" i="7"/>
  <c r="F265" i="7"/>
  <c r="H265" i="7" s="1"/>
  <c r="C265" i="7"/>
  <c r="B265" i="7"/>
  <c r="G264" i="7"/>
  <c r="F264" i="7"/>
  <c r="H264" i="7" s="1"/>
  <c r="C264" i="7"/>
  <c r="B264" i="7"/>
  <c r="G211" i="7"/>
  <c r="F211" i="7"/>
  <c r="H211" i="7" s="1"/>
  <c r="B211" i="7"/>
  <c r="F210" i="7"/>
  <c r="H210" i="7" s="1"/>
  <c r="C210" i="7"/>
  <c r="B208" i="7"/>
  <c r="C207" i="7"/>
  <c r="G204" i="7"/>
  <c r="F204" i="7"/>
  <c r="H204" i="7" s="1"/>
  <c r="C204" i="7"/>
  <c r="B202" i="7"/>
  <c r="B195" i="7"/>
  <c r="B193" i="7"/>
  <c r="B191" i="7"/>
  <c r="G189" i="7"/>
  <c r="C189" i="7"/>
  <c r="B181" i="7"/>
  <c r="F180" i="7"/>
  <c r="H180" i="7" s="1"/>
  <c r="B180" i="7"/>
  <c r="F175" i="7"/>
  <c r="H175" i="7" s="1"/>
  <c r="C175" i="7"/>
  <c r="G30" i="7"/>
  <c r="G29" i="7"/>
  <c r="B25" i="7"/>
  <c r="F24" i="7"/>
  <c r="H24" i="7" s="1"/>
  <c r="C24" i="7"/>
  <c r="G23" i="7"/>
  <c r="B23" i="7"/>
  <c r="G21" i="7"/>
  <c r="B21" i="7"/>
  <c r="B20" i="7"/>
  <c r="B19" i="7"/>
  <c r="B18" i="7"/>
  <c r="G10" i="7"/>
  <c r="F10" i="7"/>
  <c r="H10" i="7" s="1"/>
  <c r="B10" i="7"/>
  <c r="G9" i="7"/>
  <c r="B9" i="7"/>
  <c r="F8" i="7"/>
  <c r="H8" i="7" s="1"/>
  <c r="B8" i="7"/>
  <c r="B7" i="7"/>
  <c r="G167" i="7"/>
  <c r="F167" i="7"/>
  <c r="H167" i="7" s="1"/>
  <c r="C167" i="7"/>
  <c r="B167" i="7"/>
  <c r="G156" i="7"/>
  <c r="F156" i="7"/>
  <c r="H156" i="7" s="1"/>
  <c r="C156" i="7"/>
  <c r="B156" i="7"/>
  <c r="G146" i="7"/>
  <c r="F146" i="7"/>
  <c r="H146" i="7" s="1"/>
  <c r="C146" i="7"/>
  <c r="B146" i="7"/>
  <c r="G145" i="7"/>
  <c r="F145" i="7"/>
  <c r="H145" i="7" s="1"/>
  <c r="C145" i="7"/>
  <c r="B145" i="7"/>
  <c r="G143" i="7"/>
  <c r="F143" i="7"/>
  <c r="H143" i="7" s="1"/>
  <c r="C143" i="7"/>
  <c r="B143" i="7"/>
  <c r="G139" i="7"/>
  <c r="F139" i="7"/>
  <c r="H139" i="7" s="1"/>
  <c r="C139" i="7"/>
  <c r="B139" i="7"/>
  <c r="B134" i="7"/>
  <c r="G131" i="7"/>
  <c r="F131" i="7"/>
  <c r="H131" i="7" s="1"/>
  <c r="C131" i="7"/>
  <c r="B131" i="7"/>
  <c r="G123" i="7"/>
  <c r="F123" i="7"/>
  <c r="H123" i="7" s="1"/>
  <c r="C123" i="7"/>
  <c r="B123" i="7"/>
  <c r="G122" i="7"/>
  <c r="F122" i="7"/>
  <c r="H122" i="7" s="1"/>
  <c r="C122" i="7"/>
  <c r="B122" i="7"/>
  <c r="B99" i="7"/>
  <c r="B160" i="15" s="1"/>
  <c r="C25" i="7"/>
  <c r="G24" i="7"/>
  <c r="B24" i="7"/>
  <c r="F21" i="7"/>
  <c r="H21" i="7" s="1"/>
  <c r="C21" i="7"/>
  <c r="B15" i="7"/>
  <c r="B14" i="7"/>
  <c r="G12" i="7"/>
  <c r="F12" i="7"/>
  <c r="H12" i="7" s="1"/>
  <c r="C12" i="7"/>
  <c r="B12" i="7"/>
  <c r="C10" i="7"/>
  <c r="G8" i="7"/>
  <c r="C8" i="7"/>
  <c r="B6" i="7"/>
  <c r="G5" i="7"/>
  <c r="B3" i="7"/>
  <c r="F239" i="15"/>
  <c r="E239" i="15"/>
  <c r="D239" i="15"/>
  <c r="C239" i="15"/>
  <c r="B239" i="15"/>
  <c r="A239" i="15"/>
  <c r="F236" i="15"/>
  <c r="E236" i="15"/>
  <c r="D236" i="15"/>
  <c r="C236" i="15"/>
  <c r="B236" i="15"/>
  <c r="A236" i="15"/>
  <c r="F207" i="15"/>
  <c r="E207" i="15"/>
  <c r="D207" i="15"/>
  <c r="C207" i="15"/>
  <c r="B207" i="15"/>
  <c r="A207" i="15"/>
  <c r="E160" i="15"/>
  <c r="A160" i="15"/>
  <c r="F407" i="15"/>
  <c r="E407" i="15"/>
  <c r="D407" i="15"/>
  <c r="C407" i="15"/>
  <c r="B407" i="15"/>
  <c r="A407" i="15"/>
  <c r="F406" i="15"/>
  <c r="E406" i="15"/>
  <c r="D406" i="15"/>
  <c r="C406" i="15"/>
  <c r="B406" i="15"/>
  <c r="A406" i="15"/>
  <c r="F405" i="15"/>
  <c r="E405" i="15"/>
  <c r="D405" i="15"/>
  <c r="C405" i="15"/>
  <c r="B405" i="15"/>
  <c r="A405" i="15"/>
  <c r="F404" i="15"/>
  <c r="E404" i="15"/>
  <c r="D404" i="15"/>
  <c r="C404" i="15"/>
  <c r="B404" i="15"/>
  <c r="A404" i="15"/>
  <c r="F403" i="15"/>
  <c r="E403" i="15"/>
  <c r="D403" i="15"/>
  <c r="C403" i="15"/>
  <c r="B403" i="15"/>
  <c r="A403" i="15"/>
  <c r="E402" i="15"/>
  <c r="A402" i="15"/>
  <c r="E401" i="15"/>
  <c r="A401" i="15"/>
  <c r="E400" i="15"/>
  <c r="A400" i="15"/>
  <c r="E399" i="15"/>
  <c r="A399" i="15"/>
  <c r="F398" i="15"/>
  <c r="E398" i="15"/>
  <c r="D398" i="15"/>
  <c r="C398" i="15"/>
  <c r="B398" i="15"/>
  <c r="A398" i="15"/>
  <c r="F396" i="15"/>
  <c r="E396" i="15"/>
  <c r="D396" i="15"/>
  <c r="C396" i="15"/>
  <c r="B396" i="15"/>
  <c r="A396" i="15"/>
  <c r="F395" i="15"/>
  <c r="E395" i="15"/>
  <c r="D395" i="15"/>
  <c r="C395" i="15"/>
  <c r="B395" i="15"/>
  <c r="A395" i="15"/>
  <c r="F394" i="15"/>
  <c r="E394" i="15"/>
  <c r="D394" i="15"/>
  <c r="C394" i="15"/>
  <c r="B394" i="15"/>
  <c r="A394" i="15"/>
  <c r="F393" i="15"/>
  <c r="E393" i="15"/>
  <c r="D393" i="15"/>
  <c r="C393" i="15"/>
  <c r="B393" i="15"/>
  <c r="A393" i="15"/>
  <c r="E392" i="15"/>
  <c r="A392" i="15"/>
  <c r="E391" i="15"/>
  <c r="A391" i="15"/>
  <c r="E390" i="15"/>
  <c r="A390" i="15"/>
  <c r="E389" i="15"/>
  <c r="A389" i="15"/>
  <c r="E388" i="15"/>
  <c r="A388" i="15"/>
  <c r="E387" i="15"/>
  <c r="A387" i="15"/>
  <c r="F386" i="15"/>
  <c r="E386" i="15"/>
  <c r="D386" i="15"/>
  <c r="C386" i="15"/>
  <c r="B386" i="15"/>
  <c r="A386" i="15"/>
  <c r="F385" i="15"/>
  <c r="E385" i="15"/>
  <c r="D385" i="15"/>
  <c r="C385" i="15"/>
  <c r="B385" i="15"/>
  <c r="A385" i="15"/>
  <c r="F384" i="15"/>
  <c r="E384" i="15"/>
  <c r="D384" i="15"/>
  <c r="C384" i="15"/>
  <c r="B384" i="15"/>
  <c r="A384" i="15"/>
  <c r="F383" i="15"/>
  <c r="E383" i="15"/>
  <c r="D383" i="15"/>
  <c r="C383" i="15"/>
  <c r="B383" i="15"/>
  <c r="A383" i="15"/>
  <c r="F382" i="15"/>
  <c r="E382" i="15"/>
  <c r="D382" i="15"/>
  <c r="C382" i="15"/>
  <c r="B382" i="15"/>
  <c r="A382" i="15"/>
  <c r="F380" i="15"/>
  <c r="E380" i="15"/>
  <c r="D380" i="15"/>
  <c r="C380" i="15"/>
  <c r="B380" i="15"/>
  <c r="A380" i="15"/>
  <c r="F379" i="15"/>
  <c r="E379" i="15"/>
  <c r="D379" i="15"/>
  <c r="C379" i="15"/>
  <c r="B379" i="15"/>
  <c r="A379" i="15"/>
  <c r="E378" i="15"/>
  <c r="A378" i="15"/>
  <c r="F372" i="15"/>
  <c r="E372" i="15"/>
  <c r="D372" i="15"/>
  <c r="C372" i="15"/>
  <c r="B372" i="15"/>
  <c r="A372" i="15"/>
  <c r="E363" i="15"/>
  <c r="A363" i="15"/>
  <c r="F361" i="15"/>
  <c r="E361" i="15"/>
  <c r="D361" i="15"/>
  <c r="C361" i="15"/>
  <c r="B361" i="15"/>
  <c r="A361" i="15"/>
  <c r="F359" i="15"/>
  <c r="E359" i="15"/>
  <c r="D359" i="15"/>
  <c r="C359" i="15"/>
  <c r="B359" i="15"/>
  <c r="A359" i="15"/>
  <c r="E353" i="15"/>
  <c r="A353" i="15"/>
  <c r="J17" i="10"/>
  <c r="J15" i="10"/>
  <c r="D479" i="8"/>
  <c r="D467" i="8"/>
  <c r="G82" i="13"/>
  <c r="F82" i="13"/>
  <c r="H82" i="13" s="1"/>
  <c r="C82" i="13"/>
  <c r="B82" i="13"/>
  <c r="G58" i="13"/>
  <c r="F58" i="13"/>
  <c r="H58" i="13" s="1"/>
  <c r="C58" i="13"/>
  <c r="B58" i="13"/>
  <c r="G55" i="13"/>
  <c r="F55" i="13"/>
  <c r="H55" i="13" s="1"/>
  <c r="C55" i="13"/>
  <c r="B55" i="13"/>
  <c r="B53" i="13"/>
  <c r="B51" i="13"/>
  <c r="G47" i="13"/>
  <c r="F47" i="13"/>
  <c r="H47" i="13" s="1"/>
  <c r="C47" i="13"/>
  <c r="B47" i="13"/>
  <c r="G44" i="13"/>
  <c r="F44" i="13"/>
  <c r="H44" i="13" s="1"/>
  <c r="C44" i="13"/>
  <c r="B44" i="13"/>
  <c r="B42" i="13"/>
  <c r="B39" i="13"/>
  <c r="G10" i="13"/>
  <c r="F10" i="13"/>
  <c r="H10" i="13" s="1"/>
  <c r="C10" i="13"/>
  <c r="B10" i="13"/>
  <c r="B4" i="13"/>
  <c r="B468" i="8"/>
  <c r="G175" i="7"/>
  <c r="B175" i="7"/>
  <c r="D174" i="15"/>
  <c r="G109" i="7"/>
  <c r="C109" i="7"/>
  <c r="G286" i="7"/>
  <c r="F286" i="7"/>
  <c r="H286" i="7" s="1"/>
  <c r="C286" i="7"/>
  <c r="B286" i="7"/>
  <c r="G284" i="7"/>
  <c r="F284" i="7"/>
  <c r="H284" i="7" s="1"/>
  <c r="C284" i="7"/>
  <c r="B284" i="7"/>
  <c r="G283" i="7"/>
  <c r="F283" i="7"/>
  <c r="H283" i="7" s="1"/>
  <c r="C283" i="7"/>
  <c r="B283" i="7"/>
  <c r="G277" i="7"/>
  <c r="F277" i="7"/>
  <c r="H277" i="7" s="1"/>
  <c r="C277" i="7"/>
  <c r="B277" i="7"/>
  <c r="G276" i="7"/>
  <c r="F276" i="7"/>
  <c r="H276" i="7" s="1"/>
  <c r="C276" i="7"/>
  <c r="B276" i="7"/>
  <c r="G274" i="7"/>
  <c r="F274" i="7"/>
  <c r="H274" i="7" s="1"/>
  <c r="C274" i="7"/>
  <c r="B274" i="7"/>
  <c r="G270" i="7"/>
  <c r="F270" i="7"/>
  <c r="H270" i="7" s="1"/>
  <c r="C270" i="7"/>
  <c r="B270" i="7"/>
  <c r="G267" i="7"/>
  <c r="F267" i="7"/>
  <c r="H267" i="7" s="1"/>
  <c r="C267" i="7"/>
  <c r="B267" i="7"/>
  <c r="G266" i="7"/>
  <c r="F266" i="7"/>
  <c r="H266" i="7" s="1"/>
  <c r="C266" i="7"/>
  <c r="B266" i="7"/>
  <c r="G170" i="7"/>
  <c r="F170" i="7"/>
  <c r="H170" i="7" s="1"/>
  <c r="C170" i="7"/>
  <c r="B170" i="7"/>
  <c r="G168" i="7"/>
  <c r="F168" i="7"/>
  <c r="H168" i="7" s="1"/>
  <c r="C168" i="7"/>
  <c r="B168" i="7"/>
  <c r="G166" i="7"/>
  <c r="F166" i="7"/>
  <c r="H166" i="7" s="1"/>
  <c r="C166" i="7"/>
  <c r="B166" i="7"/>
  <c r="G119" i="7"/>
  <c r="F119" i="7"/>
  <c r="H119" i="7" s="1"/>
  <c r="C119" i="7"/>
  <c r="B119" i="7"/>
  <c r="B113" i="7"/>
  <c r="B174" i="15" s="1"/>
  <c r="F109" i="7"/>
  <c r="H109" i="7" s="1"/>
  <c r="B109" i="7"/>
  <c r="D63" i="15"/>
  <c r="B2" i="7"/>
  <c r="C468" i="8"/>
  <c r="E467" i="8"/>
  <c r="B467" i="8"/>
  <c r="B460" i="8"/>
  <c r="D468" i="8"/>
  <c r="C467" i="8"/>
  <c r="B461" i="8"/>
  <c r="A341" i="15"/>
  <c r="B341" i="15"/>
  <c r="C341" i="15"/>
  <c r="D341" i="15"/>
  <c r="E341" i="15"/>
  <c r="F341" i="15"/>
  <c r="A205" i="15"/>
  <c r="B205" i="15"/>
  <c r="C205" i="15"/>
  <c r="D205" i="15"/>
  <c r="E205" i="15"/>
  <c r="F205" i="15"/>
  <c r="A162" i="15"/>
  <c r="E162" i="15"/>
  <c r="A348" i="15"/>
  <c r="B348" i="15"/>
  <c r="C348" i="15"/>
  <c r="D348" i="15"/>
  <c r="E348" i="15"/>
  <c r="F348" i="15"/>
  <c r="A346" i="15"/>
  <c r="B346" i="15"/>
  <c r="C346" i="15"/>
  <c r="D346" i="15"/>
  <c r="E346" i="15"/>
  <c r="F346" i="15"/>
  <c r="A343" i="15"/>
  <c r="B343" i="15"/>
  <c r="C343" i="15"/>
  <c r="D343" i="15"/>
  <c r="E343" i="15"/>
  <c r="F343" i="15"/>
  <c r="A224" i="15"/>
  <c r="B224" i="15"/>
  <c r="C224" i="15"/>
  <c r="D224" i="15"/>
  <c r="E224" i="15"/>
  <c r="F224" i="15"/>
  <c r="A223" i="15"/>
  <c r="B223" i="15"/>
  <c r="C223" i="15"/>
  <c r="D223" i="15"/>
  <c r="E223" i="15"/>
  <c r="F223" i="15"/>
  <c r="A221" i="15"/>
  <c r="B221" i="15"/>
  <c r="C221" i="15"/>
  <c r="D221" i="15"/>
  <c r="E221" i="15"/>
  <c r="F221" i="15"/>
  <c r="A220" i="15"/>
  <c r="B220" i="15"/>
  <c r="C220" i="15"/>
  <c r="D220" i="15"/>
  <c r="E220" i="15"/>
  <c r="F220" i="15"/>
  <c r="A214" i="15"/>
  <c r="B214" i="15"/>
  <c r="C214" i="15"/>
  <c r="D214" i="15"/>
  <c r="E214" i="15"/>
  <c r="F214" i="15"/>
  <c r="A212" i="15"/>
  <c r="B212" i="15"/>
  <c r="C212" i="15"/>
  <c r="D212" i="15"/>
  <c r="E212" i="15"/>
  <c r="F212" i="15"/>
  <c r="A203" i="15"/>
  <c r="B203" i="15"/>
  <c r="C203" i="15"/>
  <c r="D203" i="15"/>
  <c r="E203" i="15"/>
  <c r="F203" i="15"/>
  <c r="A202" i="15"/>
  <c r="B202" i="15"/>
  <c r="C202" i="15"/>
  <c r="D202" i="15"/>
  <c r="E202" i="15"/>
  <c r="F202" i="15"/>
  <c r="A201" i="15"/>
  <c r="B201" i="15"/>
  <c r="C201" i="15"/>
  <c r="D201" i="15"/>
  <c r="E201" i="15"/>
  <c r="F201" i="15"/>
  <c r="A185" i="15"/>
  <c r="B185" i="15"/>
  <c r="C185" i="15"/>
  <c r="D185" i="15"/>
  <c r="E185" i="15"/>
  <c r="F185" i="15"/>
  <c r="A159" i="15"/>
  <c r="E159" i="15"/>
  <c r="A347" i="15"/>
  <c r="B347" i="15"/>
  <c r="C347" i="15"/>
  <c r="D347" i="15"/>
  <c r="E347" i="15"/>
  <c r="F347" i="15"/>
  <c r="A345" i="15"/>
  <c r="B345" i="15"/>
  <c r="C345" i="15"/>
  <c r="D345" i="15"/>
  <c r="E345" i="15"/>
  <c r="F345" i="15"/>
  <c r="A237" i="15"/>
  <c r="B237" i="15"/>
  <c r="C237" i="15"/>
  <c r="D237" i="15"/>
  <c r="E237" i="15"/>
  <c r="F237" i="15"/>
  <c r="A231" i="15"/>
  <c r="B231" i="15"/>
  <c r="C231" i="15"/>
  <c r="D231" i="15"/>
  <c r="E231" i="15"/>
  <c r="F231" i="15"/>
  <c r="A229" i="15"/>
  <c r="B229" i="15"/>
  <c r="C229" i="15"/>
  <c r="D229" i="15"/>
  <c r="E229" i="15"/>
  <c r="F229" i="15"/>
  <c r="A227" i="15"/>
  <c r="B227" i="15"/>
  <c r="C227" i="15"/>
  <c r="D227" i="15"/>
  <c r="E227" i="15"/>
  <c r="F227" i="15"/>
  <c r="A180" i="15"/>
  <c r="B180" i="15"/>
  <c r="C180" i="15"/>
  <c r="D180" i="15"/>
  <c r="E180" i="15"/>
  <c r="F180" i="15"/>
  <c r="A174" i="15"/>
  <c r="E174" i="15"/>
  <c r="A170" i="15"/>
  <c r="B170" i="15"/>
  <c r="C170" i="15"/>
  <c r="D170" i="15"/>
  <c r="E170" i="15"/>
  <c r="F170" i="15"/>
  <c r="A344" i="15"/>
  <c r="B344" i="15"/>
  <c r="C344" i="15"/>
  <c r="D344" i="15"/>
  <c r="E344" i="15"/>
  <c r="F344" i="15"/>
  <c r="A209" i="15"/>
  <c r="B209" i="15"/>
  <c r="C209" i="15"/>
  <c r="D209" i="15"/>
  <c r="E209" i="15"/>
  <c r="F209" i="15"/>
  <c r="A219" i="15"/>
  <c r="B219" i="15"/>
  <c r="C219" i="15"/>
  <c r="D219" i="15"/>
  <c r="E219" i="15"/>
  <c r="F219" i="15"/>
  <c r="A213" i="15"/>
  <c r="B213" i="15"/>
  <c r="C213" i="15"/>
  <c r="D213" i="15"/>
  <c r="E213" i="15"/>
  <c r="F213" i="15"/>
  <c r="A211" i="15"/>
  <c r="B211" i="15"/>
  <c r="C211" i="15"/>
  <c r="D211" i="15"/>
  <c r="E211" i="15"/>
  <c r="F211" i="15"/>
  <c r="A172" i="15"/>
  <c r="E172" i="15"/>
  <c r="A169" i="15"/>
  <c r="B169" i="15"/>
  <c r="C169" i="15"/>
  <c r="D169" i="15"/>
  <c r="E169" i="15"/>
  <c r="F169" i="15"/>
  <c r="A349" i="15"/>
  <c r="B349" i="15"/>
  <c r="C349" i="15"/>
  <c r="D349" i="15"/>
  <c r="E349" i="15"/>
  <c r="F349" i="15"/>
  <c r="A235" i="15"/>
  <c r="B235" i="15"/>
  <c r="C235" i="15"/>
  <c r="D235" i="15"/>
  <c r="E235" i="15"/>
  <c r="F235" i="15"/>
  <c r="A226" i="15"/>
  <c r="B226" i="15"/>
  <c r="C226" i="15"/>
  <c r="D226" i="15"/>
  <c r="E226" i="15"/>
  <c r="F226" i="15"/>
  <c r="A225" i="15"/>
  <c r="B225" i="15"/>
  <c r="C225" i="15"/>
  <c r="D225" i="15"/>
  <c r="E225" i="15"/>
  <c r="F225" i="15"/>
  <c r="A222" i="15"/>
  <c r="B222" i="15"/>
  <c r="C222" i="15"/>
  <c r="D222" i="15"/>
  <c r="E222" i="15"/>
  <c r="F222" i="15"/>
  <c r="A210" i="15"/>
  <c r="B210" i="15"/>
  <c r="C210" i="15"/>
  <c r="D210" i="15"/>
  <c r="E210" i="15"/>
  <c r="F210" i="15"/>
  <c r="A198" i="15"/>
  <c r="B198" i="15"/>
  <c r="C198" i="15"/>
  <c r="D198" i="15"/>
  <c r="E198" i="15"/>
  <c r="F198" i="15"/>
  <c r="A196" i="15"/>
  <c r="B196" i="15"/>
  <c r="C196" i="15"/>
  <c r="D196" i="15"/>
  <c r="E196" i="15"/>
  <c r="F196" i="15"/>
  <c r="A193" i="15"/>
  <c r="B193" i="15"/>
  <c r="C193" i="15"/>
  <c r="D193" i="15"/>
  <c r="E193" i="15"/>
  <c r="F193" i="15"/>
  <c r="A190" i="15"/>
  <c r="B190" i="15"/>
  <c r="C190" i="15"/>
  <c r="D190" i="15"/>
  <c r="E190" i="15"/>
  <c r="F190" i="15"/>
  <c r="A188" i="15"/>
  <c r="B188" i="15"/>
  <c r="C188" i="15"/>
  <c r="D188" i="15"/>
  <c r="E188" i="15"/>
  <c r="F188" i="15"/>
  <c r="A173" i="15"/>
  <c r="E173" i="15"/>
  <c r="A171" i="15"/>
  <c r="E171" i="15"/>
  <c r="A168" i="15"/>
  <c r="B168" i="15"/>
  <c r="C168" i="15"/>
  <c r="D168" i="15"/>
  <c r="E168" i="15"/>
  <c r="F168" i="15"/>
  <c r="A167" i="15"/>
  <c r="B167" i="15"/>
  <c r="C167" i="15"/>
  <c r="D167" i="15"/>
  <c r="E167" i="15"/>
  <c r="F167" i="15"/>
  <c r="A166" i="15"/>
  <c r="B166" i="15"/>
  <c r="C166" i="15"/>
  <c r="D166" i="15"/>
  <c r="E166" i="15"/>
  <c r="F166" i="15"/>
  <c r="A161" i="15"/>
  <c r="E161" i="15"/>
  <c r="A158" i="15"/>
  <c r="B158" i="15"/>
  <c r="C158" i="15"/>
  <c r="D158" i="15"/>
  <c r="E158" i="15"/>
  <c r="F158" i="15"/>
  <c r="A350" i="15"/>
  <c r="B350" i="15"/>
  <c r="C350" i="15"/>
  <c r="D350" i="15"/>
  <c r="E350" i="15"/>
  <c r="F350" i="15"/>
  <c r="A342" i="15"/>
  <c r="B342" i="15"/>
  <c r="C342" i="15"/>
  <c r="D342" i="15"/>
  <c r="E342" i="15"/>
  <c r="F342" i="15"/>
  <c r="A230" i="15"/>
  <c r="B230" i="15"/>
  <c r="C230" i="15"/>
  <c r="D230" i="15"/>
  <c r="E230" i="15"/>
  <c r="F230" i="15"/>
  <c r="A218" i="15"/>
  <c r="B218" i="15"/>
  <c r="C218" i="15"/>
  <c r="D218" i="15"/>
  <c r="E218" i="15"/>
  <c r="F218" i="15"/>
  <c r="A216" i="15"/>
  <c r="B216" i="15"/>
  <c r="C216" i="15"/>
  <c r="D216" i="15"/>
  <c r="E216" i="15"/>
  <c r="F216" i="15"/>
  <c r="A215" i="15"/>
  <c r="B215" i="15"/>
  <c r="C215" i="15"/>
  <c r="D215" i="15"/>
  <c r="E215" i="15"/>
  <c r="F215" i="15"/>
  <c r="A208" i="15"/>
  <c r="B208" i="15"/>
  <c r="C208" i="15"/>
  <c r="D208" i="15"/>
  <c r="E208" i="15"/>
  <c r="F208" i="15"/>
  <c r="A197" i="15"/>
  <c r="B197" i="15"/>
  <c r="C197" i="15"/>
  <c r="D197" i="15"/>
  <c r="E197" i="15"/>
  <c r="F197" i="15"/>
  <c r="A191" i="15"/>
  <c r="B191" i="15"/>
  <c r="C191" i="15"/>
  <c r="D191" i="15"/>
  <c r="E191" i="15"/>
  <c r="F191" i="15"/>
  <c r="A189" i="15"/>
  <c r="B189" i="15"/>
  <c r="C189" i="15"/>
  <c r="D189" i="15"/>
  <c r="E189" i="15"/>
  <c r="F189" i="15"/>
  <c r="A187" i="15"/>
  <c r="B187" i="15"/>
  <c r="C187" i="15"/>
  <c r="D187" i="15"/>
  <c r="E187" i="15"/>
  <c r="F187" i="15"/>
  <c r="A186" i="15"/>
  <c r="B186" i="15"/>
  <c r="C186" i="15"/>
  <c r="D186" i="15"/>
  <c r="E186" i="15"/>
  <c r="F186" i="15"/>
  <c r="A182" i="15"/>
  <c r="B182" i="15"/>
  <c r="C182" i="15"/>
  <c r="D182" i="15"/>
  <c r="E182" i="15"/>
  <c r="F182" i="15"/>
  <c r="A181" i="15"/>
  <c r="B181" i="15"/>
  <c r="C181" i="15"/>
  <c r="D181" i="15"/>
  <c r="E181" i="15"/>
  <c r="F181" i="15"/>
  <c r="A179" i="15"/>
  <c r="B179" i="15"/>
  <c r="C179" i="15"/>
  <c r="D179" i="15"/>
  <c r="E179" i="15"/>
  <c r="F179" i="15"/>
  <c r="A178" i="15"/>
  <c r="B178" i="15"/>
  <c r="C178" i="15"/>
  <c r="D178" i="15"/>
  <c r="E178" i="15"/>
  <c r="F178" i="15"/>
  <c r="A177" i="15"/>
  <c r="B177" i="15"/>
  <c r="C177" i="15"/>
  <c r="D177" i="15"/>
  <c r="E177" i="15"/>
  <c r="F177" i="15"/>
  <c r="A176" i="15"/>
  <c r="B176" i="15"/>
  <c r="C176" i="15"/>
  <c r="D176" i="15"/>
  <c r="E176" i="15"/>
  <c r="F176" i="15"/>
  <c r="A175" i="15"/>
  <c r="E175" i="15"/>
  <c r="A165" i="15"/>
  <c r="E165" i="15"/>
  <c r="A164" i="15"/>
  <c r="E164" i="15"/>
  <c r="A163" i="15"/>
  <c r="E163" i="15"/>
  <c r="A157" i="15"/>
  <c r="B157" i="15"/>
  <c r="C157" i="15"/>
  <c r="D157" i="15"/>
  <c r="E157" i="15"/>
  <c r="F157" i="15"/>
  <c r="B156" i="15"/>
  <c r="C156" i="15"/>
  <c r="D156" i="15"/>
  <c r="E156" i="15"/>
  <c r="F156" i="15"/>
  <c r="J14" i="10"/>
  <c r="M14" i="10" s="1"/>
  <c r="J13" i="10"/>
  <c r="M13" i="10" s="1"/>
  <c r="J12" i="10"/>
  <c r="M12" i="10" s="1"/>
  <c r="J11" i="10"/>
  <c r="J10" i="10"/>
  <c r="J9" i="10"/>
  <c r="J8" i="10"/>
  <c r="J6" i="10"/>
  <c r="J3" i="10"/>
  <c r="B480" i="8"/>
  <c r="B479" i="8"/>
  <c r="E478" i="8"/>
  <c r="C478" i="8"/>
  <c r="C476" i="8"/>
  <c r="E475" i="8"/>
  <c r="C475" i="8"/>
  <c r="B473" i="8"/>
  <c r="C472" i="8"/>
  <c r="E471" i="8"/>
  <c r="C471" i="8"/>
  <c r="B471" i="8"/>
  <c r="C470" i="8"/>
  <c r="E469" i="8"/>
  <c r="C469" i="8"/>
  <c r="E468" i="8"/>
  <c r="C465" i="8"/>
  <c r="C464" i="8"/>
  <c r="E463" i="8"/>
  <c r="B463" i="8"/>
  <c r="A156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E151" i="15"/>
  <c r="A151" i="15"/>
  <c r="E149" i="15"/>
  <c r="A149" i="15"/>
  <c r="E148" i="15"/>
  <c r="A148" i="15"/>
  <c r="F145" i="15"/>
  <c r="E145" i="15"/>
  <c r="D145" i="15"/>
  <c r="C145" i="15"/>
  <c r="B145" i="15"/>
  <c r="A145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E140" i="15"/>
  <c r="A140" i="15"/>
  <c r="E137" i="15"/>
  <c r="A137" i="15"/>
  <c r="E136" i="15"/>
  <c r="A136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F131" i="15"/>
  <c r="E131" i="15"/>
  <c r="D131" i="15"/>
  <c r="C131" i="15"/>
  <c r="B131" i="15"/>
  <c r="A131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E127" i="15"/>
  <c r="D127" i="15"/>
  <c r="A127" i="15"/>
  <c r="E126" i="15"/>
  <c r="D126" i="15"/>
  <c r="A126" i="15"/>
  <c r="G12" i="13"/>
  <c r="F12" i="13"/>
  <c r="H12" i="13" s="1"/>
  <c r="C12" i="13"/>
  <c r="B12" i="13"/>
  <c r="G8" i="13"/>
  <c r="F8" i="13"/>
  <c r="H8" i="13" s="1"/>
  <c r="C8" i="13"/>
  <c r="B8" i="13"/>
  <c r="B6" i="13"/>
  <c r="J4" i="10"/>
  <c r="D480" i="8"/>
  <c r="D470" i="8"/>
  <c r="D464" i="8"/>
  <c r="D463" i="8"/>
  <c r="B462" i="8"/>
  <c r="G85" i="13"/>
  <c r="F85" i="13"/>
  <c r="H85" i="13" s="1"/>
  <c r="C85" i="13"/>
  <c r="B85" i="13"/>
  <c r="G83" i="13"/>
  <c r="F83" i="13"/>
  <c r="H83" i="13" s="1"/>
  <c r="C83" i="13"/>
  <c r="B83" i="13"/>
  <c r="G81" i="13"/>
  <c r="F81" i="13"/>
  <c r="H81" i="13" s="1"/>
  <c r="C81" i="13"/>
  <c r="B81" i="13"/>
  <c r="G80" i="13"/>
  <c r="F80" i="13"/>
  <c r="H80" i="13" s="1"/>
  <c r="C80" i="13"/>
  <c r="B80" i="13"/>
  <c r="G289" i="7"/>
  <c r="B289" i="7"/>
  <c r="G288" i="7"/>
  <c r="C288" i="7"/>
  <c r="G287" i="7"/>
  <c r="B287" i="7"/>
  <c r="G285" i="7"/>
  <c r="F285" i="7"/>
  <c r="H285" i="7" s="1"/>
  <c r="C285" i="7"/>
  <c r="B282" i="7"/>
  <c r="B281" i="7"/>
  <c r="F280" i="7"/>
  <c r="H280" i="7" s="1"/>
  <c r="B280" i="7"/>
  <c r="B476" i="8"/>
  <c r="E474" i="8"/>
  <c r="D473" i="8"/>
  <c r="D466" i="8"/>
  <c r="F67" i="13"/>
  <c r="H67" i="13" s="1"/>
  <c r="G57" i="13"/>
  <c r="F57" i="13"/>
  <c r="H57" i="13" s="1"/>
  <c r="C57" i="13"/>
  <c r="B57" i="13"/>
  <c r="G56" i="13"/>
  <c r="F56" i="13"/>
  <c r="H56" i="13" s="1"/>
  <c r="C56" i="13"/>
  <c r="B56" i="13"/>
  <c r="G54" i="13"/>
  <c r="F54" i="13"/>
  <c r="H54" i="13" s="1"/>
  <c r="C54" i="13"/>
  <c r="B54" i="13"/>
  <c r="B52" i="13"/>
  <c r="B50" i="13"/>
  <c r="G49" i="13"/>
  <c r="F49" i="13"/>
  <c r="H49" i="13" s="1"/>
  <c r="C49" i="13"/>
  <c r="B49" i="13"/>
  <c r="G46" i="13"/>
  <c r="F46" i="13"/>
  <c r="H46" i="13" s="1"/>
  <c r="C46" i="13"/>
  <c r="B46" i="13"/>
  <c r="G45" i="13"/>
  <c r="F45" i="13"/>
  <c r="H45" i="13" s="1"/>
  <c r="C45" i="13"/>
  <c r="B45" i="13"/>
  <c r="B43" i="13"/>
  <c r="B41" i="13"/>
  <c r="B40" i="13"/>
  <c r="B38" i="13"/>
  <c r="G37" i="13"/>
  <c r="F37" i="13"/>
  <c r="H37" i="13" s="1"/>
  <c r="C37" i="13"/>
  <c r="B37" i="13"/>
  <c r="G36" i="13"/>
  <c r="F36" i="13"/>
  <c r="H36" i="13" s="1"/>
  <c r="C36" i="13"/>
  <c r="B36" i="13"/>
  <c r="G35" i="13"/>
  <c r="F35" i="13"/>
  <c r="H35" i="13" s="1"/>
  <c r="C35" i="13"/>
  <c r="B35" i="13"/>
  <c r="G34" i="13"/>
  <c r="F34" i="13"/>
  <c r="H34" i="13" s="1"/>
  <c r="C34" i="13"/>
  <c r="B34" i="13"/>
  <c r="G33" i="13"/>
  <c r="F33" i="13"/>
  <c r="H33" i="13" s="1"/>
  <c r="C33" i="13"/>
  <c r="B33" i="13"/>
  <c r="G31" i="13"/>
  <c r="F31" i="13"/>
  <c r="H31" i="13" s="1"/>
  <c r="C31" i="13"/>
  <c r="B31" i="13"/>
  <c r="G30" i="13"/>
  <c r="F30" i="13"/>
  <c r="H30" i="13" s="1"/>
  <c r="C30" i="13"/>
  <c r="B30" i="13"/>
  <c r="B29" i="13"/>
  <c r="G23" i="13"/>
  <c r="F23" i="13"/>
  <c r="H23" i="13" s="1"/>
  <c r="C23" i="13"/>
  <c r="B23" i="13"/>
  <c r="B14" i="13"/>
  <c r="G6" i="13"/>
  <c r="F6" i="13"/>
  <c r="H6" i="13" s="1"/>
  <c r="C6" i="13"/>
  <c r="J16" i="10"/>
  <c r="J7" i="10"/>
  <c r="E481" i="8"/>
  <c r="E480" i="8"/>
  <c r="E479" i="8"/>
  <c r="C479" i="8"/>
  <c r="D478" i="8"/>
  <c r="B478" i="8"/>
  <c r="E477" i="8"/>
  <c r="D477" i="8"/>
  <c r="C477" i="8"/>
  <c r="B477" i="8"/>
  <c r="C473" i="8"/>
  <c r="B472" i="8"/>
  <c r="D471" i="8"/>
  <c r="E470" i="8"/>
  <c r="B470" i="8"/>
  <c r="D469" i="8"/>
  <c r="F289" i="7"/>
  <c r="H289" i="7" s="1"/>
  <c r="F288" i="7"/>
  <c r="H288" i="7" s="1"/>
  <c r="F287" i="7"/>
  <c r="H287" i="7" s="1"/>
  <c r="C287" i="7"/>
  <c r="F282" i="7"/>
  <c r="H282" i="7" s="1"/>
  <c r="C282" i="7"/>
  <c r="F281" i="7"/>
  <c r="H281" i="7" s="1"/>
  <c r="G280" i="7"/>
  <c r="C280" i="7"/>
  <c r="D465" i="8"/>
  <c r="F176" i="7"/>
  <c r="H176" i="7" s="1"/>
  <c r="C176" i="7"/>
  <c r="G174" i="7"/>
  <c r="F174" i="7"/>
  <c r="H174" i="7" s="1"/>
  <c r="C174" i="7"/>
  <c r="B174" i="7"/>
  <c r="G67" i="7"/>
  <c r="F67" i="7"/>
  <c r="H67" i="7" s="1"/>
  <c r="C67" i="7"/>
  <c r="B67" i="7"/>
  <c r="B66" i="7"/>
  <c r="B65" i="7"/>
  <c r="G246" i="5"/>
  <c r="G35" i="5"/>
  <c r="C289" i="7"/>
  <c r="B288" i="7"/>
  <c r="B285" i="7"/>
  <c r="G282" i="7"/>
  <c r="G281" i="7"/>
  <c r="C281" i="7"/>
  <c r="D474" i="8"/>
  <c r="E466" i="8"/>
  <c r="B466" i="8"/>
  <c r="G176" i="7"/>
  <c r="B176" i="7"/>
  <c r="G169" i="7"/>
  <c r="F169" i="7"/>
  <c r="H169" i="7" s="1"/>
  <c r="C169" i="7"/>
  <c r="B169" i="7"/>
  <c r="G165" i="7"/>
  <c r="F165" i="7"/>
  <c r="H165" i="7" s="1"/>
  <c r="C165" i="7"/>
  <c r="B165" i="7"/>
  <c r="G164" i="7"/>
  <c r="F164" i="7"/>
  <c r="H164" i="7" s="1"/>
  <c r="C164" i="7"/>
  <c r="B164" i="7"/>
  <c r="G163" i="7"/>
  <c r="F163" i="7"/>
  <c r="H163" i="7" s="1"/>
  <c r="C163" i="7"/>
  <c r="B163" i="7"/>
  <c r="G162" i="7"/>
  <c r="F162" i="7"/>
  <c r="H162" i="7" s="1"/>
  <c r="C162" i="7"/>
  <c r="B162" i="7"/>
  <c r="G161" i="7"/>
  <c r="F161" i="7"/>
  <c r="H161" i="7" s="1"/>
  <c r="C161" i="7"/>
  <c r="B161" i="7"/>
  <c r="G160" i="7"/>
  <c r="F160" i="7"/>
  <c r="H160" i="7" s="1"/>
  <c r="C160" i="7"/>
  <c r="B160" i="7"/>
  <c r="G159" i="7"/>
  <c r="F159" i="7"/>
  <c r="H159" i="7" s="1"/>
  <c r="C159" i="7"/>
  <c r="B159" i="7"/>
  <c r="G158" i="7"/>
  <c r="F158" i="7"/>
  <c r="H158" i="7" s="1"/>
  <c r="C158" i="7"/>
  <c r="B158" i="7"/>
  <c r="G157" i="7"/>
  <c r="F157" i="7"/>
  <c r="H157" i="7" s="1"/>
  <c r="C157" i="7"/>
  <c r="B157" i="7"/>
  <c r="G155" i="7"/>
  <c r="F155" i="7"/>
  <c r="H155" i="7" s="1"/>
  <c r="C155" i="7"/>
  <c r="B155" i="7"/>
  <c r="G154" i="7"/>
  <c r="F154" i="7"/>
  <c r="H154" i="7" s="1"/>
  <c r="C154" i="7"/>
  <c r="B154" i="7"/>
  <c r="G153" i="7"/>
  <c r="F153" i="7"/>
  <c r="H153" i="7" s="1"/>
  <c r="C153" i="7"/>
  <c r="B153" i="7"/>
  <c r="G152" i="7"/>
  <c r="F152" i="7"/>
  <c r="H152" i="7" s="1"/>
  <c r="C152" i="7"/>
  <c r="B152" i="7"/>
  <c r="G151" i="7"/>
  <c r="F151" i="7"/>
  <c r="H151" i="7" s="1"/>
  <c r="C151" i="7"/>
  <c r="B151" i="7"/>
  <c r="G150" i="7"/>
  <c r="F150" i="7"/>
  <c r="H150" i="7" s="1"/>
  <c r="C150" i="7"/>
  <c r="B150" i="7"/>
  <c r="G149" i="7"/>
  <c r="F149" i="7"/>
  <c r="H149" i="7" s="1"/>
  <c r="C149" i="7"/>
  <c r="B149" i="7"/>
  <c r="G148" i="7"/>
  <c r="F148" i="7"/>
  <c r="H148" i="7" s="1"/>
  <c r="C148" i="7"/>
  <c r="B148" i="7"/>
  <c r="G147" i="7"/>
  <c r="F147" i="7"/>
  <c r="H147" i="7" s="1"/>
  <c r="C147" i="7"/>
  <c r="B147" i="7"/>
  <c r="G144" i="7"/>
  <c r="F144" i="7"/>
  <c r="H144" i="7" s="1"/>
  <c r="C144" i="7"/>
  <c r="B144" i="7"/>
  <c r="G142" i="7"/>
  <c r="F142" i="7"/>
  <c r="H142" i="7" s="1"/>
  <c r="C142" i="7"/>
  <c r="B142" i="7"/>
  <c r="G141" i="7"/>
  <c r="F141" i="7"/>
  <c r="H141" i="7" s="1"/>
  <c r="C141" i="7"/>
  <c r="B141" i="7"/>
  <c r="G140" i="7"/>
  <c r="F140" i="7"/>
  <c r="H140" i="7" s="1"/>
  <c r="C140" i="7"/>
  <c r="B140" i="7"/>
  <c r="G137" i="7"/>
  <c r="F137" i="7"/>
  <c r="H137" i="7" s="1"/>
  <c r="C137" i="7"/>
  <c r="B137" i="7"/>
  <c r="G136" i="7"/>
  <c r="F136" i="7"/>
  <c r="H136" i="7" s="1"/>
  <c r="C136" i="7"/>
  <c r="B136" i="7"/>
  <c r="G135" i="7"/>
  <c r="F135" i="7"/>
  <c r="H135" i="7" s="1"/>
  <c r="C135" i="7"/>
  <c r="B135" i="7"/>
  <c r="G132" i="7"/>
  <c r="F132" i="7"/>
  <c r="H132" i="7" s="1"/>
  <c r="C132" i="7"/>
  <c r="B132" i="7"/>
  <c r="G130" i="7"/>
  <c r="F130" i="7"/>
  <c r="H130" i="7" s="1"/>
  <c r="C130" i="7"/>
  <c r="B130" i="7"/>
  <c r="G129" i="7"/>
  <c r="F129" i="7"/>
  <c r="H129" i="7" s="1"/>
  <c r="C129" i="7"/>
  <c r="B129" i="7"/>
  <c r="G128" i="7"/>
  <c r="F128" i="7"/>
  <c r="H128" i="7" s="1"/>
  <c r="C128" i="7"/>
  <c r="B128" i="7"/>
  <c r="G127" i="7"/>
  <c r="F127" i="7"/>
  <c r="H127" i="7" s="1"/>
  <c r="C127" i="7"/>
  <c r="B127" i="7"/>
  <c r="G126" i="7"/>
  <c r="F126" i="7"/>
  <c r="H126" i="7" s="1"/>
  <c r="C126" i="7"/>
  <c r="B126" i="7"/>
  <c r="G125" i="7"/>
  <c r="F125" i="7"/>
  <c r="H125" i="7" s="1"/>
  <c r="C125" i="7"/>
  <c r="B125" i="7"/>
  <c r="G124" i="7"/>
  <c r="F124" i="7"/>
  <c r="H124" i="7" s="1"/>
  <c r="C124" i="7"/>
  <c r="B124" i="7"/>
  <c r="G121" i="7"/>
  <c r="F121" i="7"/>
  <c r="H121" i="7" s="1"/>
  <c r="C121" i="7"/>
  <c r="B121" i="7"/>
  <c r="G120" i="7"/>
  <c r="F120" i="7"/>
  <c r="H120" i="7" s="1"/>
  <c r="C120" i="7"/>
  <c r="B120" i="7"/>
  <c r="G118" i="7"/>
  <c r="F118" i="7"/>
  <c r="H118" i="7" s="1"/>
  <c r="C118" i="7"/>
  <c r="B118" i="7"/>
  <c r="G117" i="7"/>
  <c r="F117" i="7"/>
  <c r="H117" i="7" s="1"/>
  <c r="C117" i="7"/>
  <c r="B117" i="7"/>
  <c r="G116" i="7"/>
  <c r="F116" i="7"/>
  <c r="H116" i="7" s="1"/>
  <c r="C116" i="7"/>
  <c r="B116" i="7"/>
  <c r="G115" i="7"/>
  <c r="F115" i="7"/>
  <c r="H115" i="7" s="1"/>
  <c r="C115" i="7"/>
  <c r="B115" i="7"/>
  <c r="D175" i="15"/>
  <c r="B114" i="7"/>
  <c r="B175" i="15" s="1"/>
  <c r="D173" i="15"/>
  <c r="B112" i="7"/>
  <c r="B173" i="15" s="1"/>
  <c r="D172" i="15"/>
  <c r="B111" i="7"/>
  <c r="B172" i="15" s="1"/>
  <c r="D171" i="15"/>
  <c r="B110" i="7"/>
  <c r="B171" i="15" s="1"/>
  <c r="G108" i="7"/>
  <c r="F108" i="7"/>
  <c r="H108" i="7" s="1"/>
  <c r="C108" i="7"/>
  <c r="B108" i="7"/>
  <c r="G107" i="7"/>
  <c r="F107" i="7"/>
  <c r="H107" i="7" s="1"/>
  <c r="C107" i="7"/>
  <c r="B107" i="7"/>
  <c r="G106" i="7"/>
  <c r="F106" i="7"/>
  <c r="H106" i="7" s="1"/>
  <c r="C106" i="7"/>
  <c r="B106" i="7"/>
  <c r="G105" i="7"/>
  <c r="F105" i="7"/>
  <c r="H105" i="7" s="1"/>
  <c r="C105" i="7"/>
  <c r="B105" i="7"/>
  <c r="D165" i="15"/>
  <c r="B104" i="7"/>
  <c r="B165" i="15" s="1"/>
  <c r="D164" i="15"/>
  <c r="B103" i="7"/>
  <c r="B164" i="15" s="1"/>
  <c r="D163" i="15"/>
  <c r="B102" i="7"/>
  <c r="B163" i="15" s="1"/>
  <c r="J2" i="10"/>
  <c r="D481" i="8"/>
  <c r="C480" i="8"/>
  <c r="D476" i="8"/>
  <c r="C474" i="8"/>
  <c r="E472" i="8"/>
  <c r="B469" i="8"/>
  <c r="B465" i="8"/>
  <c r="B464" i="8"/>
  <c r="D162" i="15"/>
  <c r="B101" i="7"/>
  <c r="B162" i="15" s="1"/>
  <c r="D161" i="15"/>
  <c r="B100" i="7"/>
  <c r="B161" i="15" s="1"/>
  <c r="D159" i="15"/>
  <c r="B98" i="7"/>
  <c r="B159" i="15" s="1"/>
  <c r="G97" i="7"/>
  <c r="F97" i="7"/>
  <c r="H97" i="7" s="1"/>
  <c r="C97" i="7"/>
  <c r="B97" i="7"/>
  <c r="G96" i="7"/>
  <c r="F96" i="7"/>
  <c r="H96" i="7" s="1"/>
  <c r="C96" i="7"/>
  <c r="B96" i="7"/>
  <c r="G95" i="7"/>
  <c r="F95" i="7"/>
  <c r="H95" i="7" s="1"/>
  <c r="C95" i="7"/>
  <c r="B95" i="7"/>
  <c r="G94" i="7"/>
  <c r="F94" i="7"/>
  <c r="H94" i="7" s="1"/>
  <c r="C94" i="7"/>
  <c r="B94" i="7"/>
  <c r="G93" i="7"/>
  <c r="F93" i="7"/>
  <c r="H93" i="7" s="1"/>
  <c r="C93" i="7"/>
  <c r="B93" i="7"/>
  <c r="B90" i="7"/>
  <c r="B88" i="7"/>
  <c r="B87" i="7"/>
  <c r="G84" i="7"/>
  <c r="F84" i="7"/>
  <c r="H84" i="7" s="1"/>
  <c r="C84" i="7"/>
  <c r="B84" i="7"/>
  <c r="G81" i="7"/>
  <c r="F81" i="7"/>
  <c r="H81" i="7" s="1"/>
  <c r="C81" i="7"/>
  <c r="B81" i="7"/>
  <c r="G80" i="7"/>
  <c r="F80" i="7"/>
  <c r="H80" i="7" s="1"/>
  <c r="C80" i="7"/>
  <c r="B80" i="7"/>
  <c r="B79" i="7"/>
  <c r="B76" i="7"/>
  <c r="B75" i="7"/>
  <c r="G72" i="7"/>
  <c r="F72" i="7"/>
  <c r="H72" i="7" s="1"/>
  <c r="C72" i="7"/>
  <c r="B72" i="7"/>
  <c r="G71" i="7"/>
  <c r="F71" i="7"/>
  <c r="H71" i="7" s="1"/>
  <c r="C71" i="7"/>
  <c r="B71" i="7"/>
  <c r="G70" i="7"/>
  <c r="F70" i="7"/>
  <c r="H70" i="7" s="1"/>
  <c r="C70" i="7"/>
  <c r="B70" i="7"/>
  <c r="G68" i="7"/>
  <c r="F68" i="7"/>
  <c r="H68" i="7" s="1"/>
  <c r="C68" i="7"/>
  <c r="B68" i="7"/>
  <c r="G66" i="7"/>
  <c r="G65" i="7"/>
  <c r="B481" i="8"/>
  <c r="E473" i="8"/>
  <c r="D472" i="8"/>
  <c r="C466" i="8"/>
  <c r="E465" i="8"/>
  <c r="E464" i="8"/>
  <c r="C463" i="8"/>
  <c r="B459" i="8"/>
  <c r="B458" i="8"/>
  <c r="J5" i="10"/>
  <c r="D475" i="8"/>
  <c r="G338" i="5"/>
  <c r="G310" i="5"/>
  <c r="G303" i="5"/>
  <c r="C481" i="8"/>
  <c r="E476" i="8"/>
  <c r="B475" i="8"/>
  <c r="B474" i="8"/>
  <c r="B20" i="13"/>
  <c r="A369" i="15"/>
  <c r="D369" i="15"/>
  <c r="E369" i="15"/>
  <c r="B457" i="8"/>
  <c r="B456" i="8"/>
  <c r="B455" i="8"/>
  <c r="B454" i="8"/>
  <c r="B453" i="8"/>
  <c r="B452" i="8"/>
  <c r="B451" i="8"/>
  <c r="C451" i="8"/>
  <c r="D451" i="8"/>
  <c r="E451" i="8"/>
  <c r="B450" i="8"/>
  <c r="C450" i="8"/>
  <c r="D450" i="8"/>
  <c r="E450" i="8"/>
  <c r="B449" i="8"/>
  <c r="C449" i="8"/>
  <c r="D449" i="8"/>
  <c r="E449" i="8"/>
  <c r="B448" i="8"/>
  <c r="C448" i="8"/>
  <c r="D448" i="8"/>
  <c r="E448" i="8"/>
  <c r="B447" i="8"/>
  <c r="C447" i="8"/>
  <c r="D447" i="8"/>
  <c r="E447" i="8"/>
  <c r="B446" i="8"/>
  <c r="C446" i="8"/>
  <c r="D446" i="8"/>
  <c r="E446" i="8"/>
  <c r="B445" i="8"/>
  <c r="C445" i="8"/>
  <c r="D445" i="8"/>
  <c r="E445" i="8"/>
  <c r="B444" i="8"/>
  <c r="C444" i="8"/>
  <c r="D444" i="8"/>
  <c r="E444" i="8"/>
  <c r="B443" i="8"/>
  <c r="C443" i="8"/>
  <c r="D443" i="8"/>
  <c r="E443" i="8"/>
  <c r="B442" i="8"/>
  <c r="C442" i="8"/>
  <c r="D442" i="8"/>
  <c r="E442" i="8"/>
  <c r="B441" i="8"/>
  <c r="C441" i="8"/>
  <c r="D441" i="8"/>
  <c r="E441" i="8"/>
  <c r="B440" i="8"/>
  <c r="C440" i="8"/>
  <c r="D440" i="8"/>
  <c r="E440" i="8"/>
  <c r="B439" i="8"/>
  <c r="C439" i="8"/>
  <c r="D439" i="8"/>
  <c r="E439" i="8"/>
  <c r="B438" i="8"/>
  <c r="C438" i="8"/>
  <c r="D438" i="8"/>
  <c r="E438" i="8"/>
  <c r="B437" i="8"/>
  <c r="C437" i="8"/>
  <c r="D437" i="8"/>
  <c r="E437" i="8"/>
  <c r="B436" i="8"/>
  <c r="C436" i="8"/>
  <c r="D436" i="8"/>
  <c r="E436" i="8"/>
  <c r="B435" i="8"/>
  <c r="C435" i="8"/>
  <c r="D435" i="8"/>
  <c r="E435" i="8"/>
  <c r="B434" i="8"/>
  <c r="C434" i="8"/>
  <c r="D434" i="8"/>
  <c r="E434" i="8"/>
  <c r="B433" i="8"/>
  <c r="C433" i="8"/>
  <c r="D433" i="8"/>
  <c r="E433" i="8"/>
  <c r="B432" i="8"/>
  <c r="C432" i="8"/>
  <c r="D432" i="8"/>
  <c r="E432" i="8"/>
  <c r="B431" i="8"/>
  <c r="B430" i="8"/>
  <c r="B429" i="8"/>
  <c r="B428" i="8"/>
  <c r="B427" i="8"/>
  <c r="B426" i="8"/>
  <c r="B425" i="8"/>
  <c r="B424" i="8"/>
  <c r="B423" i="8"/>
  <c r="B422" i="8"/>
  <c r="B421" i="8"/>
  <c r="C421" i="8"/>
  <c r="D421" i="8"/>
  <c r="E421" i="8"/>
  <c r="B420" i="8"/>
  <c r="C420" i="8"/>
  <c r="D420" i="8"/>
  <c r="E420" i="8"/>
  <c r="B419" i="8"/>
  <c r="C419" i="8"/>
  <c r="D419" i="8"/>
  <c r="E419" i="8"/>
  <c r="B418" i="8"/>
  <c r="C418" i="8"/>
  <c r="D418" i="8"/>
  <c r="E418" i="8"/>
  <c r="B417" i="8"/>
  <c r="C417" i="8"/>
  <c r="D417" i="8"/>
  <c r="E417" i="8"/>
  <c r="B416" i="8"/>
  <c r="C416" i="8"/>
  <c r="D416" i="8"/>
  <c r="E416" i="8"/>
  <c r="B415" i="8"/>
  <c r="C415" i="8"/>
  <c r="D415" i="8"/>
  <c r="E415" i="8"/>
  <c r="B414" i="8"/>
  <c r="C414" i="8"/>
  <c r="D414" i="8"/>
  <c r="E414" i="8"/>
  <c r="B413" i="8"/>
  <c r="C413" i="8"/>
  <c r="D413" i="8"/>
  <c r="E413" i="8"/>
  <c r="B412" i="8"/>
  <c r="C412" i="8"/>
  <c r="D412" i="8"/>
  <c r="E412" i="8"/>
  <c r="B411" i="8"/>
  <c r="C411" i="8"/>
  <c r="D411" i="8"/>
  <c r="E411" i="8"/>
  <c r="B410" i="8"/>
  <c r="C410" i="8"/>
  <c r="D410" i="8"/>
  <c r="E410" i="8"/>
  <c r="B409" i="8"/>
  <c r="C409" i="8"/>
  <c r="D409" i="8"/>
  <c r="E409" i="8"/>
  <c r="B408" i="8"/>
  <c r="C408" i="8"/>
  <c r="D408" i="8"/>
  <c r="E408" i="8"/>
  <c r="B407" i="8"/>
  <c r="C407" i="8"/>
  <c r="D407" i="8"/>
  <c r="E407" i="8"/>
  <c r="B406" i="8"/>
  <c r="C406" i="8"/>
  <c r="D406" i="8"/>
  <c r="E406" i="8"/>
  <c r="B405" i="8"/>
  <c r="C405" i="8"/>
  <c r="D405" i="8"/>
  <c r="E405" i="8"/>
  <c r="B404" i="8"/>
  <c r="C404" i="8"/>
  <c r="D404" i="8"/>
  <c r="E404" i="8"/>
  <c r="B403" i="8"/>
  <c r="C403" i="8"/>
  <c r="D403" i="8"/>
  <c r="E403" i="8"/>
  <c r="B402" i="8"/>
  <c r="C402" i="8"/>
  <c r="D402" i="8"/>
  <c r="E402" i="8"/>
  <c r="B401" i="8"/>
  <c r="B400" i="8"/>
  <c r="B399" i="8"/>
  <c r="B398" i="8"/>
  <c r="B397" i="8"/>
  <c r="B396" i="8"/>
  <c r="B395" i="8"/>
  <c r="B394" i="8"/>
  <c r="B393" i="8"/>
  <c r="B392" i="8"/>
  <c r="B391" i="8"/>
  <c r="C391" i="8"/>
  <c r="D391" i="8"/>
  <c r="E391" i="8"/>
  <c r="B390" i="8"/>
  <c r="C390" i="8"/>
  <c r="D390" i="8"/>
  <c r="E390" i="8"/>
  <c r="B389" i="8"/>
  <c r="C389" i="8"/>
  <c r="D389" i="8"/>
  <c r="E389" i="8"/>
  <c r="B388" i="8"/>
  <c r="C388" i="8"/>
  <c r="D388" i="8"/>
  <c r="E388" i="8"/>
  <c r="B387" i="8"/>
  <c r="C387" i="8"/>
  <c r="D387" i="8"/>
  <c r="E387" i="8"/>
  <c r="B386" i="8"/>
  <c r="C386" i="8"/>
  <c r="D386" i="8"/>
  <c r="E386" i="8"/>
  <c r="B385" i="8"/>
  <c r="C385" i="8"/>
  <c r="D385" i="8"/>
  <c r="E385" i="8"/>
  <c r="B384" i="8"/>
  <c r="C384" i="8"/>
  <c r="D384" i="8"/>
  <c r="E384" i="8"/>
  <c r="B383" i="8"/>
  <c r="C383" i="8"/>
  <c r="D383" i="8"/>
  <c r="E383" i="8"/>
  <c r="B382" i="8"/>
  <c r="C382" i="8"/>
  <c r="D382" i="8"/>
  <c r="E382" i="8"/>
  <c r="B381" i="8"/>
  <c r="C381" i="8"/>
  <c r="D381" i="8"/>
  <c r="E381" i="8"/>
  <c r="B380" i="8"/>
  <c r="C380" i="8"/>
  <c r="D380" i="8"/>
  <c r="E380" i="8"/>
  <c r="B379" i="8"/>
  <c r="C379" i="8"/>
  <c r="D379" i="8"/>
  <c r="E379" i="8"/>
  <c r="B378" i="8"/>
  <c r="C378" i="8"/>
  <c r="D378" i="8"/>
  <c r="E378" i="8"/>
  <c r="B377" i="8"/>
  <c r="C377" i="8"/>
  <c r="D377" i="8"/>
  <c r="E377" i="8"/>
  <c r="B376" i="8"/>
  <c r="C376" i="8"/>
  <c r="D376" i="8"/>
  <c r="E376" i="8"/>
  <c r="B375" i="8"/>
  <c r="C375" i="8"/>
  <c r="D375" i="8"/>
  <c r="E375" i="8"/>
  <c r="B374" i="8"/>
  <c r="C374" i="8"/>
  <c r="D374" i="8"/>
  <c r="E374" i="8"/>
  <c r="B373" i="8"/>
  <c r="C373" i="8"/>
  <c r="D373" i="8"/>
  <c r="E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C361" i="8"/>
  <c r="D361" i="8"/>
  <c r="E361" i="8"/>
  <c r="B360" i="8"/>
  <c r="C360" i="8"/>
  <c r="D360" i="8"/>
  <c r="E360" i="8"/>
  <c r="B359" i="8"/>
  <c r="C359" i="8"/>
  <c r="D359" i="8"/>
  <c r="E359" i="8"/>
  <c r="B358" i="8"/>
  <c r="C358" i="8"/>
  <c r="D358" i="8"/>
  <c r="E358" i="8"/>
  <c r="B357" i="8"/>
  <c r="C357" i="8"/>
  <c r="D357" i="8"/>
  <c r="E357" i="8"/>
  <c r="B356" i="8"/>
  <c r="C356" i="8"/>
  <c r="D356" i="8"/>
  <c r="E356" i="8"/>
  <c r="B355" i="8"/>
  <c r="C355" i="8"/>
  <c r="D355" i="8"/>
  <c r="E355" i="8"/>
  <c r="B354" i="8"/>
  <c r="C354" i="8"/>
  <c r="D354" i="8"/>
  <c r="E354" i="8"/>
  <c r="B353" i="8"/>
  <c r="C353" i="8"/>
  <c r="D353" i="8"/>
  <c r="E353" i="8"/>
  <c r="B352" i="8"/>
  <c r="C352" i="8"/>
  <c r="D352" i="8"/>
  <c r="E352" i="8"/>
  <c r="B351" i="8"/>
  <c r="C351" i="8"/>
  <c r="D351" i="8"/>
  <c r="E351" i="8"/>
  <c r="B350" i="8"/>
  <c r="C350" i="8"/>
  <c r="D350" i="8"/>
  <c r="E350" i="8"/>
  <c r="B349" i="8"/>
  <c r="C349" i="8"/>
  <c r="D349" i="8"/>
  <c r="E349" i="8"/>
  <c r="B348" i="8"/>
  <c r="C348" i="8"/>
  <c r="D348" i="8"/>
  <c r="E348" i="8"/>
  <c r="B347" i="8"/>
  <c r="C347" i="8"/>
  <c r="D347" i="8"/>
  <c r="E347" i="8"/>
  <c r="B346" i="8"/>
  <c r="C346" i="8"/>
  <c r="D346" i="8"/>
  <c r="E346" i="8"/>
  <c r="B345" i="8"/>
  <c r="C345" i="8"/>
  <c r="D345" i="8"/>
  <c r="E345" i="8"/>
  <c r="B344" i="8"/>
  <c r="C344" i="8"/>
  <c r="D344" i="8"/>
  <c r="E344" i="8"/>
  <c r="B343" i="8"/>
  <c r="C343" i="8"/>
  <c r="D343" i="8"/>
  <c r="E343" i="8"/>
  <c r="B342" i="8"/>
  <c r="C342" i="8"/>
  <c r="D342" i="8"/>
  <c r="E342" i="8"/>
  <c r="B341" i="8"/>
  <c r="B340" i="8"/>
  <c r="B339" i="8"/>
  <c r="B338" i="8"/>
  <c r="B337" i="8"/>
  <c r="B336" i="8"/>
  <c r="B335" i="8"/>
  <c r="B334" i="8"/>
  <c r="B333" i="8"/>
  <c r="B332" i="8"/>
  <c r="B331" i="8"/>
  <c r="C331" i="8"/>
  <c r="D331" i="8"/>
  <c r="E331" i="8"/>
  <c r="B330" i="8"/>
  <c r="C330" i="8"/>
  <c r="D330" i="8"/>
  <c r="E330" i="8"/>
  <c r="B329" i="8"/>
  <c r="C329" i="8"/>
  <c r="D329" i="8"/>
  <c r="E329" i="8"/>
  <c r="B328" i="8"/>
  <c r="C328" i="8"/>
  <c r="D328" i="8"/>
  <c r="E328" i="8"/>
  <c r="B327" i="8"/>
  <c r="C327" i="8"/>
  <c r="D327" i="8"/>
  <c r="E327" i="8"/>
  <c r="B326" i="8"/>
  <c r="C326" i="8"/>
  <c r="D326" i="8"/>
  <c r="E326" i="8"/>
  <c r="B325" i="8"/>
  <c r="C325" i="8"/>
  <c r="D325" i="8"/>
  <c r="E325" i="8"/>
  <c r="B324" i="8"/>
  <c r="C324" i="8"/>
  <c r="D324" i="8"/>
  <c r="E324" i="8"/>
  <c r="B323" i="8"/>
  <c r="C323" i="8"/>
  <c r="D323" i="8"/>
  <c r="E323" i="8"/>
  <c r="B322" i="8"/>
  <c r="C322" i="8"/>
  <c r="D322" i="8"/>
  <c r="E322" i="8"/>
  <c r="B321" i="8"/>
  <c r="C321" i="8"/>
  <c r="D321" i="8"/>
  <c r="E321" i="8"/>
  <c r="B320" i="8"/>
  <c r="C320" i="8"/>
  <c r="D320" i="8"/>
  <c r="E320" i="8"/>
  <c r="B319" i="8"/>
  <c r="C319" i="8"/>
  <c r="D319" i="8"/>
  <c r="E319" i="8"/>
  <c r="B318" i="8"/>
  <c r="C318" i="8"/>
  <c r="D318" i="8"/>
  <c r="E318" i="8"/>
  <c r="B317" i="8"/>
  <c r="C317" i="8"/>
  <c r="D317" i="8"/>
  <c r="E317" i="8"/>
  <c r="B316" i="8"/>
  <c r="C316" i="8"/>
  <c r="D316" i="8"/>
  <c r="E316" i="8"/>
  <c r="B315" i="8"/>
  <c r="C315" i="8"/>
  <c r="D315" i="8"/>
  <c r="E315" i="8"/>
  <c r="B314" i="8"/>
  <c r="C314" i="8"/>
  <c r="D314" i="8"/>
  <c r="E314" i="8"/>
  <c r="B313" i="8"/>
  <c r="C313" i="8"/>
  <c r="D313" i="8"/>
  <c r="E313" i="8"/>
  <c r="B312" i="8"/>
  <c r="C312" i="8"/>
  <c r="D312" i="8"/>
  <c r="E312" i="8"/>
  <c r="B311" i="8"/>
  <c r="B310" i="8"/>
  <c r="B309" i="8"/>
  <c r="B308" i="8"/>
  <c r="B307" i="8"/>
  <c r="B306" i="8"/>
  <c r="B305" i="8"/>
  <c r="B304" i="8"/>
  <c r="B303" i="8"/>
  <c r="B302" i="8"/>
  <c r="B301" i="8"/>
  <c r="C301" i="8"/>
  <c r="D301" i="8"/>
  <c r="E301" i="8"/>
  <c r="B300" i="8"/>
  <c r="C300" i="8"/>
  <c r="D300" i="8"/>
  <c r="E300" i="8"/>
  <c r="B299" i="8"/>
  <c r="C299" i="8"/>
  <c r="D299" i="8"/>
  <c r="E299" i="8"/>
  <c r="B298" i="8"/>
  <c r="C298" i="8"/>
  <c r="D298" i="8"/>
  <c r="E298" i="8"/>
  <c r="B297" i="8"/>
  <c r="C297" i="8"/>
  <c r="D297" i="8"/>
  <c r="E297" i="8"/>
  <c r="B296" i="8"/>
  <c r="C296" i="8"/>
  <c r="D296" i="8"/>
  <c r="E296" i="8"/>
  <c r="B295" i="8"/>
  <c r="C295" i="8"/>
  <c r="D295" i="8"/>
  <c r="E295" i="8"/>
  <c r="B294" i="8"/>
  <c r="C294" i="8"/>
  <c r="D294" i="8"/>
  <c r="E294" i="8"/>
  <c r="B293" i="8"/>
  <c r="C293" i="8"/>
  <c r="D293" i="8"/>
  <c r="E293" i="8"/>
  <c r="B292" i="8"/>
  <c r="C292" i="8"/>
  <c r="D292" i="8"/>
  <c r="E292" i="8"/>
  <c r="B291" i="8"/>
  <c r="C291" i="8"/>
  <c r="D291" i="8"/>
  <c r="E291" i="8"/>
  <c r="B290" i="8"/>
  <c r="C290" i="8"/>
  <c r="D290" i="8"/>
  <c r="E290" i="8"/>
  <c r="B289" i="8"/>
  <c r="C289" i="8"/>
  <c r="D289" i="8"/>
  <c r="E289" i="8"/>
  <c r="B288" i="8"/>
  <c r="C288" i="8"/>
  <c r="D288" i="8"/>
  <c r="E288" i="8"/>
  <c r="B287" i="8"/>
  <c r="C287" i="8"/>
  <c r="D287" i="8"/>
  <c r="E287" i="8"/>
  <c r="B286" i="8"/>
  <c r="C286" i="8"/>
  <c r="D286" i="8"/>
  <c r="E286" i="8"/>
  <c r="B285" i="8"/>
  <c r="C285" i="8"/>
  <c r="D285" i="8"/>
  <c r="E285" i="8"/>
  <c r="B284" i="8"/>
  <c r="C284" i="8"/>
  <c r="D284" i="8"/>
  <c r="E284" i="8"/>
  <c r="B283" i="8"/>
  <c r="C283" i="8"/>
  <c r="D283" i="8"/>
  <c r="E283" i="8"/>
  <c r="B282" i="8"/>
  <c r="C282" i="8"/>
  <c r="D282" i="8"/>
  <c r="E282" i="8"/>
  <c r="B281" i="8"/>
  <c r="B280" i="8"/>
  <c r="B279" i="8"/>
  <c r="B278" i="8"/>
  <c r="B277" i="8"/>
  <c r="B276" i="8"/>
  <c r="B275" i="8"/>
  <c r="B274" i="8"/>
  <c r="B273" i="8"/>
  <c r="B272" i="8"/>
  <c r="B271" i="8"/>
  <c r="C271" i="8"/>
  <c r="D271" i="8"/>
  <c r="E271" i="8"/>
  <c r="B270" i="8"/>
  <c r="C270" i="8"/>
  <c r="D270" i="8"/>
  <c r="E270" i="8"/>
  <c r="B269" i="8"/>
  <c r="C269" i="8"/>
  <c r="D269" i="8"/>
  <c r="E269" i="8"/>
  <c r="B268" i="8"/>
  <c r="C268" i="8"/>
  <c r="D268" i="8"/>
  <c r="E268" i="8"/>
  <c r="B267" i="8"/>
  <c r="C267" i="8"/>
  <c r="D267" i="8"/>
  <c r="E267" i="8"/>
  <c r="B266" i="8"/>
  <c r="C266" i="8"/>
  <c r="D266" i="8"/>
  <c r="E266" i="8"/>
  <c r="B265" i="8"/>
  <c r="C265" i="8"/>
  <c r="D265" i="8"/>
  <c r="E265" i="8"/>
  <c r="B264" i="8"/>
  <c r="C264" i="8"/>
  <c r="D264" i="8"/>
  <c r="E264" i="8"/>
  <c r="B263" i="8"/>
  <c r="C263" i="8"/>
  <c r="D263" i="8"/>
  <c r="E263" i="8"/>
  <c r="B262" i="8"/>
  <c r="C262" i="8"/>
  <c r="D262" i="8"/>
  <c r="E262" i="8"/>
  <c r="B261" i="8"/>
  <c r="C261" i="8"/>
  <c r="D261" i="8"/>
  <c r="E261" i="8"/>
  <c r="B260" i="8"/>
  <c r="C260" i="8"/>
  <c r="D260" i="8"/>
  <c r="E260" i="8"/>
  <c r="B259" i="8"/>
  <c r="C259" i="8"/>
  <c r="D259" i="8"/>
  <c r="E259" i="8"/>
  <c r="B258" i="8"/>
  <c r="C258" i="8"/>
  <c r="D258" i="8"/>
  <c r="E258" i="8"/>
  <c r="B257" i="8"/>
  <c r="C257" i="8"/>
  <c r="D257" i="8"/>
  <c r="E257" i="8"/>
  <c r="B256" i="8"/>
  <c r="C256" i="8"/>
  <c r="D256" i="8"/>
  <c r="E256" i="8"/>
  <c r="B255" i="8"/>
  <c r="C255" i="8"/>
  <c r="D255" i="8"/>
  <c r="E255" i="8"/>
  <c r="B254" i="8"/>
  <c r="C254" i="8"/>
  <c r="D254" i="8"/>
  <c r="E254" i="8"/>
  <c r="B253" i="8"/>
  <c r="C253" i="8"/>
  <c r="D253" i="8"/>
  <c r="E253" i="8"/>
  <c r="B252" i="8"/>
  <c r="C252" i="8"/>
  <c r="D252" i="8"/>
  <c r="E252" i="8"/>
  <c r="B251" i="8"/>
  <c r="C251" i="8"/>
  <c r="D251" i="8"/>
  <c r="E251" i="8"/>
  <c r="B250" i="8"/>
  <c r="B249" i="8"/>
  <c r="B248" i="8"/>
  <c r="B247" i="8"/>
  <c r="B246" i="8"/>
  <c r="B245" i="8"/>
  <c r="B244" i="8"/>
  <c r="B243" i="8"/>
  <c r="B242" i="8"/>
  <c r="B241" i="8"/>
  <c r="C241" i="8"/>
  <c r="D241" i="8"/>
  <c r="E241" i="8"/>
  <c r="B240" i="8"/>
  <c r="C240" i="8"/>
  <c r="D240" i="8"/>
  <c r="E240" i="8"/>
  <c r="B239" i="8"/>
  <c r="C239" i="8"/>
  <c r="D239" i="8"/>
  <c r="E239" i="8"/>
  <c r="B216" i="8"/>
  <c r="B215" i="8"/>
  <c r="B214" i="8"/>
  <c r="B213" i="8"/>
  <c r="B212" i="8"/>
  <c r="B211" i="8"/>
  <c r="C211" i="8"/>
  <c r="D211" i="8"/>
  <c r="E211" i="8"/>
  <c r="B210" i="8"/>
  <c r="C210" i="8"/>
  <c r="D210" i="8"/>
  <c r="E210" i="8"/>
  <c r="B209" i="8"/>
  <c r="C209" i="8"/>
  <c r="D209" i="8"/>
  <c r="E209" i="8"/>
  <c r="B208" i="8"/>
  <c r="C208" i="8"/>
  <c r="D208" i="8"/>
  <c r="E208" i="8"/>
  <c r="B207" i="8"/>
  <c r="C207" i="8"/>
  <c r="D207" i="8"/>
  <c r="E207" i="8"/>
  <c r="B206" i="8"/>
  <c r="C206" i="8"/>
  <c r="D206" i="8"/>
  <c r="E206" i="8"/>
  <c r="B205" i="8"/>
  <c r="C205" i="8"/>
  <c r="D205" i="8"/>
  <c r="E205" i="8"/>
  <c r="B204" i="8"/>
  <c r="C204" i="8"/>
  <c r="D204" i="8"/>
  <c r="E204" i="8"/>
  <c r="B203" i="8"/>
  <c r="C203" i="8"/>
  <c r="D203" i="8"/>
  <c r="E203" i="8"/>
  <c r="B202" i="8"/>
  <c r="C202" i="8"/>
  <c r="D202" i="8"/>
  <c r="E202" i="8"/>
  <c r="B201" i="8"/>
  <c r="C201" i="8"/>
  <c r="D201" i="8"/>
  <c r="E201" i="8"/>
  <c r="B200" i="8"/>
  <c r="C200" i="8"/>
  <c r="D200" i="8"/>
  <c r="E200" i="8"/>
  <c r="B199" i="8"/>
  <c r="C199" i="8"/>
  <c r="D199" i="8"/>
  <c r="E199" i="8"/>
  <c r="B198" i="8"/>
  <c r="C198" i="8"/>
  <c r="D198" i="8"/>
  <c r="E198" i="8"/>
  <c r="B197" i="8"/>
  <c r="C197" i="8"/>
  <c r="D197" i="8"/>
  <c r="E197" i="8"/>
  <c r="B196" i="8"/>
  <c r="C196" i="8"/>
  <c r="D196" i="8"/>
  <c r="E196" i="8"/>
  <c r="B195" i="8"/>
  <c r="C195" i="8"/>
  <c r="D195" i="8"/>
  <c r="E195" i="8"/>
  <c r="B194" i="8"/>
  <c r="C194" i="8"/>
  <c r="D194" i="8"/>
  <c r="E194" i="8"/>
  <c r="B193" i="8"/>
  <c r="C193" i="8"/>
  <c r="D193" i="8"/>
  <c r="E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C181" i="8"/>
  <c r="D181" i="8"/>
  <c r="E181" i="8"/>
  <c r="B180" i="8"/>
  <c r="C180" i="8"/>
  <c r="D180" i="8"/>
  <c r="E180" i="8"/>
  <c r="B179" i="8"/>
  <c r="C179" i="8"/>
  <c r="D179" i="8"/>
  <c r="E179" i="8"/>
  <c r="B178" i="8"/>
  <c r="C178" i="8"/>
  <c r="D178" i="8"/>
  <c r="E178" i="8"/>
  <c r="B177" i="8"/>
  <c r="C177" i="8"/>
  <c r="D177" i="8"/>
  <c r="E177" i="8"/>
  <c r="B176" i="8"/>
  <c r="C176" i="8"/>
  <c r="D176" i="8"/>
  <c r="E176" i="8"/>
  <c r="B175" i="8"/>
  <c r="C175" i="8"/>
  <c r="D175" i="8"/>
  <c r="E175" i="8"/>
  <c r="B174" i="8"/>
  <c r="C174" i="8"/>
  <c r="D174" i="8"/>
  <c r="E174" i="8"/>
  <c r="B173" i="8"/>
  <c r="C173" i="8"/>
  <c r="D173" i="8"/>
  <c r="E173" i="8"/>
  <c r="B172" i="8"/>
  <c r="C172" i="8"/>
  <c r="D172" i="8"/>
  <c r="E172" i="8"/>
  <c r="B171" i="8"/>
  <c r="C171" i="8"/>
  <c r="D171" i="8"/>
  <c r="E171" i="8"/>
  <c r="B170" i="8"/>
  <c r="C170" i="8"/>
  <c r="D170" i="8"/>
  <c r="E170" i="8"/>
  <c r="B169" i="8"/>
  <c r="C169" i="8"/>
  <c r="D169" i="8"/>
  <c r="E169" i="8"/>
  <c r="B168" i="8"/>
  <c r="C168" i="8"/>
  <c r="D168" i="8"/>
  <c r="E168" i="8"/>
  <c r="B167" i="8"/>
  <c r="C167" i="8"/>
  <c r="D167" i="8"/>
  <c r="E167" i="8"/>
  <c r="B166" i="8"/>
  <c r="C166" i="8"/>
  <c r="D166" i="8"/>
  <c r="E166" i="8"/>
  <c r="B165" i="8"/>
  <c r="C165" i="8"/>
  <c r="D165" i="8"/>
  <c r="E165" i="8"/>
  <c r="B164" i="8"/>
  <c r="C164" i="8"/>
  <c r="D164" i="8"/>
  <c r="E164" i="8"/>
  <c r="B163" i="8"/>
  <c r="C163" i="8"/>
  <c r="D163" i="8"/>
  <c r="E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C151" i="8"/>
  <c r="D151" i="8"/>
  <c r="E151" i="8"/>
  <c r="B150" i="8"/>
  <c r="C150" i="8"/>
  <c r="D150" i="8"/>
  <c r="E150" i="8"/>
  <c r="B149" i="8"/>
  <c r="C149" i="8"/>
  <c r="D149" i="8"/>
  <c r="E149" i="8"/>
  <c r="B148" i="8"/>
  <c r="C148" i="8"/>
  <c r="D148" i="8"/>
  <c r="E148" i="8"/>
  <c r="B147" i="8"/>
  <c r="C147" i="8"/>
  <c r="D147" i="8"/>
  <c r="E147" i="8"/>
  <c r="B146" i="8"/>
  <c r="C146" i="8"/>
  <c r="D146" i="8"/>
  <c r="E146" i="8"/>
  <c r="B145" i="8"/>
  <c r="C145" i="8"/>
  <c r="D145" i="8"/>
  <c r="E145" i="8"/>
  <c r="B144" i="8"/>
  <c r="C144" i="8"/>
  <c r="D144" i="8"/>
  <c r="E144" i="8"/>
  <c r="B143" i="8"/>
  <c r="C143" i="8"/>
  <c r="D143" i="8"/>
  <c r="E143" i="8"/>
  <c r="B142" i="8"/>
  <c r="C142" i="8"/>
  <c r="D142" i="8"/>
  <c r="E142" i="8"/>
  <c r="B141" i="8"/>
  <c r="C141" i="8"/>
  <c r="D141" i="8"/>
  <c r="E141" i="8"/>
  <c r="B140" i="8"/>
  <c r="C140" i="8"/>
  <c r="D140" i="8"/>
  <c r="E140" i="8"/>
  <c r="B139" i="8"/>
  <c r="C139" i="8"/>
  <c r="D139" i="8"/>
  <c r="E139" i="8"/>
  <c r="B138" i="8"/>
  <c r="C138" i="8"/>
  <c r="D138" i="8"/>
  <c r="E138" i="8"/>
  <c r="B137" i="8"/>
  <c r="C137" i="8"/>
  <c r="D137" i="8"/>
  <c r="E137" i="8"/>
  <c r="B136" i="8"/>
  <c r="C136" i="8"/>
  <c r="D136" i="8"/>
  <c r="E136" i="8"/>
  <c r="B135" i="8"/>
  <c r="C135" i="8"/>
  <c r="D135" i="8"/>
  <c r="E135" i="8"/>
  <c r="B134" i="8"/>
  <c r="C134" i="8"/>
  <c r="D134" i="8"/>
  <c r="E134" i="8"/>
  <c r="B133" i="8"/>
  <c r="C133" i="8"/>
  <c r="D133" i="8"/>
  <c r="E133" i="8"/>
  <c r="B132" i="8"/>
  <c r="C132" i="8"/>
  <c r="D132" i="8"/>
  <c r="E132" i="8"/>
  <c r="B131" i="8"/>
  <c r="C131" i="8"/>
  <c r="D131" i="8"/>
  <c r="E131" i="8"/>
  <c r="B130" i="8"/>
  <c r="B129" i="8"/>
  <c r="B128" i="8"/>
  <c r="B127" i="8"/>
  <c r="B126" i="8"/>
  <c r="B125" i="8"/>
  <c r="B124" i="8"/>
  <c r="B177" i="7"/>
  <c r="C177" i="7"/>
  <c r="F177" i="7"/>
  <c r="H177" i="7" s="1"/>
  <c r="G177" i="7"/>
  <c r="A238" i="15"/>
  <c r="B238" i="15"/>
  <c r="C238" i="15"/>
  <c r="D238" i="15"/>
  <c r="E238" i="15"/>
  <c r="F238" i="15"/>
  <c r="B173" i="7"/>
  <c r="C173" i="7"/>
  <c r="F173" i="7"/>
  <c r="H173" i="7" s="1"/>
  <c r="G173" i="7"/>
  <c r="A234" i="15"/>
  <c r="B234" i="15"/>
  <c r="C234" i="15"/>
  <c r="D234" i="15"/>
  <c r="E234" i="15"/>
  <c r="F234" i="15"/>
  <c r="B172" i="7"/>
  <c r="C172" i="7"/>
  <c r="F172" i="7"/>
  <c r="H172" i="7" s="1"/>
  <c r="G172" i="7"/>
  <c r="A233" i="15"/>
  <c r="B233" i="15"/>
  <c r="C233" i="15"/>
  <c r="D233" i="15"/>
  <c r="E233" i="15"/>
  <c r="F233" i="15"/>
  <c r="B123" i="8"/>
  <c r="B122" i="8"/>
  <c r="B121" i="8"/>
  <c r="C121" i="8"/>
  <c r="D121" i="8"/>
  <c r="E121" i="8"/>
  <c r="B120" i="8"/>
  <c r="C120" i="8"/>
  <c r="D120" i="8"/>
  <c r="E120" i="8"/>
  <c r="B119" i="8"/>
  <c r="C119" i="8"/>
  <c r="D119" i="8"/>
  <c r="E119" i="8"/>
  <c r="B118" i="8"/>
  <c r="C118" i="8"/>
  <c r="D118" i="8"/>
  <c r="E118" i="8"/>
  <c r="B117" i="8"/>
  <c r="C117" i="8"/>
  <c r="D117" i="8"/>
  <c r="E117" i="8"/>
  <c r="B116" i="8"/>
  <c r="C116" i="8"/>
  <c r="D116" i="8"/>
  <c r="E116" i="8"/>
  <c r="B115" i="8"/>
  <c r="C115" i="8"/>
  <c r="D115" i="8"/>
  <c r="E115" i="8"/>
  <c r="B114" i="8"/>
  <c r="C114" i="8"/>
  <c r="D114" i="8"/>
  <c r="E114" i="8"/>
  <c r="B113" i="8"/>
  <c r="C113" i="8"/>
  <c r="D113" i="8"/>
  <c r="E113" i="8"/>
  <c r="B112" i="8"/>
  <c r="C112" i="8"/>
  <c r="D112" i="8"/>
  <c r="E112" i="8"/>
  <c r="B111" i="8"/>
  <c r="C111" i="8"/>
  <c r="D111" i="8"/>
  <c r="E111" i="8"/>
  <c r="B110" i="8"/>
  <c r="C110" i="8"/>
  <c r="D110" i="8"/>
  <c r="E110" i="8"/>
  <c r="B109" i="8"/>
  <c r="C109" i="8"/>
  <c r="D109" i="8"/>
  <c r="E109" i="8"/>
  <c r="B108" i="8"/>
  <c r="C108" i="8"/>
  <c r="D108" i="8"/>
  <c r="E108" i="8"/>
  <c r="B107" i="8"/>
  <c r="C107" i="8"/>
  <c r="D107" i="8"/>
  <c r="E107" i="8"/>
  <c r="B106" i="8"/>
  <c r="C106" i="8"/>
  <c r="D106" i="8"/>
  <c r="E106" i="8"/>
  <c r="B105" i="8"/>
  <c r="C105" i="8"/>
  <c r="D105" i="8"/>
  <c r="E105" i="8"/>
  <c r="B104" i="8"/>
  <c r="C104" i="8"/>
  <c r="D104" i="8"/>
  <c r="E104" i="8"/>
  <c r="B103" i="8"/>
  <c r="C103" i="8"/>
  <c r="D103" i="8"/>
  <c r="E103" i="8"/>
  <c r="B102" i="8"/>
  <c r="C102" i="8"/>
  <c r="D102" i="8"/>
  <c r="E102" i="8"/>
  <c r="B101" i="8"/>
  <c r="C101" i="8"/>
  <c r="D101" i="8"/>
  <c r="E101" i="8"/>
  <c r="B100" i="8"/>
  <c r="B99" i="8"/>
  <c r="B98" i="8"/>
  <c r="B97" i="8"/>
  <c r="B96" i="8"/>
  <c r="B95" i="8"/>
  <c r="B94" i="8"/>
  <c r="B93" i="8"/>
  <c r="B92" i="8"/>
  <c r="B91" i="8"/>
  <c r="C91" i="8"/>
  <c r="D91" i="8"/>
  <c r="E91" i="8"/>
  <c r="B90" i="8"/>
  <c r="C90" i="8"/>
  <c r="D90" i="8"/>
  <c r="E90" i="8"/>
  <c r="B89" i="8"/>
  <c r="C89" i="8"/>
  <c r="D89" i="8"/>
  <c r="E89" i="8"/>
  <c r="B88" i="8"/>
  <c r="C88" i="8"/>
  <c r="D88" i="8"/>
  <c r="E88" i="8"/>
  <c r="B87" i="8"/>
  <c r="C87" i="8"/>
  <c r="D87" i="8"/>
  <c r="E87" i="8"/>
  <c r="B86" i="8"/>
  <c r="C86" i="8"/>
  <c r="D86" i="8"/>
  <c r="E86" i="8"/>
  <c r="B85" i="8"/>
  <c r="C85" i="8"/>
  <c r="D85" i="8"/>
  <c r="E85" i="8"/>
  <c r="B84" i="8"/>
  <c r="C84" i="8"/>
  <c r="D84" i="8"/>
  <c r="E84" i="8"/>
  <c r="B83" i="8"/>
  <c r="C83" i="8"/>
  <c r="D83" i="8"/>
  <c r="E83" i="8"/>
  <c r="B82" i="8"/>
  <c r="C82" i="8"/>
  <c r="D82" i="8"/>
  <c r="E82" i="8"/>
  <c r="B81" i="8"/>
  <c r="C81" i="8"/>
  <c r="D81" i="8"/>
  <c r="E81" i="8"/>
  <c r="B80" i="8"/>
  <c r="C80" i="8"/>
  <c r="D80" i="8"/>
  <c r="E80" i="8"/>
  <c r="B79" i="8"/>
  <c r="C79" i="8"/>
  <c r="D79" i="8"/>
  <c r="E79" i="8"/>
  <c r="B78" i="8"/>
  <c r="C78" i="8"/>
  <c r="D78" i="8"/>
  <c r="E78" i="8"/>
  <c r="B77" i="8"/>
  <c r="C77" i="8"/>
  <c r="D77" i="8"/>
  <c r="E77" i="8"/>
  <c r="B76" i="8"/>
  <c r="C76" i="8"/>
  <c r="D76" i="8"/>
  <c r="E76" i="8"/>
  <c r="B75" i="8"/>
  <c r="C75" i="8"/>
  <c r="D75" i="8"/>
  <c r="E75" i="8"/>
  <c r="B74" i="8"/>
  <c r="B73" i="8"/>
  <c r="B72" i="8"/>
  <c r="B71" i="8"/>
  <c r="B70" i="8"/>
  <c r="B69" i="8"/>
  <c r="B68" i="8"/>
  <c r="B67" i="8"/>
  <c r="B66" i="8"/>
  <c r="C66" i="8"/>
  <c r="B65" i="8"/>
  <c r="B64" i="8"/>
  <c r="B63" i="8"/>
  <c r="B62" i="8"/>
  <c r="B61" i="8"/>
  <c r="C61" i="8"/>
  <c r="D61" i="8"/>
  <c r="E61" i="8"/>
  <c r="B60" i="8"/>
  <c r="C60" i="8"/>
  <c r="D60" i="8"/>
  <c r="E60" i="8"/>
  <c r="B59" i="8"/>
  <c r="C59" i="8"/>
  <c r="D59" i="8"/>
  <c r="E59" i="8"/>
  <c r="B58" i="8"/>
  <c r="C58" i="8"/>
  <c r="D58" i="8"/>
  <c r="E58" i="8"/>
  <c r="B57" i="8"/>
  <c r="C57" i="8"/>
  <c r="D57" i="8"/>
  <c r="E57" i="8"/>
  <c r="B56" i="8"/>
  <c r="C56" i="8"/>
  <c r="D56" i="8"/>
  <c r="E56" i="8"/>
  <c r="B55" i="8"/>
  <c r="C55" i="8"/>
  <c r="D55" i="8"/>
  <c r="E55" i="8"/>
  <c r="B54" i="8"/>
  <c r="C54" i="8"/>
  <c r="D54" i="8"/>
  <c r="E54" i="8"/>
  <c r="B53" i="8"/>
  <c r="C53" i="8"/>
  <c r="D53" i="8"/>
  <c r="E53" i="8"/>
  <c r="B52" i="8"/>
  <c r="C52" i="8"/>
  <c r="D52" i="8"/>
  <c r="E52" i="8"/>
  <c r="B51" i="8"/>
  <c r="C51" i="8"/>
  <c r="D51" i="8"/>
  <c r="E51" i="8"/>
  <c r="B50" i="8"/>
  <c r="C50" i="8"/>
  <c r="D50" i="8"/>
  <c r="E50" i="8"/>
  <c r="B49" i="8"/>
  <c r="C49" i="8"/>
  <c r="D49" i="8"/>
  <c r="E49" i="8"/>
  <c r="B48" i="8"/>
  <c r="C48" i="8"/>
  <c r="D48" i="8"/>
  <c r="E48" i="8"/>
  <c r="B47" i="8"/>
  <c r="C47" i="8"/>
  <c r="D47" i="8"/>
  <c r="E47" i="8"/>
  <c r="B46" i="8"/>
  <c r="C46" i="8"/>
  <c r="D46" i="8"/>
  <c r="E46" i="8"/>
  <c r="B45" i="8"/>
  <c r="C45" i="8"/>
  <c r="D45" i="8"/>
  <c r="E45" i="8"/>
  <c r="B44" i="8"/>
  <c r="C44" i="8"/>
  <c r="D44" i="8"/>
  <c r="E44" i="8"/>
  <c r="B43" i="8"/>
  <c r="C43" i="8"/>
  <c r="D43" i="8"/>
  <c r="E43" i="8"/>
  <c r="B42" i="8"/>
  <c r="C42" i="8"/>
  <c r="D42" i="8"/>
  <c r="E42" i="8"/>
  <c r="B41" i="8"/>
  <c r="B40" i="8"/>
  <c r="B39" i="8"/>
  <c r="B38" i="8"/>
  <c r="B37" i="8"/>
  <c r="B36" i="8"/>
  <c r="B35" i="8"/>
  <c r="B34" i="8"/>
  <c r="B33" i="8"/>
  <c r="B32" i="8"/>
  <c r="B31" i="8"/>
  <c r="C31" i="8"/>
  <c r="D31" i="8"/>
  <c r="E31" i="8"/>
  <c r="B30" i="8"/>
  <c r="C30" i="8"/>
  <c r="D30" i="8"/>
  <c r="E30" i="8"/>
  <c r="B29" i="8"/>
  <c r="C29" i="8"/>
  <c r="D29" i="8"/>
  <c r="E29" i="8"/>
  <c r="B28" i="8"/>
  <c r="C28" i="8"/>
  <c r="D28" i="8"/>
  <c r="E28" i="8"/>
  <c r="B27" i="8"/>
  <c r="C27" i="8"/>
  <c r="D27" i="8"/>
  <c r="E27" i="8"/>
  <c r="B26" i="8"/>
  <c r="C26" i="8"/>
  <c r="D26" i="8"/>
  <c r="E26" i="8"/>
  <c r="B25" i="8"/>
  <c r="C25" i="8"/>
  <c r="D25" i="8"/>
  <c r="E25" i="8"/>
  <c r="B24" i="8"/>
  <c r="C24" i="8"/>
  <c r="D24" i="8"/>
  <c r="E24" i="8"/>
  <c r="B23" i="8"/>
  <c r="C23" i="8"/>
  <c r="D23" i="8"/>
  <c r="E23" i="8"/>
  <c r="B22" i="8"/>
  <c r="C22" i="8"/>
  <c r="D22" i="8"/>
  <c r="E22" i="8"/>
  <c r="B21" i="8"/>
  <c r="C21" i="8"/>
  <c r="D21" i="8"/>
  <c r="E21" i="8"/>
  <c r="B20" i="8"/>
  <c r="C20" i="8"/>
  <c r="D20" i="8"/>
  <c r="E20" i="8"/>
  <c r="B19" i="8"/>
  <c r="C19" i="8"/>
  <c r="D19" i="8"/>
  <c r="E19" i="8"/>
  <c r="B18" i="8"/>
  <c r="C18" i="8"/>
  <c r="D18" i="8"/>
  <c r="E18" i="8"/>
  <c r="B17" i="8"/>
  <c r="C17" i="8"/>
  <c r="D17" i="8"/>
  <c r="E17" i="8"/>
  <c r="B16" i="8"/>
  <c r="C16" i="8"/>
  <c r="D16" i="8"/>
  <c r="E16" i="8"/>
  <c r="B15" i="8"/>
  <c r="C15" i="8"/>
  <c r="D15" i="8"/>
  <c r="E15" i="8"/>
  <c r="B14" i="8"/>
  <c r="C14" i="8"/>
  <c r="D14" i="8"/>
  <c r="E14" i="8"/>
  <c r="B13" i="8"/>
  <c r="C13" i="8"/>
  <c r="D13" i="8"/>
  <c r="E13" i="8"/>
  <c r="B12" i="8"/>
  <c r="C12" i="8"/>
  <c r="D12" i="8"/>
  <c r="E12" i="8"/>
  <c r="B11" i="8"/>
  <c r="B10" i="8"/>
  <c r="B9" i="8"/>
  <c r="B8" i="8"/>
  <c r="B7" i="8"/>
  <c r="B6" i="8"/>
  <c r="B5" i="8"/>
  <c r="B4" i="8"/>
  <c r="B3" i="8"/>
  <c r="B2" i="8"/>
  <c r="B171" i="7"/>
  <c r="C171" i="7"/>
  <c r="F171" i="7"/>
  <c r="H171" i="7" s="1"/>
  <c r="G171" i="7"/>
  <c r="A232" i="15"/>
  <c r="B232" i="15"/>
  <c r="C232" i="15"/>
  <c r="D232" i="15"/>
  <c r="E232" i="15"/>
  <c r="F232" i="15"/>
  <c r="D3" i="3"/>
  <c r="D5" i="3"/>
  <c r="D8" i="3"/>
  <c r="D12" i="3"/>
  <c r="D15" i="3"/>
  <c r="D14" i="3"/>
  <c r="D2" i="3"/>
  <c r="D4" i="3"/>
  <c r="D6" i="3"/>
  <c r="D7" i="3"/>
  <c r="D10" i="3"/>
  <c r="D11" i="3"/>
  <c r="D13" i="3"/>
  <c r="D16" i="3"/>
  <c r="D9" i="3"/>
  <c r="D17" i="3"/>
  <c r="D416" i="15"/>
  <c r="B416" i="15"/>
  <c r="D415" i="15"/>
  <c r="B415" i="15"/>
  <c r="D412" i="15"/>
  <c r="B412" i="15"/>
  <c r="D365" i="15"/>
  <c r="B365" i="15"/>
  <c r="G340" i="5"/>
  <c r="G339" i="5"/>
  <c r="G311" i="5"/>
  <c r="G309" i="5"/>
  <c r="G307" i="5"/>
  <c r="G306" i="5"/>
  <c r="G280" i="5"/>
  <c r="G275" i="5"/>
  <c r="G272" i="5"/>
  <c r="G64" i="5"/>
  <c r="G33" i="5"/>
  <c r="G32" i="5"/>
  <c r="G8" i="5"/>
  <c r="G308" i="5"/>
  <c r="G304" i="5"/>
  <c r="F16" i="13"/>
  <c r="G372" i="5"/>
  <c r="G370" i="5"/>
  <c r="G368" i="5"/>
  <c r="G367" i="5"/>
  <c r="G366" i="5"/>
  <c r="G365" i="5"/>
  <c r="G364" i="5"/>
  <c r="G363" i="5"/>
  <c r="G362" i="5"/>
  <c r="G336" i="5"/>
  <c r="G335" i="5"/>
  <c r="G332" i="5"/>
  <c r="F66" i="13"/>
  <c r="G341" i="5"/>
  <c r="G337" i="5"/>
  <c r="G305" i="5"/>
  <c r="G302" i="5"/>
  <c r="G274" i="5"/>
  <c r="G245" i="5"/>
  <c r="G244" i="5"/>
  <c r="G92" i="5"/>
  <c r="G72" i="5"/>
  <c r="G69" i="5"/>
  <c r="G68" i="5"/>
  <c r="G63" i="5"/>
  <c r="G37" i="5"/>
  <c r="G11" i="5"/>
  <c r="G7" i="5"/>
  <c r="G6" i="5"/>
  <c r="G5" i="5"/>
  <c r="G3" i="5"/>
  <c r="G461" i="5"/>
  <c r="C461" i="8" s="1"/>
  <c r="G460" i="5"/>
  <c r="C460" i="8" s="1"/>
  <c r="G459" i="5"/>
  <c r="C459" i="8" s="1"/>
  <c r="G458" i="5"/>
  <c r="C458" i="8" s="1"/>
  <c r="G457" i="5"/>
  <c r="G456" i="5"/>
  <c r="G455" i="5"/>
  <c r="G454" i="5"/>
  <c r="G453" i="5"/>
  <c r="G452" i="5"/>
  <c r="G431" i="5"/>
  <c r="G430" i="5"/>
  <c r="G429" i="5"/>
  <c r="G428" i="5"/>
  <c r="G427" i="5"/>
  <c r="G426" i="5"/>
  <c r="G425" i="5"/>
  <c r="G424" i="5"/>
  <c r="G423" i="5"/>
  <c r="G422" i="5"/>
  <c r="G401" i="5"/>
  <c r="G400" i="5"/>
  <c r="G399" i="5"/>
  <c r="G398" i="5"/>
  <c r="G397" i="5"/>
  <c r="G396" i="5"/>
  <c r="G395" i="5"/>
  <c r="G394" i="5"/>
  <c r="G393" i="5"/>
  <c r="G392" i="5"/>
  <c r="G371" i="5"/>
  <c r="G369" i="5"/>
  <c r="G334" i="5"/>
  <c r="G333" i="5"/>
  <c r="G281" i="5"/>
  <c r="G278" i="5"/>
  <c r="G277" i="5"/>
  <c r="G276" i="5"/>
  <c r="G273" i="5"/>
  <c r="G249" i="5"/>
  <c r="G247" i="5"/>
  <c r="G243" i="5"/>
  <c r="G242" i="5"/>
  <c r="G71" i="5"/>
  <c r="G70" i="5"/>
  <c r="G62" i="5"/>
  <c r="G41" i="5"/>
  <c r="G40" i="5"/>
  <c r="G39" i="5"/>
  <c r="G36" i="5"/>
  <c r="G10" i="5"/>
  <c r="G2" i="5"/>
  <c r="G217" i="5"/>
  <c r="C217" i="8" s="1"/>
  <c r="G216" i="5"/>
  <c r="G215" i="5"/>
  <c r="G214" i="5"/>
  <c r="G213" i="5"/>
  <c r="G212" i="5"/>
  <c r="G192" i="5"/>
  <c r="G191" i="5"/>
  <c r="G190" i="5"/>
  <c r="G189" i="5"/>
  <c r="G188" i="5"/>
  <c r="G187" i="5"/>
  <c r="G186" i="5"/>
  <c r="G185" i="5"/>
  <c r="G184" i="5"/>
  <c r="G183" i="5"/>
  <c r="G182" i="5"/>
  <c r="G162" i="5"/>
  <c r="G161" i="5"/>
  <c r="G160" i="5"/>
  <c r="G159" i="5"/>
  <c r="G158" i="5"/>
  <c r="G157" i="5"/>
  <c r="G156" i="5"/>
  <c r="G155" i="5"/>
  <c r="G154" i="5"/>
  <c r="G153" i="5"/>
  <c r="G152" i="5"/>
  <c r="G130" i="5"/>
  <c r="G129" i="5"/>
  <c r="G128" i="5"/>
  <c r="G127" i="5"/>
  <c r="G126" i="5"/>
  <c r="G125" i="5"/>
  <c r="G124" i="5"/>
  <c r="G123" i="5"/>
  <c r="G122" i="5"/>
  <c r="G100" i="5"/>
  <c r="G99" i="5"/>
  <c r="G98" i="5"/>
  <c r="G97" i="5"/>
  <c r="G96" i="5"/>
  <c r="G95" i="5"/>
  <c r="G94" i="5"/>
  <c r="G93" i="5"/>
  <c r="G67" i="5"/>
  <c r="G4" i="5"/>
  <c r="G16" i="13"/>
  <c r="G67" i="13"/>
  <c r="G66" i="13"/>
  <c r="G63" i="13"/>
  <c r="F63" i="13"/>
  <c r="F124" i="15" l="1"/>
  <c r="H63" i="7"/>
  <c r="F64" i="7"/>
  <c r="C64" i="7"/>
  <c r="C125" i="15" s="1"/>
  <c r="F66" i="7"/>
  <c r="B127" i="15"/>
  <c r="C66" i="7"/>
  <c r="C127" i="15" s="1"/>
  <c r="B126" i="15"/>
  <c r="F65" i="7"/>
  <c r="C65" i="7"/>
  <c r="C126" i="15" s="1"/>
  <c r="B104" i="15"/>
  <c r="F43" i="7"/>
  <c r="C43" i="7"/>
  <c r="C104" i="15" s="1"/>
  <c r="B107" i="15"/>
  <c r="C46" i="7"/>
  <c r="C107" i="15" s="1"/>
  <c r="F46" i="7"/>
  <c r="F45" i="7"/>
  <c r="C45" i="7"/>
  <c r="C106" i="15" s="1"/>
  <c r="B106" i="15"/>
  <c r="F47" i="7"/>
  <c r="C47" i="7"/>
  <c r="C108" i="15" s="1"/>
  <c r="B108" i="15"/>
  <c r="F44" i="7"/>
  <c r="C44" i="7"/>
  <c r="C105" i="15" s="1"/>
  <c r="F30" i="7"/>
  <c r="B91" i="15"/>
  <c r="B90" i="15"/>
  <c r="F29" i="7"/>
  <c r="D152" i="8" s="1"/>
  <c r="E152" i="8" s="1"/>
  <c r="F27" i="7"/>
  <c r="B88" i="15"/>
  <c r="C30" i="7"/>
  <c r="C91" i="15" s="1"/>
  <c r="C29" i="7"/>
  <c r="C90" i="15" s="1"/>
  <c r="C27" i="7"/>
  <c r="C88" i="15" s="1"/>
  <c r="B96" i="15"/>
  <c r="F35" i="7"/>
  <c r="B95" i="15"/>
  <c r="F34" i="7"/>
  <c r="D161" i="8" s="1"/>
  <c r="E161" i="8" s="1"/>
  <c r="C34" i="7"/>
  <c r="C95" i="15" s="1"/>
  <c r="B94" i="15"/>
  <c r="F33" i="7"/>
  <c r="C33" i="7"/>
  <c r="C94" i="15" s="1"/>
  <c r="B93" i="15"/>
  <c r="F32" i="7"/>
  <c r="D153" i="8" s="1"/>
  <c r="E153" i="8" s="1"/>
  <c r="C32" i="7"/>
  <c r="C93" i="15" s="1"/>
  <c r="C35" i="7"/>
  <c r="C96" i="15" s="1"/>
  <c r="B92" i="15"/>
  <c r="F31" i="7"/>
  <c r="C31" i="7"/>
  <c r="C92" i="15" s="1"/>
  <c r="H30" i="7"/>
  <c r="F91" i="15"/>
  <c r="F28" i="7"/>
  <c r="C28" i="7"/>
  <c r="C89" i="15" s="1"/>
  <c r="F88" i="15"/>
  <c r="H27" i="7"/>
  <c r="H29" i="7"/>
  <c r="F90" i="15"/>
  <c r="D250" i="8"/>
  <c r="E250" i="8" s="1"/>
  <c r="D74" i="8"/>
  <c r="E74" i="8" s="1"/>
  <c r="B423" i="15"/>
  <c r="C74" i="13"/>
  <c r="C423" i="15" s="1"/>
  <c r="D423" i="15"/>
  <c r="F74" i="13"/>
  <c r="G74" i="13"/>
  <c r="C77" i="13"/>
  <c r="C426" i="15" s="1"/>
  <c r="B426" i="15"/>
  <c r="G77" i="13"/>
  <c r="F77" i="13"/>
  <c r="D426" i="15"/>
  <c r="C15" i="7"/>
  <c r="C76" i="15" s="1"/>
  <c r="F14" i="7"/>
  <c r="D458" i="8" s="1"/>
  <c r="E458" i="8" s="1"/>
  <c r="F19" i="7"/>
  <c r="G19" i="7"/>
  <c r="D160" i="15"/>
  <c r="G99" i="7"/>
  <c r="F99" i="7"/>
  <c r="F18" i="7"/>
  <c r="G18" i="7"/>
  <c r="F15" i="7"/>
  <c r="G15" i="7"/>
  <c r="G3" i="7"/>
  <c r="F3" i="7"/>
  <c r="C28" i="13"/>
  <c r="C377" i="15" s="1"/>
  <c r="C27" i="13"/>
  <c r="C376" i="15" s="1"/>
  <c r="G15" i="13"/>
  <c r="F15" i="13"/>
  <c r="D364" i="15"/>
  <c r="D351" i="15"/>
  <c r="G2" i="13"/>
  <c r="F2" i="13"/>
  <c r="B351" i="15"/>
  <c r="C2" i="13"/>
  <c r="C351" i="15" s="1"/>
  <c r="F62" i="13"/>
  <c r="D411" i="15"/>
  <c r="G62" i="13"/>
  <c r="B411" i="15"/>
  <c r="C63" i="13"/>
  <c r="C412" i="15" s="1"/>
  <c r="C62" i="13"/>
  <c r="C411" i="15" s="1"/>
  <c r="G28" i="13"/>
  <c r="D377" i="15"/>
  <c r="F28" i="13"/>
  <c r="G27" i="13"/>
  <c r="F27" i="13"/>
  <c r="G26" i="13"/>
  <c r="F26" i="13"/>
  <c r="F19" i="13"/>
  <c r="G19" i="13"/>
  <c r="F18" i="13"/>
  <c r="G18" i="13"/>
  <c r="F76" i="13"/>
  <c r="G76" i="13"/>
  <c r="C102" i="7"/>
  <c r="C163" i="15" s="1"/>
  <c r="G101" i="7"/>
  <c r="F101" i="7"/>
  <c r="C101" i="7"/>
  <c r="C162" i="15" s="1"/>
  <c r="G100" i="7"/>
  <c r="F100" i="7"/>
  <c r="C100" i="7"/>
  <c r="C161" i="15" s="1"/>
  <c r="C99" i="7"/>
  <c r="C160" i="15" s="1"/>
  <c r="G98" i="7"/>
  <c r="F98" i="7"/>
  <c r="D363" i="8" s="1"/>
  <c r="C98" i="7"/>
  <c r="C159" i="15" s="1"/>
  <c r="F90" i="7"/>
  <c r="G88" i="7"/>
  <c r="F88" i="7"/>
  <c r="G87" i="7"/>
  <c r="F87" i="7"/>
  <c r="D65" i="8" s="1"/>
  <c r="E65" i="8" s="1"/>
  <c r="G79" i="7"/>
  <c r="F79" i="7"/>
  <c r="D6" i="8" s="1"/>
  <c r="E6" i="8" s="1"/>
  <c r="G76" i="7"/>
  <c r="F76" i="7"/>
  <c r="D4" i="8" s="1"/>
  <c r="E4" i="8" s="1"/>
  <c r="G75" i="7"/>
  <c r="F75" i="7"/>
  <c r="M5" i="10"/>
  <c r="C15" i="13"/>
  <c r="C364" i="15" s="1"/>
  <c r="M4" i="10"/>
  <c r="D123" i="15"/>
  <c r="B87" i="15"/>
  <c r="B377" i="15"/>
  <c r="D376" i="15"/>
  <c r="B376" i="15"/>
  <c r="D375" i="15"/>
  <c r="B375" i="15"/>
  <c r="D368" i="15"/>
  <c r="B368" i="15"/>
  <c r="D367" i="15"/>
  <c r="B367" i="15"/>
  <c r="C62" i="7"/>
  <c r="C123" i="15" s="1"/>
  <c r="F26" i="7"/>
  <c r="D127" i="8" s="1"/>
  <c r="E127" i="8" s="1"/>
  <c r="C26" i="7"/>
  <c r="C87" i="15" s="1"/>
  <c r="F62" i="7"/>
  <c r="G90" i="7"/>
  <c r="B123" i="15"/>
  <c r="B195" i="15"/>
  <c r="M17" i="10"/>
  <c r="G113" i="7"/>
  <c r="C3" i="7"/>
  <c r="C64" i="15" s="1"/>
  <c r="D195" i="15"/>
  <c r="G134" i="7"/>
  <c r="F134" i="7"/>
  <c r="C134" i="7"/>
  <c r="C195" i="15" s="1"/>
  <c r="G42" i="7"/>
  <c r="F42" i="7"/>
  <c r="F40" i="7"/>
  <c r="H40" i="7" s="1"/>
  <c r="G50" i="7"/>
  <c r="C50" i="7"/>
  <c r="C111" i="15" s="1"/>
  <c r="G41" i="7"/>
  <c r="F41" i="7"/>
  <c r="D248" i="8" s="1"/>
  <c r="E248" i="8" s="1"/>
  <c r="G40" i="7"/>
  <c r="G39" i="7"/>
  <c r="F39" i="7"/>
  <c r="G38" i="7"/>
  <c r="G89" i="7"/>
  <c r="F89" i="7"/>
  <c r="C89" i="7"/>
  <c r="C150" i="15" s="1"/>
  <c r="C88" i="7"/>
  <c r="C149" i="15" s="1"/>
  <c r="F50" i="7"/>
  <c r="D309" i="8" s="1"/>
  <c r="E309" i="8" s="1"/>
  <c r="G86" i="7"/>
  <c r="F86" i="7"/>
  <c r="D64" i="8" s="1"/>
  <c r="E64" i="8" s="1"/>
  <c r="C86" i="7"/>
  <c r="C147" i="15" s="1"/>
  <c r="C79" i="7"/>
  <c r="C140" i="15" s="1"/>
  <c r="C40" i="7"/>
  <c r="C101" i="15" s="1"/>
  <c r="G92" i="7"/>
  <c r="F92" i="7"/>
  <c r="C92" i="7"/>
  <c r="C153" i="15" s="1"/>
  <c r="G91" i="7"/>
  <c r="F91" i="7"/>
  <c r="C91" i="7"/>
  <c r="C152" i="15" s="1"/>
  <c r="C90" i="7"/>
  <c r="C151" i="15" s="1"/>
  <c r="G74" i="7"/>
  <c r="F74" i="7"/>
  <c r="C74" i="7"/>
  <c r="C135" i="15" s="1"/>
  <c r="G53" i="7"/>
  <c r="F53" i="7"/>
  <c r="C53" i="7"/>
  <c r="C114" i="15" s="1"/>
  <c r="G52" i="7"/>
  <c r="G51" i="7"/>
  <c r="G78" i="7"/>
  <c r="C75" i="7"/>
  <c r="C136" i="15" s="1"/>
  <c r="C42" i="7"/>
  <c r="C103" i="15" s="1"/>
  <c r="C87" i="7"/>
  <c r="C148" i="15" s="1"/>
  <c r="F52" i="7"/>
  <c r="F78" i="7"/>
  <c r="D5" i="8" s="1"/>
  <c r="E5" i="8" s="1"/>
  <c r="C78" i="7"/>
  <c r="C139" i="15" s="1"/>
  <c r="G77" i="7"/>
  <c r="F77" i="7"/>
  <c r="C77" i="7"/>
  <c r="C138" i="15" s="1"/>
  <c r="C76" i="7"/>
  <c r="C137" i="15" s="1"/>
  <c r="C38" i="7"/>
  <c r="C99" i="15" s="1"/>
  <c r="D113" i="15"/>
  <c r="F38" i="7"/>
  <c r="C39" i="7"/>
  <c r="C100" i="15" s="1"/>
  <c r="C41" i="7"/>
  <c r="C102" i="15" s="1"/>
  <c r="C183" i="7"/>
  <c r="D114" i="15"/>
  <c r="G7" i="7"/>
  <c r="M7" i="10"/>
  <c r="B114" i="15"/>
  <c r="F7" i="7"/>
  <c r="D103" i="15"/>
  <c r="B103" i="15"/>
  <c r="D102" i="15"/>
  <c r="B102" i="15"/>
  <c r="D101" i="15"/>
  <c r="B101" i="15"/>
  <c r="D425" i="15"/>
  <c r="B425" i="15"/>
  <c r="F246" i="15"/>
  <c r="H185" i="7"/>
  <c r="C186" i="7"/>
  <c r="C247" i="15" s="1"/>
  <c r="C185" i="7"/>
  <c r="C246" i="15" s="1"/>
  <c r="D244" i="15"/>
  <c r="B244" i="15"/>
  <c r="D245" i="15"/>
  <c r="B245" i="15"/>
  <c r="F184" i="7"/>
  <c r="C184" i="7"/>
  <c r="C245" i="15" s="1"/>
  <c r="F183" i="7"/>
  <c r="G184" i="7"/>
  <c r="D243" i="15"/>
  <c r="B243" i="15"/>
  <c r="G182" i="7"/>
  <c r="F182" i="7"/>
  <c r="C182" i="7"/>
  <c r="C243" i="15" s="1"/>
  <c r="C51" i="7"/>
  <c r="C112" i="15" s="1"/>
  <c r="D153" i="15"/>
  <c r="B153" i="15"/>
  <c r="D152" i="15"/>
  <c r="B152" i="15"/>
  <c r="D150" i="15"/>
  <c r="B150" i="15"/>
  <c r="D147" i="15"/>
  <c r="B147" i="15"/>
  <c r="D139" i="15"/>
  <c r="B139" i="15"/>
  <c r="D138" i="15"/>
  <c r="B138" i="15"/>
  <c r="D135" i="15"/>
  <c r="B135" i="15"/>
  <c r="C462" i="8"/>
  <c r="B424" i="15"/>
  <c r="F416" i="15"/>
  <c r="D401" i="15"/>
  <c r="B401" i="15"/>
  <c r="B399" i="15"/>
  <c r="B392" i="15"/>
  <c r="B390" i="15"/>
  <c r="B389" i="15"/>
  <c r="D387" i="15"/>
  <c r="B378" i="15"/>
  <c r="B370" i="15"/>
  <c r="B363" i="15"/>
  <c r="G75" i="13"/>
  <c r="C76" i="13"/>
  <c r="C425" i="15" s="1"/>
  <c r="F110" i="7"/>
  <c r="G104" i="7"/>
  <c r="C104" i="7"/>
  <c r="C165" i="15" s="1"/>
  <c r="C103" i="7"/>
  <c r="C164" i="15" s="1"/>
  <c r="F102" i="7"/>
  <c r="D424" i="15"/>
  <c r="D399" i="15"/>
  <c r="D392" i="15"/>
  <c r="D390" i="15"/>
  <c r="D389" i="15"/>
  <c r="B387" i="15"/>
  <c r="D378" i="15"/>
  <c r="D370" i="15"/>
  <c r="D363" i="15"/>
  <c r="C75" i="13"/>
  <c r="C424" i="15" s="1"/>
  <c r="F75" i="13"/>
  <c r="F21" i="13"/>
  <c r="G114" i="7"/>
  <c r="F114" i="7"/>
  <c r="G112" i="7"/>
  <c r="F112" i="7"/>
  <c r="C112" i="7"/>
  <c r="C173" i="15" s="1"/>
  <c r="G111" i="7"/>
  <c r="F111" i="7"/>
  <c r="C111" i="7"/>
  <c r="C172" i="15" s="1"/>
  <c r="G110" i="7"/>
  <c r="C110" i="7"/>
  <c r="C171" i="15" s="1"/>
  <c r="F104" i="7"/>
  <c r="G103" i="7"/>
  <c r="F103" i="7"/>
  <c r="G102" i="7"/>
  <c r="F51" i="7"/>
  <c r="H51" i="7" s="1"/>
  <c r="B369" i="15"/>
  <c r="G20" i="13"/>
  <c r="F20" i="13"/>
  <c r="B113" i="15"/>
  <c r="D112" i="15"/>
  <c r="B112" i="15"/>
  <c r="D111" i="15"/>
  <c r="B111" i="15"/>
  <c r="D100" i="15"/>
  <c r="B100" i="15"/>
  <c r="D99" i="15"/>
  <c r="B99" i="15"/>
  <c r="D78" i="15"/>
  <c r="B78" i="15"/>
  <c r="G17" i="7"/>
  <c r="F17" i="7"/>
  <c r="C52" i="7"/>
  <c r="D388" i="15"/>
  <c r="D391" i="15"/>
  <c r="B391" i="15"/>
  <c r="B388" i="15"/>
  <c r="C279" i="8"/>
  <c r="B402" i="15"/>
  <c r="D400" i="15"/>
  <c r="B353" i="15"/>
  <c r="C65" i="8"/>
  <c r="D353" i="15"/>
  <c r="C34" i="8"/>
  <c r="B400" i="15"/>
  <c r="C248" i="8"/>
  <c r="C73" i="8"/>
  <c r="C38" i="8"/>
  <c r="D79" i="15"/>
  <c r="D76" i="15"/>
  <c r="B76" i="15"/>
  <c r="D75" i="15"/>
  <c r="B75" i="15"/>
  <c r="D67" i="15"/>
  <c r="B67" i="15"/>
  <c r="D66" i="15"/>
  <c r="D64" i="15"/>
  <c r="B64" i="15"/>
  <c r="M2" i="10"/>
  <c r="C17" i="7"/>
  <c r="C78" i="15" s="1"/>
  <c r="G14" i="7"/>
  <c r="C14" i="7"/>
  <c r="C75" i="15" s="1"/>
  <c r="G6" i="7"/>
  <c r="F6" i="7"/>
  <c r="G3" i="13"/>
  <c r="C64" i="13"/>
  <c r="C413" i="15" s="1"/>
  <c r="F17" i="13"/>
  <c r="C114" i="7"/>
  <c r="C175" i="15" s="1"/>
  <c r="C66" i="13"/>
  <c r="C415" i="15" s="1"/>
  <c r="D80" i="15"/>
  <c r="B80" i="15"/>
  <c r="B79" i="15"/>
  <c r="D77" i="15"/>
  <c r="B77" i="15"/>
  <c r="D68" i="15"/>
  <c r="B68" i="15"/>
  <c r="D414" i="15"/>
  <c r="B413" i="15"/>
  <c r="D366" i="15"/>
  <c r="F16" i="7"/>
  <c r="F4" i="7"/>
  <c r="D394" i="8" s="1"/>
  <c r="G64" i="13"/>
  <c r="F113" i="7"/>
  <c r="M8" i="10"/>
  <c r="B414" i="15"/>
  <c r="B352" i="15"/>
  <c r="C16" i="7"/>
  <c r="C77" i="15" s="1"/>
  <c r="G4" i="7"/>
  <c r="C19" i="7"/>
  <c r="C80" i="15" s="1"/>
  <c r="F5" i="13"/>
  <c r="F64" i="13"/>
  <c r="C19" i="13"/>
  <c r="C368" i="15" s="1"/>
  <c r="G5" i="13"/>
  <c r="B65" i="15"/>
  <c r="D413" i="15"/>
  <c r="B366" i="15"/>
  <c r="B354" i="15"/>
  <c r="D352" i="15"/>
  <c r="F65" i="13"/>
  <c r="C65" i="13"/>
  <c r="C414" i="15" s="1"/>
  <c r="G17" i="13"/>
  <c r="C113" i="7"/>
  <c r="C174" i="15" s="1"/>
  <c r="C18" i="7"/>
  <c r="C79" i="15" s="1"/>
  <c r="F5" i="7"/>
  <c r="C5" i="7"/>
  <c r="C66" i="15" s="1"/>
  <c r="C21" i="13"/>
  <c r="C370" i="15" s="1"/>
  <c r="C5" i="13"/>
  <c r="C354" i="15" s="1"/>
  <c r="C67" i="13"/>
  <c r="C416" i="15" s="1"/>
  <c r="B66" i="15"/>
  <c r="D65" i="15"/>
  <c r="C9" i="8"/>
  <c r="C8" i="8"/>
  <c r="D354" i="15"/>
  <c r="F3" i="13"/>
  <c r="G16" i="7"/>
  <c r="C4" i="13"/>
  <c r="C353" i="15" s="1"/>
  <c r="C3" i="13"/>
  <c r="C352" i="15" s="1"/>
  <c r="G65" i="13"/>
  <c r="C6" i="7"/>
  <c r="C67" i="15" s="1"/>
  <c r="B63" i="15"/>
  <c r="D402" i="15"/>
  <c r="M15" i="10"/>
  <c r="D392" i="8"/>
  <c r="D372" i="8"/>
  <c r="D370" i="8"/>
  <c r="D367" i="8"/>
  <c r="D362" i="8"/>
  <c r="E362" i="8" s="1"/>
  <c r="C246" i="8"/>
  <c r="D242" i="8"/>
  <c r="E242" i="8" s="1"/>
  <c r="D216" i="8"/>
  <c r="D215" i="8"/>
  <c r="D214" i="8"/>
  <c r="D213" i="8"/>
  <c r="D212" i="8"/>
  <c r="D100" i="8"/>
  <c r="E100" i="8" s="1"/>
  <c r="D95" i="8"/>
  <c r="D94" i="8"/>
  <c r="D92" i="8"/>
  <c r="M16" i="10"/>
  <c r="D459" i="8"/>
  <c r="E459" i="8" s="1"/>
  <c r="C17" i="13"/>
  <c r="C366" i="15" s="1"/>
  <c r="C18" i="13"/>
  <c r="C367" i="15" s="1"/>
  <c r="G14" i="13"/>
  <c r="F14" i="13"/>
  <c r="C14" i="13"/>
  <c r="C363" i="15" s="1"/>
  <c r="G4" i="13"/>
  <c r="F4" i="13"/>
  <c r="G53" i="13"/>
  <c r="F53" i="13"/>
  <c r="C53" i="13"/>
  <c r="C402" i="15" s="1"/>
  <c r="G51" i="13"/>
  <c r="F51" i="13"/>
  <c r="G42" i="13"/>
  <c r="F42" i="13"/>
  <c r="G39" i="13"/>
  <c r="F39" i="13"/>
  <c r="C7" i="7"/>
  <c r="C68" i="15" s="1"/>
  <c r="C4" i="7"/>
  <c r="C65" i="15" s="1"/>
  <c r="G2" i="7"/>
  <c r="F2" i="7"/>
  <c r="D371" i="8" s="1"/>
  <c r="E371" i="8" s="1"/>
  <c r="C2" i="7"/>
  <c r="C63" i="15" s="1"/>
  <c r="C20" i="13"/>
  <c r="C369" i="15" s="1"/>
  <c r="C397" i="8"/>
  <c r="D397" i="8"/>
  <c r="C393" i="8"/>
  <c r="D393" i="8"/>
  <c r="C372" i="8"/>
  <c r="C367" i="8"/>
  <c r="C366" i="8"/>
  <c r="C244" i="8"/>
  <c r="C242" i="8"/>
  <c r="C94" i="8"/>
  <c r="D151" i="15"/>
  <c r="B151" i="15"/>
  <c r="D149" i="15"/>
  <c r="B149" i="15"/>
  <c r="D148" i="15"/>
  <c r="B148" i="15"/>
  <c r="D140" i="15"/>
  <c r="B140" i="15"/>
  <c r="D137" i="15"/>
  <c r="B137" i="15"/>
  <c r="D136" i="15"/>
  <c r="B136" i="15"/>
  <c r="M11" i="10"/>
  <c r="M9" i="10"/>
  <c r="M6" i="10"/>
  <c r="C16" i="13"/>
  <c r="C365" i="15" s="1"/>
  <c r="M10" i="10"/>
  <c r="M3" i="10"/>
  <c r="D399" i="8"/>
  <c r="C371" i="8"/>
  <c r="C365" i="8"/>
  <c r="C362" i="8"/>
  <c r="C399" i="8"/>
  <c r="C398" i="8"/>
  <c r="D398" i="8"/>
  <c r="C395" i="8"/>
  <c r="C369" i="8"/>
  <c r="C368" i="8"/>
  <c r="C213" i="8"/>
  <c r="C212" i="8"/>
  <c r="C92" i="8"/>
  <c r="D457" i="8"/>
  <c r="E457" i="8" s="1"/>
  <c r="C456" i="8"/>
  <c r="D456" i="8"/>
  <c r="E456" i="8" s="1"/>
  <c r="C455" i="8"/>
  <c r="D455" i="8"/>
  <c r="E455" i="8" s="1"/>
  <c r="C454" i="8"/>
  <c r="D454" i="8"/>
  <c r="E454" i="8" s="1"/>
  <c r="C453" i="8"/>
  <c r="D453" i="8"/>
  <c r="C452" i="8"/>
  <c r="D452" i="8"/>
  <c r="C424" i="8"/>
  <c r="C423" i="8"/>
  <c r="C422" i="8"/>
  <c r="C401" i="8"/>
  <c r="C400" i="8"/>
  <c r="D400" i="8"/>
  <c r="C396" i="8"/>
  <c r="D396" i="8"/>
  <c r="C394" i="8"/>
  <c r="C392" i="8"/>
  <c r="C370" i="8"/>
  <c r="C364" i="8"/>
  <c r="C363" i="8"/>
  <c r="C243" i="8"/>
  <c r="C216" i="8"/>
  <c r="C215" i="8"/>
  <c r="C214" i="8"/>
  <c r="D96" i="8"/>
  <c r="E96" i="8" s="1"/>
  <c r="C338" i="8"/>
  <c r="C310" i="8"/>
  <c r="C305" i="8"/>
  <c r="C303" i="8"/>
  <c r="D303" i="8"/>
  <c r="E303" i="8" s="1"/>
  <c r="C302" i="8"/>
  <c r="D302" i="8"/>
  <c r="E302" i="8" s="1"/>
  <c r="C281" i="8"/>
  <c r="D281" i="8"/>
  <c r="E281" i="8" s="1"/>
  <c r="D280" i="8"/>
  <c r="E280" i="8" s="1"/>
  <c r="D279" i="8"/>
  <c r="E279" i="8" s="1"/>
  <c r="C278" i="8"/>
  <c r="C277" i="8"/>
  <c r="D277" i="8"/>
  <c r="E277" i="8" s="1"/>
  <c r="C276" i="8"/>
  <c r="D275" i="8"/>
  <c r="E275" i="8" s="1"/>
  <c r="C274" i="8"/>
  <c r="D274" i="8"/>
  <c r="E274" i="8" s="1"/>
  <c r="C273" i="8"/>
  <c r="C245" i="8"/>
  <c r="C96" i="8"/>
  <c r="C95" i="8"/>
  <c r="C93" i="8"/>
  <c r="C192" i="8"/>
  <c r="C191" i="8"/>
  <c r="C190" i="8"/>
  <c r="D190" i="8"/>
  <c r="C189" i="8"/>
  <c r="D189" i="8"/>
  <c r="C188" i="8"/>
  <c r="C187" i="8"/>
  <c r="D187" i="8"/>
  <c r="C186" i="8"/>
  <c r="C185" i="8"/>
  <c r="D185" i="8"/>
  <c r="C184" i="8"/>
  <c r="C183" i="8"/>
  <c r="C182" i="8"/>
  <c r="D182" i="8"/>
  <c r="D123" i="8"/>
  <c r="E123" i="8" s="1"/>
  <c r="C100" i="8"/>
  <c r="C99" i="8"/>
  <c r="C98" i="8"/>
  <c r="C97" i="8"/>
  <c r="D39" i="8"/>
  <c r="E39" i="8" s="1"/>
  <c r="D38" i="8"/>
  <c r="E38" i="8" s="1"/>
  <c r="C37" i="8"/>
  <c r="D37" i="8"/>
  <c r="E37" i="8" s="1"/>
  <c r="C36" i="8"/>
  <c r="D36" i="8"/>
  <c r="E36" i="8" s="1"/>
  <c r="C35" i="8"/>
  <c r="D35" i="8"/>
  <c r="E35" i="8" s="1"/>
  <c r="D34" i="8"/>
  <c r="E34" i="8" s="1"/>
  <c r="D33" i="8"/>
  <c r="E33" i="8" s="1"/>
  <c r="D32" i="8"/>
  <c r="E32" i="8" s="1"/>
  <c r="C11" i="8"/>
  <c r="D11" i="8"/>
  <c r="E11" i="8" s="1"/>
  <c r="C10" i="8"/>
  <c r="D8" i="8"/>
  <c r="E8" i="8" s="1"/>
  <c r="G52" i="13"/>
  <c r="F52" i="13"/>
  <c r="C52" i="13"/>
  <c r="C401" i="15" s="1"/>
  <c r="C51" i="13"/>
  <c r="C400" i="15" s="1"/>
  <c r="G50" i="13"/>
  <c r="F50" i="13"/>
  <c r="C50" i="13"/>
  <c r="C399" i="15" s="1"/>
  <c r="G43" i="13"/>
  <c r="F43" i="13"/>
  <c r="C43" i="13"/>
  <c r="C392" i="15" s="1"/>
  <c r="C42" i="13"/>
  <c r="C391" i="15" s="1"/>
  <c r="G41" i="13"/>
  <c r="F41" i="13"/>
  <c r="C41" i="13"/>
  <c r="C390" i="15" s="1"/>
  <c r="G40" i="13"/>
  <c r="F40" i="13"/>
  <c r="C40" i="13"/>
  <c r="C389" i="15" s="1"/>
  <c r="C39" i="13"/>
  <c r="C388" i="15" s="1"/>
  <c r="G38" i="13"/>
  <c r="F38" i="13"/>
  <c r="D246" i="8" s="1"/>
  <c r="C38" i="13"/>
  <c r="C387" i="15" s="1"/>
  <c r="G29" i="13"/>
  <c r="F29" i="13"/>
  <c r="C29" i="13"/>
  <c r="C378" i="15" s="1"/>
  <c r="D217" i="8"/>
  <c r="E217" i="8" s="1"/>
  <c r="F365" i="15"/>
  <c r="H16" i="13"/>
  <c r="F415" i="15"/>
  <c r="H66" i="13"/>
  <c r="F412" i="15"/>
  <c r="H63" i="13"/>
  <c r="C457" i="8"/>
  <c r="C431" i="8"/>
  <c r="D431" i="8"/>
  <c r="E431" i="8" s="1"/>
  <c r="C430" i="8"/>
  <c r="D430" i="8"/>
  <c r="E430" i="8" s="1"/>
  <c r="C429" i="8"/>
  <c r="D429" i="8"/>
  <c r="E429" i="8" s="1"/>
  <c r="C428" i="8"/>
  <c r="D428" i="8"/>
  <c r="E428" i="8" s="1"/>
  <c r="C427" i="8"/>
  <c r="D427" i="8"/>
  <c r="E427" i="8" s="1"/>
  <c r="C426" i="8"/>
  <c r="C425" i="8"/>
  <c r="C341" i="8"/>
  <c r="D341" i="8"/>
  <c r="E341" i="8" s="1"/>
  <c r="C340" i="8"/>
  <c r="D340" i="8"/>
  <c r="E340" i="8" s="1"/>
  <c r="C339" i="8"/>
  <c r="D338" i="8"/>
  <c r="E338" i="8" s="1"/>
  <c r="C337" i="8"/>
  <c r="D337" i="8"/>
  <c r="E337" i="8" s="1"/>
  <c r="C336" i="8"/>
  <c r="C335" i="8"/>
  <c r="D335" i="8"/>
  <c r="E335" i="8" s="1"/>
  <c r="C334" i="8"/>
  <c r="D334" i="8"/>
  <c r="E334" i="8" s="1"/>
  <c r="C333" i="8"/>
  <c r="D333" i="8"/>
  <c r="E333" i="8" s="1"/>
  <c r="C332" i="8"/>
  <c r="D332" i="8"/>
  <c r="E332" i="8" s="1"/>
  <c r="C311" i="8"/>
  <c r="D311" i="8"/>
  <c r="E311" i="8" s="1"/>
  <c r="D310" i="8"/>
  <c r="E310" i="8" s="1"/>
  <c r="C309" i="8"/>
  <c r="C308" i="8"/>
  <c r="D308" i="8"/>
  <c r="E308" i="8" s="1"/>
  <c r="C307" i="8"/>
  <c r="D307" i="8"/>
  <c r="E307" i="8" s="1"/>
  <c r="C306" i="8"/>
  <c r="D306" i="8"/>
  <c r="E306" i="8" s="1"/>
  <c r="C304" i="8"/>
  <c r="C280" i="8"/>
  <c r="C275" i="8"/>
  <c r="C272" i="8"/>
  <c r="D191" i="8"/>
  <c r="E191" i="8" s="1"/>
  <c r="C249" i="8"/>
  <c r="C247" i="8"/>
  <c r="D247" i="8"/>
  <c r="E247" i="8" s="1"/>
  <c r="C162" i="8"/>
  <c r="D162" i="8"/>
  <c r="E162" i="8" s="1"/>
  <c r="C161" i="8"/>
  <c r="C160" i="8"/>
  <c r="D160" i="8"/>
  <c r="E160" i="8" s="1"/>
  <c r="C159" i="8"/>
  <c r="D159" i="8"/>
  <c r="E159" i="8" s="1"/>
  <c r="C158" i="8"/>
  <c r="D158" i="8"/>
  <c r="E158" i="8" s="1"/>
  <c r="C157" i="8"/>
  <c r="C156" i="8"/>
  <c r="C155" i="8"/>
  <c r="C154" i="8"/>
  <c r="C153" i="8"/>
  <c r="C152" i="8"/>
  <c r="C130" i="8"/>
  <c r="D130" i="8"/>
  <c r="E130" i="8" s="1"/>
  <c r="C129" i="8"/>
  <c r="D129" i="8"/>
  <c r="E129" i="8" s="1"/>
  <c r="C128" i="8"/>
  <c r="D128" i="8"/>
  <c r="E128" i="8" s="1"/>
  <c r="C127" i="8"/>
  <c r="C126" i="8"/>
  <c r="D126" i="8"/>
  <c r="E126" i="8" s="1"/>
  <c r="C125" i="8"/>
  <c r="D125" i="8"/>
  <c r="E125" i="8" s="1"/>
  <c r="C124" i="8"/>
  <c r="C123" i="8"/>
  <c r="C122" i="8"/>
  <c r="D73" i="8"/>
  <c r="E73" i="8" s="1"/>
  <c r="C72" i="8"/>
  <c r="D72" i="8"/>
  <c r="E72" i="8" s="1"/>
  <c r="C71" i="8"/>
  <c r="D71" i="8"/>
  <c r="E71" i="8" s="1"/>
  <c r="C70" i="8"/>
  <c r="D70" i="8"/>
  <c r="E70" i="8" s="1"/>
  <c r="C69" i="8"/>
  <c r="D69" i="8"/>
  <c r="E69" i="8" s="1"/>
  <c r="C68" i="8"/>
  <c r="D68" i="8"/>
  <c r="E68" i="8" s="1"/>
  <c r="C67" i="8"/>
  <c r="D67" i="8"/>
  <c r="E67" i="8" s="1"/>
  <c r="D66" i="8"/>
  <c r="E66" i="8" s="1"/>
  <c r="C64" i="8"/>
  <c r="C63" i="8"/>
  <c r="D63" i="8"/>
  <c r="E63" i="8" s="1"/>
  <c r="C62" i="8"/>
  <c r="D62" i="8"/>
  <c r="E62" i="8" s="1"/>
  <c r="C41" i="8"/>
  <c r="D41" i="8"/>
  <c r="E41" i="8" s="1"/>
  <c r="C40" i="8"/>
  <c r="D40" i="8"/>
  <c r="E40" i="8" s="1"/>
  <c r="C39" i="8"/>
  <c r="C33" i="8"/>
  <c r="C32" i="8"/>
  <c r="C7" i="8"/>
  <c r="D7" i="8"/>
  <c r="E7" i="8" s="1"/>
  <c r="C6" i="8"/>
  <c r="C5" i="8"/>
  <c r="C4" i="8"/>
  <c r="C3" i="8"/>
  <c r="C2" i="8"/>
  <c r="D2" i="8"/>
  <c r="E2" i="8" s="1"/>
  <c r="F125" i="15" l="1"/>
  <c r="H64" i="7"/>
  <c r="F127" i="15"/>
  <c r="H66" i="7"/>
  <c r="F126" i="15"/>
  <c r="H65" i="7"/>
  <c r="H42" i="7"/>
  <c r="D249" i="8"/>
  <c r="E249" i="8" s="1"/>
  <c r="F104" i="15"/>
  <c r="H43" i="7"/>
  <c r="F107" i="15"/>
  <c r="H46" i="7"/>
  <c r="F106" i="15"/>
  <c r="H45" i="7"/>
  <c r="F108" i="15"/>
  <c r="H47" i="7"/>
  <c r="F105" i="15"/>
  <c r="H44" i="7"/>
  <c r="D369" i="8"/>
  <c r="E369" i="8" s="1"/>
  <c r="D401" i="8"/>
  <c r="E401" i="8" s="1"/>
  <c r="F96" i="15"/>
  <c r="H35" i="7"/>
  <c r="F95" i="15"/>
  <c r="H34" i="7"/>
  <c r="F94" i="15"/>
  <c r="H33" i="7"/>
  <c r="F93" i="15"/>
  <c r="H32" i="7"/>
  <c r="F92" i="15"/>
  <c r="H31" i="7"/>
  <c r="F89" i="15"/>
  <c r="H28" i="7"/>
  <c r="D365" i="8"/>
  <c r="E365" i="8" s="1"/>
  <c r="D460" i="8"/>
  <c r="E460" i="8" s="1"/>
  <c r="H74" i="13"/>
  <c r="F423" i="15"/>
  <c r="F426" i="15"/>
  <c r="H77" i="13"/>
  <c r="D425" i="8"/>
  <c r="E425" i="8" s="1"/>
  <c r="D461" i="8"/>
  <c r="E461" i="8" s="1"/>
  <c r="D364" i="8"/>
  <c r="E364" i="8" s="1"/>
  <c r="F75" i="15"/>
  <c r="H14" i="7"/>
  <c r="F80" i="15"/>
  <c r="H19" i="7"/>
  <c r="F160" i="15"/>
  <c r="H99" i="7"/>
  <c r="F79" i="15"/>
  <c r="H18" i="7"/>
  <c r="F76" i="15"/>
  <c r="H15" i="7"/>
  <c r="F64" i="15"/>
  <c r="H3" i="7"/>
  <c r="F364" i="15"/>
  <c r="H15" i="13"/>
  <c r="F351" i="15"/>
  <c r="H2" i="13"/>
  <c r="F375" i="15"/>
  <c r="H26" i="13"/>
  <c r="F425" i="15"/>
  <c r="H76" i="13"/>
  <c r="F162" i="15"/>
  <c r="H101" i="7"/>
  <c r="F161" i="15"/>
  <c r="H100" i="7"/>
  <c r="H17" i="7"/>
  <c r="F78" i="15"/>
  <c r="F377" i="15"/>
  <c r="H28" i="13"/>
  <c r="F376" i="15"/>
  <c r="H27" i="13"/>
  <c r="F368" i="15"/>
  <c r="H19" i="13"/>
  <c r="F367" i="15"/>
  <c r="H18" i="13"/>
  <c r="F111" i="15"/>
  <c r="H50" i="7"/>
  <c r="F87" i="15"/>
  <c r="H26" i="7"/>
  <c r="F102" i="15"/>
  <c r="H41" i="7"/>
  <c r="D278" i="8"/>
  <c r="E278" i="8" s="1"/>
  <c r="F100" i="15"/>
  <c r="H39" i="7"/>
  <c r="F411" i="15"/>
  <c r="H62" i="13"/>
  <c r="D188" i="8"/>
  <c r="E188" i="8" s="1"/>
  <c r="F123" i="15"/>
  <c r="H62" i="7"/>
  <c r="F159" i="15"/>
  <c r="H98" i="7"/>
  <c r="D99" i="8"/>
  <c r="E99" i="8" s="1"/>
  <c r="D98" i="8"/>
  <c r="E98" i="8" s="1"/>
  <c r="F153" i="15"/>
  <c r="H92" i="7"/>
  <c r="F152" i="15"/>
  <c r="H91" i="7"/>
  <c r="F151" i="15"/>
  <c r="H90" i="7"/>
  <c r="F150" i="15"/>
  <c r="H89" i="7"/>
  <c r="F149" i="15"/>
  <c r="H88" i="7"/>
  <c r="F148" i="15"/>
  <c r="H87" i="7"/>
  <c r="F140" i="15"/>
  <c r="H79" i="7"/>
  <c r="F137" i="15"/>
  <c r="H76" i="7"/>
  <c r="F136" i="15"/>
  <c r="H75" i="7"/>
  <c r="F147" i="15"/>
  <c r="H86" i="7"/>
  <c r="D156" i="8"/>
  <c r="E156" i="8" s="1"/>
  <c r="D273" i="8"/>
  <c r="E273" i="8" s="1"/>
  <c r="D304" i="8"/>
  <c r="E304" i="8" s="1"/>
  <c r="D124" i="8"/>
  <c r="E124" i="8" s="1"/>
  <c r="C244" i="15"/>
  <c r="F103" i="15"/>
  <c r="F101" i="15"/>
  <c r="D93" i="8"/>
  <c r="D97" i="8"/>
  <c r="D243" i="8"/>
  <c r="F195" i="15"/>
  <c r="H134" i="7"/>
  <c r="D9" i="8"/>
  <c r="E9" i="8" s="1"/>
  <c r="D10" i="8"/>
  <c r="E10" i="8" s="1"/>
  <c r="D245" i="8"/>
  <c r="F68" i="15"/>
  <c r="H7" i="7"/>
  <c r="F113" i="15"/>
  <c r="H52" i="7"/>
  <c r="F99" i="15"/>
  <c r="H38" i="7"/>
  <c r="F139" i="15"/>
  <c r="H78" i="7"/>
  <c r="F138" i="15"/>
  <c r="H77" i="7"/>
  <c r="F135" i="15"/>
  <c r="H74" i="7"/>
  <c r="F114" i="15"/>
  <c r="H53" i="7"/>
  <c r="D336" i="8"/>
  <c r="E336" i="8" s="1"/>
  <c r="D276" i="8"/>
  <c r="E276" i="8" s="1"/>
  <c r="D462" i="8"/>
  <c r="D423" i="8"/>
  <c r="E423" i="8" s="1"/>
  <c r="D422" i="8"/>
  <c r="E422" i="8" s="1"/>
  <c r="D184" i="8"/>
  <c r="D183" i="8"/>
  <c r="D122" i="8"/>
  <c r="E122" i="8" s="1"/>
  <c r="F245" i="15"/>
  <c r="H184" i="7"/>
  <c r="F244" i="15"/>
  <c r="H183" i="7"/>
  <c r="F243" i="15"/>
  <c r="H182" i="7"/>
  <c r="F112" i="15"/>
  <c r="F352" i="15"/>
  <c r="H3" i="13"/>
  <c r="F424" i="15"/>
  <c r="H75" i="13"/>
  <c r="F370" i="15"/>
  <c r="H21" i="13"/>
  <c r="F175" i="15"/>
  <c r="H114" i="7"/>
  <c r="F173" i="15"/>
  <c r="H112" i="7"/>
  <c r="F172" i="15"/>
  <c r="H111" i="7"/>
  <c r="F171" i="15"/>
  <c r="H110" i="7"/>
  <c r="F163" i="15"/>
  <c r="H102" i="7"/>
  <c r="F414" i="15"/>
  <c r="H65" i="13"/>
  <c r="F165" i="15"/>
  <c r="H104" i="7"/>
  <c r="F164" i="15"/>
  <c r="H103" i="7"/>
  <c r="C113" i="15"/>
  <c r="D424" i="8"/>
  <c r="E424" i="8" s="1"/>
  <c r="F77" i="15"/>
  <c r="H16" i="7"/>
  <c r="F65" i="15"/>
  <c r="H4" i="7"/>
  <c r="F413" i="15"/>
  <c r="H64" i="13"/>
  <c r="F366" i="15"/>
  <c r="H17" i="13"/>
  <c r="D157" i="8"/>
  <c r="E157" i="8" s="1"/>
  <c r="D305" i="8"/>
  <c r="E305" i="8" s="1"/>
  <c r="F369" i="15"/>
  <c r="H20" i="13"/>
  <c r="D426" i="8"/>
  <c r="E426" i="8" s="1"/>
  <c r="E95" i="8"/>
  <c r="D395" i="8"/>
  <c r="E395" i="8" s="1"/>
  <c r="E94" i="8"/>
  <c r="E92" i="8"/>
  <c r="F174" i="15"/>
  <c r="H113" i="7"/>
  <c r="E392" i="8"/>
  <c r="F354" i="15"/>
  <c r="H5" i="13"/>
  <c r="F363" i="15"/>
  <c r="H14" i="13"/>
  <c r="F353" i="15"/>
  <c r="H4" i="13"/>
  <c r="F402" i="15"/>
  <c r="H53" i="13"/>
  <c r="F400" i="15"/>
  <c r="H51" i="13"/>
  <c r="F399" i="15"/>
  <c r="H50" i="13"/>
  <c r="F392" i="15"/>
  <c r="H43" i="13"/>
  <c r="F391" i="15"/>
  <c r="F67" i="15"/>
  <c r="H6" i="7"/>
  <c r="D368" i="8"/>
  <c r="D192" i="8"/>
  <c r="F66" i="15"/>
  <c r="H5" i="7"/>
  <c r="E394" i="8"/>
  <c r="D366" i="8"/>
  <c r="E366" i="8" s="1"/>
  <c r="D186" i="8"/>
  <c r="D244" i="8"/>
  <c r="H42" i="13"/>
  <c r="F390" i="15"/>
  <c r="H41" i="13"/>
  <c r="F389" i="15"/>
  <c r="H40" i="13"/>
  <c r="F388" i="15"/>
  <c r="H39" i="13"/>
  <c r="F387" i="15"/>
  <c r="H38" i="13"/>
  <c r="F378" i="15"/>
  <c r="H29" i="13"/>
  <c r="F63" i="15"/>
  <c r="H2" i="7"/>
  <c r="D272" i="8"/>
  <c r="E272" i="8" s="1"/>
  <c r="C2" i="11"/>
  <c r="C5" i="15" s="1"/>
  <c r="F2" i="11"/>
  <c r="F5" i="15" s="1"/>
  <c r="G2" i="11"/>
  <c r="G5" i="15" s="1"/>
  <c r="J2" i="11"/>
  <c r="J5" i="15" s="1"/>
  <c r="K2" i="11"/>
  <c r="K5" i="15" s="1"/>
  <c r="D3" i="11"/>
  <c r="D6" i="15" s="1"/>
  <c r="F3" i="11"/>
  <c r="F6" i="15" s="1"/>
  <c r="G3" i="11"/>
  <c r="G6" i="15" s="1"/>
  <c r="J3" i="11"/>
  <c r="J6" i="15" s="1"/>
  <c r="K3" i="11"/>
  <c r="K6" i="15" s="1"/>
  <c r="D4" i="11"/>
  <c r="D7" i="15" s="1"/>
  <c r="E4" i="11"/>
  <c r="E7" i="15" s="1"/>
  <c r="G4" i="11"/>
  <c r="G7" i="15" s="1"/>
  <c r="I4" i="11"/>
  <c r="I7" i="15" s="1"/>
  <c r="L4" i="11"/>
  <c r="L7" i="15" s="1"/>
  <c r="D5" i="11"/>
  <c r="D8" i="15" s="1"/>
  <c r="F5" i="11"/>
  <c r="F8" i="15" s="1"/>
  <c r="H5" i="11"/>
  <c r="H8" i="15" s="1"/>
  <c r="K5" i="11"/>
  <c r="K8" i="15" s="1"/>
  <c r="D2" i="11"/>
  <c r="D5" i="15" s="1"/>
  <c r="E2" i="11"/>
  <c r="E5" i="15" s="1"/>
  <c r="H2" i="11"/>
  <c r="H5" i="15" s="1"/>
  <c r="I2" i="11"/>
  <c r="I5" i="15" s="1"/>
  <c r="L2" i="11"/>
  <c r="L5" i="15" s="1"/>
  <c r="C3" i="11"/>
  <c r="C6" i="15" s="1"/>
  <c r="E3" i="11"/>
  <c r="E6" i="15" s="1"/>
  <c r="H3" i="11"/>
  <c r="H6" i="15" s="1"/>
  <c r="I3" i="11"/>
  <c r="I6" i="15" s="1"/>
  <c r="L3" i="11"/>
  <c r="L6" i="15" s="1"/>
  <c r="C4" i="11"/>
  <c r="C7" i="15" s="1"/>
  <c r="F4" i="11"/>
  <c r="F7" i="15" s="1"/>
  <c r="H4" i="11"/>
  <c r="H7" i="15" s="1"/>
  <c r="J4" i="11"/>
  <c r="J7" i="15" s="1"/>
  <c r="K4" i="11"/>
  <c r="K7" i="15" s="1"/>
  <c r="C5" i="11"/>
  <c r="C8" i="15" s="1"/>
  <c r="E5" i="11"/>
  <c r="E8" i="15" s="1"/>
  <c r="E370" i="8"/>
  <c r="E367" i="8"/>
  <c r="E215" i="8"/>
  <c r="E246" i="8"/>
  <c r="E216" i="8"/>
  <c r="E213" i="8"/>
  <c r="G5" i="11"/>
  <c r="G8" i="15" s="1"/>
  <c r="I5" i="11"/>
  <c r="I8" i="15" s="1"/>
  <c r="J5" i="11"/>
  <c r="J8" i="15" s="1"/>
  <c r="L5" i="11"/>
  <c r="L8" i="15" s="1"/>
  <c r="K17" i="11"/>
  <c r="K20" i="15" s="1"/>
  <c r="C14" i="11"/>
  <c r="C17" i="15" s="1"/>
  <c r="D14" i="11"/>
  <c r="D17" i="15" s="1"/>
  <c r="E14" i="11"/>
  <c r="E17" i="15" s="1"/>
  <c r="F14" i="11"/>
  <c r="F17" i="15" s="1"/>
  <c r="G14" i="11"/>
  <c r="G17" i="15" s="1"/>
  <c r="H14" i="11"/>
  <c r="H17" i="15" s="1"/>
  <c r="I14" i="11"/>
  <c r="I17" i="15" s="1"/>
  <c r="J14" i="11"/>
  <c r="J17" i="15" s="1"/>
  <c r="K14" i="11"/>
  <c r="K17" i="15" s="1"/>
  <c r="L14" i="11"/>
  <c r="L17" i="15" s="1"/>
  <c r="C15" i="11"/>
  <c r="C18" i="15" s="1"/>
  <c r="D15" i="11"/>
  <c r="D18" i="15" s="1"/>
  <c r="E15" i="11"/>
  <c r="E18" i="15" s="1"/>
  <c r="F15" i="11"/>
  <c r="F18" i="15" s="1"/>
  <c r="G15" i="11"/>
  <c r="G18" i="15" s="1"/>
  <c r="H15" i="11"/>
  <c r="H18" i="15" s="1"/>
  <c r="I15" i="11"/>
  <c r="I18" i="15" s="1"/>
  <c r="J15" i="11"/>
  <c r="J18" i="15" s="1"/>
  <c r="K15" i="11"/>
  <c r="K18" i="15" s="1"/>
  <c r="L15" i="11"/>
  <c r="L18" i="15" s="1"/>
  <c r="C16" i="11"/>
  <c r="C19" i="15" s="1"/>
  <c r="D16" i="11"/>
  <c r="D19" i="15" s="1"/>
  <c r="E16" i="11"/>
  <c r="E19" i="15" s="1"/>
  <c r="F16" i="11"/>
  <c r="F19" i="15" s="1"/>
  <c r="G16" i="11"/>
  <c r="G19" i="15" s="1"/>
  <c r="H16" i="11"/>
  <c r="H19" i="15" s="1"/>
  <c r="I16" i="11"/>
  <c r="I19" i="15" s="1"/>
  <c r="J16" i="11"/>
  <c r="J19" i="15" s="1"/>
  <c r="K16" i="11"/>
  <c r="K19" i="15" s="1"/>
  <c r="L16" i="11"/>
  <c r="L19" i="15" s="1"/>
  <c r="C17" i="11"/>
  <c r="C20" i="15" s="1"/>
  <c r="D17" i="11"/>
  <c r="D20" i="15" s="1"/>
  <c r="E17" i="11"/>
  <c r="E20" i="15" s="1"/>
  <c r="F17" i="11"/>
  <c r="F20" i="15" s="1"/>
  <c r="G17" i="11"/>
  <c r="G20" i="15" s="1"/>
  <c r="H17" i="11"/>
  <c r="H20" i="15" s="1"/>
  <c r="I17" i="11"/>
  <c r="I20" i="15" s="1"/>
  <c r="J17" i="11"/>
  <c r="J20" i="15" s="1"/>
  <c r="L17" i="11"/>
  <c r="L20" i="15" s="1"/>
  <c r="E399" i="8"/>
  <c r="E372" i="8"/>
  <c r="E212" i="8"/>
  <c r="D339" i="8"/>
  <c r="E339" i="8" s="1"/>
  <c r="E214" i="8"/>
  <c r="D3" i="8"/>
  <c r="E3" i="8" s="1"/>
  <c r="E393" i="8"/>
  <c r="D155" i="8"/>
  <c r="E155" i="8" s="1"/>
  <c r="D154" i="8"/>
  <c r="E154" i="8" s="1"/>
  <c r="E397" i="8"/>
  <c r="L9" i="11"/>
  <c r="L12" i="15" s="1"/>
  <c r="E9" i="11"/>
  <c r="E12" i="15" s="1"/>
  <c r="I9" i="11"/>
  <c r="I12" i="15" s="1"/>
  <c r="D9" i="11"/>
  <c r="D12" i="15" s="1"/>
  <c r="J8" i="11"/>
  <c r="J11" i="15" s="1"/>
  <c r="F8" i="11"/>
  <c r="F11" i="15" s="1"/>
  <c r="L7" i="11"/>
  <c r="L10" i="15" s="1"/>
  <c r="F7" i="11"/>
  <c r="F10" i="15" s="1"/>
  <c r="K9" i="11"/>
  <c r="K12" i="15" s="1"/>
  <c r="F9" i="11"/>
  <c r="F12" i="15" s="1"/>
  <c r="K8" i="11"/>
  <c r="K11" i="15" s="1"/>
  <c r="H8" i="11"/>
  <c r="H11" i="15" s="1"/>
  <c r="D8" i="11"/>
  <c r="D11" i="15" s="1"/>
  <c r="K7" i="11"/>
  <c r="K10" i="15" s="1"/>
  <c r="I7" i="11"/>
  <c r="I10" i="15" s="1"/>
  <c r="G7" i="11"/>
  <c r="G10" i="15" s="1"/>
  <c r="D7" i="11"/>
  <c r="D10" i="15" s="1"/>
  <c r="C7" i="11"/>
  <c r="C10" i="15" s="1"/>
  <c r="K6" i="11"/>
  <c r="K9" i="15" s="1"/>
  <c r="I6" i="11"/>
  <c r="I9" i="15" s="1"/>
  <c r="G6" i="11"/>
  <c r="G9" i="15" s="1"/>
  <c r="F6" i="11"/>
  <c r="F9" i="15" s="1"/>
  <c r="D6" i="11"/>
  <c r="D9" i="15" s="1"/>
  <c r="C6" i="11"/>
  <c r="C9" i="15" s="1"/>
  <c r="G9" i="11"/>
  <c r="G12" i="15" s="1"/>
  <c r="C9" i="11"/>
  <c r="C12" i="15" s="1"/>
  <c r="G8" i="11"/>
  <c r="G11" i="15" s="1"/>
  <c r="J9" i="11"/>
  <c r="J12" i="15" s="1"/>
  <c r="H9" i="11"/>
  <c r="H12" i="15" s="1"/>
  <c r="L8" i="11"/>
  <c r="L11" i="15" s="1"/>
  <c r="I8" i="11"/>
  <c r="I11" i="15" s="1"/>
  <c r="E8" i="11"/>
  <c r="E11" i="15" s="1"/>
  <c r="C8" i="11"/>
  <c r="C11" i="15" s="1"/>
  <c r="J7" i="11"/>
  <c r="J10" i="15" s="1"/>
  <c r="H7" i="11"/>
  <c r="H10" i="15" s="1"/>
  <c r="E7" i="11"/>
  <c r="E10" i="15" s="1"/>
  <c r="L6" i="11"/>
  <c r="L9" i="15" s="1"/>
  <c r="J6" i="11"/>
  <c r="J9" i="15" s="1"/>
  <c r="H6" i="11"/>
  <c r="H9" i="15" s="1"/>
  <c r="E6" i="11"/>
  <c r="E9" i="15" s="1"/>
  <c r="D12" i="11"/>
  <c r="D15" i="15" s="1"/>
  <c r="L11" i="11"/>
  <c r="L14" i="15" s="1"/>
  <c r="I11" i="11"/>
  <c r="I14" i="15" s="1"/>
  <c r="G11" i="11"/>
  <c r="G14" i="15" s="1"/>
  <c r="E11" i="11"/>
  <c r="E14" i="15" s="1"/>
  <c r="C11" i="11"/>
  <c r="C14" i="15" s="1"/>
  <c r="J10" i="11"/>
  <c r="J13" i="15" s="1"/>
  <c r="H10" i="11"/>
  <c r="H13" i="15" s="1"/>
  <c r="F10" i="11"/>
  <c r="F13" i="15" s="1"/>
  <c r="D10" i="11"/>
  <c r="D13" i="15" s="1"/>
  <c r="L13" i="11"/>
  <c r="L16" i="15" s="1"/>
  <c r="K13" i="11"/>
  <c r="K16" i="15" s="1"/>
  <c r="J13" i="11"/>
  <c r="J16" i="15" s="1"/>
  <c r="I13" i="11"/>
  <c r="I16" i="15" s="1"/>
  <c r="H13" i="11"/>
  <c r="H16" i="15" s="1"/>
  <c r="G13" i="11"/>
  <c r="G16" i="15" s="1"/>
  <c r="F13" i="11"/>
  <c r="F16" i="15" s="1"/>
  <c r="E13" i="11"/>
  <c r="E16" i="15" s="1"/>
  <c r="D13" i="11"/>
  <c r="D16" i="15" s="1"/>
  <c r="C13" i="11"/>
  <c r="C16" i="15" s="1"/>
  <c r="L12" i="11"/>
  <c r="L15" i="15" s="1"/>
  <c r="K12" i="11"/>
  <c r="K15" i="15" s="1"/>
  <c r="J12" i="11"/>
  <c r="J15" i="15" s="1"/>
  <c r="I12" i="11"/>
  <c r="I15" i="15" s="1"/>
  <c r="H12" i="11"/>
  <c r="H15" i="15" s="1"/>
  <c r="G12" i="11"/>
  <c r="G15" i="15" s="1"/>
  <c r="E12" i="11"/>
  <c r="E15" i="15" s="1"/>
  <c r="K11" i="11"/>
  <c r="K14" i="15" s="1"/>
  <c r="H11" i="11"/>
  <c r="H14" i="15" s="1"/>
  <c r="D11" i="11"/>
  <c r="D14" i="15" s="1"/>
  <c r="K10" i="11"/>
  <c r="K13" i="15" s="1"/>
  <c r="G10" i="11"/>
  <c r="G13" i="15" s="1"/>
  <c r="C10" i="11"/>
  <c r="C13" i="15" s="1"/>
  <c r="F12" i="11"/>
  <c r="F15" i="15" s="1"/>
  <c r="C12" i="11"/>
  <c r="C15" i="15" s="1"/>
  <c r="J11" i="11"/>
  <c r="J14" i="15" s="1"/>
  <c r="F11" i="11"/>
  <c r="F14" i="15" s="1"/>
  <c r="L10" i="11"/>
  <c r="L13" i="15" s="1"/>
  <c r="I10" i="11"/>
  <c r="I13" i="15" s="1"/>
  <c r="E10" i="11"/>
  <c r="E13" i="15" s="1"/>
  <c r="F401" i="15"/>
  <c r="H52" i="13"/>
  <c r="E453" i="8"/>
  <c r="E400" i="8"/>
  <c r="E452" i="8"/>
  <c r="E398" i="8"/>
  <c r="E363" i="8"/>
  <c r="E189" i="8"/>
  <c r="E396" i="8"/>
  <c r="E182" i="8"/>
  <c r="E187" i="8"/>
  <c r="E185" i="8"/>
  <c r="E190" i="8"/>
  <c r="E97" i="8" l="1"/>
  <c r="E243" i="8"/>
  <c r="E93" i="8"/>
  <c r="E245" i="8"/>
  <c r="E462" i="8"/>
  <c r="E184" i="8"/>
  <c r="E183" i="8"/>
  <c r="E368" i="8"/>
  <c r="E192" i="8"/>
  <c r="E244" i="8"/>
  <c r="E186" i="8"/>
  <c r="A41" i="9" l="1"/>
  <c r="A20" i="9"/>
  <c r="A38" i="9"/>
  <c r="A6" i="9"/>
  <c r="A32" i="9"/>
  <c r="A37" i="9"/>
  <c r="A21" i="9"/>
  <c r="A7" i="9"/>
  <c r="A45" i="9"/>
  <c r="A13" i="9"/>
  <c r="A39" i="9"/>
  <c r="A26" i="9"/>
  <c r="A50" i="9"/>
  <c r="A40" i="9"/>
  <c r="A9" i="9"/>
  <c r="A49" i="9"/>
  <c r="B49" i="9" s="1"/>
  <c r="O52" i="15" s="1"/>
  <c r="A44" i="9"/>
  <c r="A28" i="9"/>
  <c r="A23" i="9"/>
  <c r="A17" i="9"/>
  <c r="A29" i="9"/>
  <c r="A33" i="9"/>
  <c r="A19" i="9"/>
  <c r="A42" i="9"/>
  <c r="A22" i="9"/>
  <c r="A8" i="9"/>
  <c r="A36" i="9"/>
  <c r="A25" i="9"/>
  <c r="A10" i="9"/>
  <c r="A34" i="9"/>
  <c r="A30" i="9"/>
  <c r="A16" i="9"/>
  <c r="A24" i="9"/>
  <c r="A43" i="9"/>
  <c r="A14" i="9"/>
  <c r="A3" i="9"/>
  <c r="A47" i="9"/>
  <c r="A2" i="9"/>
  <c r="A35" i="9"/>
  <c r="A51" i="9"/>
  <c r="A48" i="9"/>
  <c r="A46" i="9"/>
  <c r="A5" i="9"/>
  <c r="A4" i="9"/>
  <c r="A12" i="9"/>
  <c r="A11" i="9"/>
  <c r="A27" i="9"/>
  <c r="A15" i="9"/>
  <c r="A18" i="9"/>
  <c r="A31" i="9"/>
  <c r="D41" i="9" l="1"/>
  <c r="B41" i="9"/>
  <c r="C41" i="9"/>
  <c r="B38" i="9"/>
  <c r="C38" i="9"/>
  <c r="D38" i="9"/>
  <c r="B20" i="9"/>
  <c r="C20" i="9"/>
  <c r="D20" i="9"/>
  <c r="C6" i="9"/>
  <c r="P9" i="15" s="1"/>
  <c r="C49" i="9"/>
  <c r="P52" i="15" s="1"/>
  <c r="D49" i="9"/>
  <c r="Q52" i="15" s="1"/>
  <c r="N52" i="15"/>
  <c r="B6" i="9"/>
  <c r="O9" i="15" s="1"/>
  <c r="N9" i="15"/>
  <c r="D6" i="9"/>
  <c r="Q9" i="15" s="1"/>
  <c r="B32" i="9"/>
  <c r="D32" i="9"/>
  <c r="C32" i="9"/>
  <c r="D37" i="9"/>
  <c r="B37" i="9"/>
  <c r="C37" i="9"/>
  <c r="D28" i="9"/>
  <c r="D21" i="9"/>
  <c r="C21" i="9"/>
  <c r="B21" i="9"/>
  <c r="C7" i="9"/>
  <c r="P10" i="15" s="1"/>
  <c r="B7" i="9"/>
  <c r="O10" i="15" s="1"/>
  <c r="D7" i="9"/>
  <c r="Q10" i="15" s="1"/>
  <c r="N10" i="15"/>
  <c r="D45" i="9"/>
  <c r="B45" i="9"/>
  <c r="C45" i="9"/>
  <c r="C44" i="9"/>
  <c r="B44" i="9"/>
  <c r="D44" i="9"/>
  <c r="B40" i="9"/>
  <c r="C40" i="9"/>
  <c r="D40" i="9"/>
  <c r="D13" i="9"/>
  <c r="Q16" i="15" s="1"/>
  <c r="B13" i="9"/>
  <c r="O16" i="15" s="1"/>
  <c r="C13" i="9"/>
  <c r="P16" i="15" s="1"/>
  <c r="N16" i="15"/>
  <c r="C28" i="9"/>
  <c r="B28" i="9"/>
  <c r="B39" i="9"/>
  <c r="D39" i="9"/>
  <c r="C39" i="9"/>
  <c r="D26" i="9"/>
  <c r="B26" i="9"/>
  <c r="C26" i="9"/>
  <c r="B50" i="9"/>
  <c r="O53" i="15" s="1"/>
  <c r="N53" i="15"/>
  <c r="C50" i="9"/>
  <c r="P53" i="15" s="1"/>
  <c r="D50" i="9"/>
  <c r="Q53" i="15" s="1"/>
  <c r="C23" i="9"/>
  <c r="B23" i="9"/>
  <c r="D23" i="9"/>
  <c r="C17" i="9"/>
  <c r="P20" i="15" s="1"/>
  <c r="C9" i="9"/>
  <c r="P12" i="15" s="1"/>
  <c r="N12" i="15"/>
  <c r="B9" i="9"/>
  <c r="O12" i="15" s="1"/>
  <c r="D9" i="9"/>
  <c r="Q12" i="15" s="1"/>
  <c r="B17" i="9"/>
  <c r="O20" i="15" s="1"/>
  <c r="D17" i="9"/>
  <c r="Q20" i="15" s="1"/>
  <c r="N20" i="15"/>
  <c r="C29" i="9"/>
  <c r="D29" i="9"/>
  <c r="B29" i="9"/>
  <c r="B33" i="9"/>
  <c r="D33" i="9"/>
  <c r="C33" i="9"/>
  <c r="N22" i="15"/>
  <c r="B19" i="9"/>
  <c r="O22" i="15" s="1"/>
  <c r="D19" i="9"/>
  <c r="Q22" i="15" s="1"/>
  <c r="C19" i="9"/>
  <c r="P22" i="15" s="1"/>
  <c r="B42" i="9"/>
  <c r="D42" i="9"/>
  <c r="C42" i="9"/>
  <c r="D22" i="9"/>
  <c r="C22" i="9"/>
  <c r="B22" i="9"/>
  <c r="C8" i="9"/>
  <c r="P11" i="15" s="1"/>
  <c r="D8" i="9"/>
  <c r="Q11" i="15" s="1"/>
  <c r="B8" i="9"/>
  <c r="O11" i="15" s="1"/>
  <c r="N11" i="15"/>
  <c r="D36" i="9"/>
  <c r="C36" i="9"/>
  <c r="B36" i="9"/>
  <c r="D25" i="9"/>
  <c r="B25" i="9"/>
  <c r="C25" i="9"/>
  <c r="D10" i="9"/>
  <c r="Q13" i="15" s="1"/>
  <c r="B10" i="9"/>
  <c r="O13" i="15" s="1"/>
  <c r="C10" i="9"/>
  <c r="P13" i="15" s="1"/>
  <c r="N13" i="15"/>
  <c r="B34" i="9"/>
  <c r="C34" i="9"/>
  <c r="D34" i="9"/>
  <c r="C30" i="9"/>
  <c r="B30" i="9"/>
  <c r="D30" i="9"/>
  <c r="B16" i="9"/>
  <c r="O19" i="15" s="1"/>
  <c r="N19" i="15"/>
  <c r="D16" i="9"/>
  <c r="Q19" i="15" s="1"/>
  <c r="C16" i="9"/>
  <c r="P19" i="15" s="1"/>
  <c r="C24" i="9"/>
  <c r="D24" i="9"/>
  <c r="B24" i="9"/>
  <c r="C43" i="9"/>
  <c r="D43" i="9"/>
  <c r="B43" i="9"/>
  <c r="D14" i="9"/>
  <c r="Q17" i="15" s="1"/>
  <c r="B14" i="9"/>
  <c r="O17" i="15" s="1"/>
  <c r="N17" i="15"/>
  <c r="C14" i="9"/>
  <c r="P17" i="15" s="1"/>
  <c r="C3" i="9"/>
  <c r="P6" i="15" s="1"/>
  <c r="B3" i="9"/>
  <c r="O6" i="15" s="1"/>
  <c r="N6" i="15"/>
  <c r="D3" i="9"/>
  <c r="Q6" i="15" s="1"/>
  <c r="C47" i="9"/>
  <c r="P50" i="15" s="1"/>
  <c r="N50" i="15"/>
  <c r="D47" i="9"/>
  <c r="Q50" i="15" s="1"/>
  <c r="B47" i="9"/>
  <c r="O50" i="15" s="1"/>
  <c r="N5" i="15"/>
  <c r="D2" i="9"/>
  <c r="Q5" i="15" s="1"/>
  <c r="B2" i="9"/>
  <c r="O5" i="15" s="1"/>
  <c r="C2" i="9"/>
  <c r="P5" i="15" s="1"/>
  <c r="C35" i="9"/>
  <c r="D35" i="9"/>
  <c r="B35" i="9"/>
  <c r="N54" i="15"/>
  <c r="C51" i="9"/>
  <c r="P54" i="15" s="1"/>
  <c r="D51" i="9"/>
  <c r="Q54" i="15" s="1"/>
  <c r="B51" i="9"/>
  <c r="O54" i="15" s="1"/>
  <c r="D48" i="9"/>
  <c r="Q51" i="15" s="1"/>
  <c r="N51" i="15"/>
  <c r="C48" i="9"/>
  <c r="P51" i="15" s="1"/>
  <c r="B48" i="9"/>
  <c r="O51" i="15" s="1"/>
  <c r="C46" i="9"/>
  <c r="P49" i="15" s="1"/>
  <c r="B46" i="9"/>
  <c r="O49" i="15" s="1"/>
  <c r="N49" i="15"/>
  <c r="D46" i="9"/>
  <c r="Q49" i="15" s="1"/>
  <c r="D5" i="9"/>
  <c r="Q8" i="15" s="1"/>
  <c r="C5" i="9"/>
  <c r="P8" i="15" s="1"/>
  <c r="N8" i="15"/>
  <c r="B5" i="9"/>
  <c r="O8" i="15" s="1"/>
  <c r="D4" i="9"/>
  <c r="Q7" i="15" s="1"/>
  <c r="B4" i="9"/>
  <c r="O7" i="15" s="1"/>
  <c r="N7" i="15"/>
  <c r="C4" i="9"/>
  <c r="P7" i="15" s="1"/>
  <c r="C12" i="9"/>
  <c r="P15" i="15" s="1"/>
  <c r="D12" i="9"/>
  <c r="Q15" i="15" s="1"/>
  <c r="B12" i="9"/>
  <c r="O15" i="15" s="1"/>
  <c r="N15" i="15"/>
  <c r="B11" i="9"/>
  <c r="O14" i="15" s="1"/>
  <c r="N14" i="15"/>
  <c r="C11" i="9"/>
  <c r="P14" i="15" s="1"/>
  <c r="D11" i="9"/>
  <c r="Q14" i="15" s="1"/>
  <c r="C27" i="9"/>
  <c r="B27" i="9"/>
  <c r="D27" i="9"/>
  <c r="B15" i="9"/>
  <c r="O18" i="15" s="1"/>
  <c r="D15" i="9"/>
  <c r="Q18" i="15" s="1"/>
  <c r="N18" i="15"/>
  <c r="C15" i="9"/>
  <c r="P18" i="15" s="1"/>
  <c r="N21" i="15"/>
  <c r="C18" i="9"/>
  <c r="P21" i="15" s="1"/>
  <c r="D18" i="9"/>
  <c r="Q21" i="15" s="1"/>
  <c r="B18" i="9"/>
  <c r="O21" i="15" s="1"/>
  <c r="C31" i="9"/>
  <c r="D31" i="9"/>
  <c r="B3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Moretto</author>
  </authors>
  <commentList>
    <comment ref="C1" authorId="0" shapeId="0" xr:uid="{C9BD2AB1-B8EC-4D62-96EC-DDFB3031FB9A}">
      <text>
        <r>
          <rPr>
            <b/>
            <sz val="9"/>
            <color indexed="81"/>
            <rFont val="Tahoma"/>
            <family val="2"/>
          </rPr>
          <t>Modifica qui i punti: il sito ordina automaticamente la classifica dal valore più alto al più basso.</t>
        </r>
      </text>
    </comment>
  </commentList>
</comments>
</file>

<file path=xl/sharedStrings.xml><?xml version="1.0" encoding="utf-8"?>
<sst xmlns="http://schemas.openxmlformats.org/spreadsheetml/2006/main" count="918" uniqueCount="423">
  <si>
    <t>TeamID</t>
  </si>
  <si>
    <t>Group</t>
  </si>
  <si>
    <t>TeamName</t>
  </si>
  <si>
    <t>Players</t>
  </si>
  <si>
    <t>T01</t>
  </si>
  <si>
    <t>A</t>
  </si>
  <si>
    <t>Fatine FC</t>
  </si>
  <si>
    <t>T02</t>
  </si>
  <si>
    <t>FC Internazionale Rovigo</t>
  </si>
  <si>
    <t>T03</t>
  </si>
  <si>
    <t>Moviola Utd</t>
  </si>
  <si>
    <t>T04</t>
  </si>
  <si>
    <t>Astolfi Impianti Elettrici</t>
  </si>
  <si>
    <t>T05</t>
  </si>
  <si>
    <t>B</t>
  </si>
  <si>
    <t>Totani</t>
  </si>
  <si>
    <t>T06</t>
  </si>
  <si>
    <t>Vecchie Glorie Rovigo</t>
  </si>
  <si>
    <t>T07</t>
  </si>
  <si>
    <t>AS Bancatore</t>
  </si>
  <si>
    <t>T08</t>
  </si>
  <si>
    <t>Beverton</t>
  </si>
  <si>
    <t>T09</t>
  </si>
  <si>
    <t>C</t>
  </si>
  <si>
    <t>Leoni di Ricky</t>
  </si>
  <si>
    <t>T10</t>
  </si>
  <si>
    <t>Pink 5ive</t>
  </si>
  <si>
    <t>T11</t>
  </si>
  <si>
    <t>Barrio Boys</t>
  </si>
  <si>
    <t>T12</t>
  </si>
  <si>
    <t>Cani</t>
  </si>
  <si>
    <t>T13</t>
  </si>
  <si>
    <t>D</t>
  </si>
  <si>
    <t>All Blacks</t>
  </si>
  <si>
    <t>T14</t>
  </si>
  <si>
    <t>Boldò Glimt</t>
  </si>
  <si>
    <t>T15</t>
  </si>
  <si>
    <t>Coca Juniors</t>
  </si>
  <si>
    <t>T16</t>
  </si>
  <si>
    <t>Piadineria la Salsiccia</t>
  </si>
  <si>
    <t>12 ORE BOSARO 2026 — Tournament Manager</t>
  </si>
  <si>
    <t>Uso rapido: 1) risultati gironi in Matches e playoff in Knockout; 2) marcatori in Goals o KnockoutGoals; 3) classifiche ed Export si aggiornano automaticamente.</t>
  </si>
  <si>
    <t>Punti vittoria</t>
  </si>
  <si>
    <t>Punti vittoria ai rigori</t>
  </si>
  <si>
    <t>Punti sconfitta ai rigori</t>
  </si>
  <si>
    <t>Punti sconfitta</t>
  </si>
  <si>
    <t>Ordinamento classifica</t>
  </si>
  <si>
    <t>Punti, H2H manuale, differenza reti, gol fatti</t>
  </si>
  <si>
    <t>Autogol</t>
  </si>
  <si>
    <t>Non associato ad alcun giocatore e non conteggiato nei marcatori</t>
  </si>
  <si>
    <t>Fonte rose</t>
  </si>
  <si>
    <t>Squadre_iscritte(1).pdf</t>
  </si>
  <si>
    <t>Fonte calendario</t>
  </si>
  <si>
    <t>calendario_partite.pdf / gironi.pdf / fase_finale.pdf</t>
  </si>
  <si>
    <t>Modifiche v4</t>
  </si>
  <si>
    <t>Export include anche marcatori aggregati per partita e tabella normalizzata match_goals.</t>
  </si>
  <si>
    <t>PenaltyWinner</t>
  </si>
  <si>
    <t>Nel foglio Matches il vincitore ai rigori è vincolato a squadra casa/trasferta della riga.</t>
  </si>
  <si>
    <t>GoalType</t>
  </si>
  <si>
    <t>Nel foglio Goals il tipo è Goal di default; cambia in Autogol solo se serve e lascia Player vuoto.</t>
  </si>
  <si>
    <t>Export sito: standings, top_scorers, matches, knockout e match_goals (gironi + knockout).</t>
  </si>
  <si>
    <t>Usa sezione matches per risultati + marcatori aggregati, oppure match_goals per dati normalizzati.</t>
  </si>
  <si>
    <t>ROSE: modifica numeri, giocatori e capitani soltanto nel foglio Rosters; Players e Validation sono viste automatiche.</t>
  </si>
  <si>
    <t>Setting</t>
  </si>
  <si>
    <t>Value</t>
  </si>
  <si>
    <t>WinPoints</t>
  </si>
  <si>
    <t>PenaltyWinPoints</t>
  </si>
  <si>
    <t>PenaltyLossPoints</t>
  </si>
  <si>
    <t>LossPoints</t>
  </si>
  <si>
    <t>MaxGoalSlotsPerMatch</t>
  </si>
  <si>
    <t>Fatine FC · Girone A</t>
  </si>
  <si>
    <t>FC Internazionale Rovigo · Girone A</t>
  </si>
  <si>
    <t>Moviola Utd · Girone A</t>
  </si>
  <si>
    <t>Astolfi Impianti Elettrici · Girone A</t>
  </si>
  <si>
    <t>Totani · Girone B</t>
  </si>
  <si>
    <t>Vecchie Glorie Rovigo · Girone B</t>
  </si>
  <si>
    <t>AS Bancatore · Girone B</t>
  </si>
  <si>
    <t>Beverton · Girone B</t>
  </si>
  <si>
    <t>Leoni di Ricky · Girone C</t>
  </si>
  <si>
    <t>Pink 5ive · Girone C</t>
  </si>
  <si>
    <t>Barrio Boys · Girone C</t>
  </si>
  <si>
    <t>Cani · Girone C</t>
  </si>
  <si>
    <t>All Blacks · Girone D</t>
  </si>
  <si>
    <t>Boldò Glimt · Girone D</t>
  </si>
  <si>
    <t>Coca Juniors · Girone D</t>
  </si>
  <si>
    <t>Piadineria la Salsiccia · Girone D</t>
  </si>
  <si>
    <t>Numero</t>
  </si>
  <si>
    <t>Giocatore</t>
  </si>
  <si>
    <t>Capitano</t>
  </si>
  <si>
    <t>PIETRO SEGATO</t>
  </si>
  <si>
    <t>No</t>
  </si>
  <si>
    <t>BOGDAN ATAMANYUK</t>
  </si>
  <si>
    <t>NICOLAS ANDRIOTTO</t>
  </si>
  <si>
    <t>DANIEL TARGA</t>
  </si>
  <si>
    <t>DAVIDE ZAGHI</t>
  </si>
  <si>
    <t>RICCARDO BROGLIO</t>
  </si>
  <si>
    <t>SAMUEL MATTIELLO</t>
  </si>
  <si>
    <t>ANDREA DEGAN</t>
  </si>
  <si>
    <t>LORENZO BOSCOLO</t>
  </si>
  <si>
    <t>NICCOLÒ LIMAJ</t>
  </si>
  <si>
    <t>MANUEL IMPELLICCIERI</t>
  </si>
  <si>
    <t>GIACOMO DE SIMONE</t>
  </si>
  <si>
    <t>MATTIA BELLUCCO</t>
  </si>
  <si>
    <t>LUCA CAVALLARO</t>
  </si>
  <si>
    <t>KEVIN CASTELLAN</t>
  </si>
  <si>
    <t>GIOVANNI BALLO</t>
  </si>
  <si>
    <t>IVAN DENIS SHEVERAK</t>
  </si>
  <si>
    <t>MICHAEL STRENGHETTO</t>
  </si>
  <si>
    <t>Yes</t>
  </si>
  <si>
    <t>GIANLUCA PAVAN</t>
  </si>
  <si>
    <t>RICCARDO DAVÌ</t>
  </si>
  <si>
    <t>JACOPO VOLTOLINA</t>
  </si>
  <si>
    <t>NICOLÒ MARANGONI</t>
  </si>
  <si>
    <t>SAMUEL BONSU</t>
  </si>
  <si>
    <t>LEONARDO MAGGIO</t>
  </si>
  <si>
    <t>LUCA NONNATO</t>
  </si>
  <si>
    <t>MOURAD ECHCHARI</t>
  </si>
  <si>
    <t>MARTINO GRANFO</t>
  </si>
  <si>
    <t>NICOLÒ BERTIPAGLIA</t>
  </si>
  <si>
    <t>KEVIN DOBROZI</t>
  </si>
  <si>
    <t>SOUFIANE KHECHAB</t>
  </si>
  <si>
    <t>DANIELE MARZOLLA</t>
  </si>
  <si>
    <t>MOHAMED IAICH</t>
  </si>
  <si>
    <t>LUCA BACCO</t>
  </si>
  <si>
    <t>NICOLA CAVALLIERI</t>
  </si>
  <si>
    <t>RICCARDO SANTARATO</t>
  </si>
  <si>
    <t>MATTEO ZAMBERLAN</t>
  </si>
  <si>
    <t>MATTEO LONGO</t>
  </si>
  <si>
    <t>FILIPPO VENDRAMIN</t>
  </si>
  <si>
    <t>AMIN MASSAGHRI</t>
  </si>
  <si>
    <t>GIOVANNI VERONESE</t>
  </si>
  <si>
    <t>FRANCESCO BERARDI</t>
  </si>
  <si>
    <t>OTMAN SOUATI</t>
  </si>
  <si>
    <t>STEFANO BRAGHIN</t>
  </si>
  <si>
    <t>FRANCESCO CUCCATO</t>
  </si>
  <si>
    <t>ANDREA PAVAN</t>
  </si>
  <si>
    <t>GABRIELE BARBIERATO</t>
  </si>
  <si>
    <t>NICHOLAS MILAN</t>
  </si>
  <si>
    <t>FILIPPO SCARANELLO</t>
  </si>
  <si>
    <t>ALBAN AHMATI</t>
  </si>
  <si>
    <t>RICCARDO STIEVANO</t>
  </si>
  <si>
    <t>MATTEO DALL'ARA</t>
  </si>
  <si>
    <t>MATTIA ZAGO</t>
  </si>
  <si>
    <t>MARCO GREGGIO</t>
  </si>
  <si>
    <t>PIETRO VIOLATO</t>
  </si>
  <si>
    <t>FRANCESCO MARANGON</t>
  </si>
  <si>
    <t>NICOLA BRESCIANI</t>
  </si>
  <si>
    <t>ANGELO REDI</t>
  </si>
  <si>
    <t>TOMMASO PAVAN</t>
  </si>
  <si>
    <t>DAVIDE DELLA VOLPE</t>
  </si>
  <si>
    <t>ALESSIO MILAN</t>
  </si>
  <si>
    <t>AHMED ZOUZAF</t>
  </si>
  <si>
    <t>MARCO PREVIATO</t>
  </si>
  <si>
    <t>LUCA CHERUBIN</t>
  </si>
  <si>
    <t>LEONARDO FUSCO</t>
  </si>
  <si>
    <t>MATTEO SAVIOLI</t>
  </si>
  <si>
    <t>CHRISTIAN ZUCCATO</t>
  </si>
  <si>
    <t>MARCO THOMPSON</t>
  </si>
  <si>
    <t>GIMMY MANARI</t>
  </si>
  <si>
    <t>ALESSIO GHIRARDELLO</t>
  </si>
  <si>
    <t>DAVIDE BEDESCHI</t>
  </si>
  <si>
    <t>MATTEO VERZA</t>
  </si>
  <si>
    <t>GIAN MARCO MARANGONI</t>
  </si>
  <si>
    <t>LUCA CEDRINO</t>
  </si>
  <si>
    <t>LUCA MARINI</t>
  </si>
  <si>
    <t>YOUSSEF IAICH</t>
  </si>
  <si>
    <t>MATTIA BORGATO</t>
  </si>
  <si>
    <t>LUCA SIMEONE</t>
  </si>
  <si>
    <t>FILIPPO CREPALDI</t>
  </si>
  <si>
    <t>DENIS TIMPANARO</t>
  </si>
  <si>
    <t>IGNAZIO BADALÌ</t>
  </si>
  <si>
    <t>MATTEO BARTOLOMEI</t>
  </si>
  <si>
    <t>GIACOMO BORTOLIERO</t>
  </si>
  <si>
    <t>MATTEO CAMPION</t>
  </si>
  <si>
    <t>CRISTIAN MICUCCI</t>
  </si>
  <si>
    <t>ISMAIL ECHCHARI</t>
  </si>
  <si>
    <t>NICHOLAS MOSCHINI</t>
  </si>
  <si>
    <t>MARCO NEODO</t>
  </si>
  <si>
    <t>ANDREA GREGGIO</t>
  </si>
  <si>
    <t>ALLAL SABIL</t>
  </si>
  <si>
    <t>HAMZA AGRIBI</t>
  </si>
  <si>
    <t>MARCO CASAROTTI</t>
  </si>
  <si>
    <t>ELIA NAGLIERI</t>
  </si>
  <si>
    <t>LUCA PAPARELLA</t>
  </si>
  <si>
    <t>MATTEO TOSETTI</t>
  </si>
  <si>
    <t>GIANLUCA FREZZATI</t>
  </si>
  <si>
    <t>LEONARDO BEDENDO</t>
  </si>
  <si>
    <t>RICCARDO ALESSIO</t>
  </si>
  <si>
    <t>LORENZO REZZAGHI</t>
  </si>
  <si>
    <t>DAVIDE GIRARDELLO</t>
  </si>
  <si>
    <t>ALEX BERTIPAGLIA</t>
  </si>
  <si>
    <t>GIACOMO DOLCE</t>
  </si>
  <si>
    <t>MATTIA AYRTON MARIOTTO</t>
  </si>
  <si>
    <t>NICOLA MARINI</t>
  </si>
  <si>
    <t>KHALID BENNOUNE</t>
  </si>
  <si>
    <t>MATTEO NATALI</t>
  </si>
  <si>
    <t>FILIPPO ZANINI</t>
  </si>
  <si>
    <t>LUCA POLATO</t>
  </si>
  <si>
    <t>MATTEO AMBROSINI</t>
  </si>
  <si>
    <t>FEDERICO MASCELLANI</t>
  </si>
  <si>
    <t>VLAD GABRIEL DUMINICA</t>
  </si>
  <si>
    <t>LUCA BERNARDINELLO</t>
  </si>
  <si>
    <t>EDOARDO CAVALLARI</t>
  </si>
  <si>
    <t>TOMMASO CALZAVARINI</t>
  </si>
  <si>
    <t>NICOLÒ BERGANTIN</t>
  </si>
  <si>
    <t>FABIO FERRARI</t>
  </si>
  <si>
    <t>CRISTIAN CAPUZZO</t>
  </si>
  <si>
    <t>ANDREA BALDON</t>
  </si>
  <si>
    <t>LUCA ROSSETTO</t>
  </si>
  <si>
    <t>YASSINE SOHAYB</t>
  </si>
  <si>
    <t>FRANCESCO DADDATO</t>
  </si>
  <si>
    <t>ALBERTO MUNERATO</t>
  </si>
  <si>
    <t>DANIELE SECCO</t>
  </si>
  <si>
    <t>ANDREA BONIN</t>
  </si>
  <si>
    <t>ALBERTO OSTI</t>
  </si>
  <si>
    <t>LEONARDO VERONESE</t>
  </si>
  <si>
    <t>MATTEO FERRO</t>
  </si>
  <si>
    <t>LEONARDO BULGARI</t>
  </si>
  <si>
    <t>FILIPPO CLEMENTE</t>
  </si>
  <si>
    <t>NICOLA MORIN</t>
  </si>
  <si>
    <t>EMANUELE VERONESE</t>
  </si>
  <si>
    <t>RAFFAELE GAROFALO</t>
  </si>
  <si>
    <t>ABDESSAMAD BAGHROUCH</t>
  </si>
  <si>
    <t>NICHOLAS LANZONI</t>
  </si>
  <si>
    <t>DOMENICO IACOVINO</t>
  </si>
  <si>
    <t>LUCA ROSSI</t>
  </si>
  <si>
    <t>MATTIA COLTRO</t>
  </si>
  <si>
    <t>ANDREA ANZOLETTI</t>
  </si>
  <si>
    <t>RICCARDO TOGNOLO</t>
  </si>
  <si>
    <t>ALBERTO LORENZETTI</t>
  </si>
  <si>
    <t>LUCA CECCONELLO</t>
  </si>
  <si>
    <t>NICOLA DOBROZI</t>
  </si>
  <si>
    <t>ALEX BERGO</t>
  </si>
  <si>
    <t>NICOLÒ POLITI</t>
  </si>
  <si>
    <t>GIACOMO PROTTI</t>
  </si>
  <si>
    <t>NICOLA BARONI</t>
  </si>
  <si>
    <t>MATTIA BIOLCATI</t>
  </si>
  <si>
    <t>MATTEO SENO</t>
  </si>
  <si>
    <t>PlayerID</t>
  </si>
  <si>
    <t>ShirtNumber</t>
  </si>
  <si>
    <t>PlayerName</t>
  </si>
  <si>
    <t>Captain</t>
  </si>
  <si>
    <t>DisplayName</t>
  </si>
  <si>
    <t>MatchID</t>
  </si>
  <si>
    <t>Stage</t>
  </si>
  <si>
    <t>Round</t>
  </si>
  <si>
    <t>Field</t>
  </si>
  <si>
    <t>Time</t>
  </si>
  <si>
    <t>HomeTeam</t>
  </si>
  <si>
    <t>AwayTeam</t>
  </si>
  <si>
    <t>HomeGoals</t>
  </si>
  <si>
    <t>AwayGoals</t>
  </si>
  <si>
    <t>Status</t>
  </si>
  <si>
    <t>HomePoints</t>
  </si>
  <si>
    <t>AwayPoints</t>
  </si>
  <si>
    <t>Winner</t>
  </si>
  <si>
    <t>ScoreLabel</t>
  </si>
  <si>
    <t>M01</t>
  </si>
  <si>
    <t>1</t>
  </si>
  <si>
    <t>M02</t>
  </si>
  <si>
    <t>2</t>
  </si>
  <si>
    <t>M03</t>
  </si>
  <si>
    <t>3 (S)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</si>
  <si>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</si>
  <si>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</si>
  <si>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</si>
  <si>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</si>
  <si>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</si>
  <si>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</si>
  <si>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</si>
  <si>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</si>
  <si>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</si>
  <si>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</si>
  <si>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</si>
  <si>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</si>
  <si>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</si>
  <si>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</si>
  <si>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</si>
  <si>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</si>
  <si>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</si>
  <si>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</si>
  <si>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</si>
  <si>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</si>
  <si>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</si>
  <si>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GoalForTeam</t>
  </si>
  <si>
    <t>GoalSlot</t>
  </si>
  <si>
    <t>Player</t>
  </si>
  <si>
    <t>ScorerTeam</t>
  </si>
  <si>
    <t>PlayerListRange</t>
  </si>
  <si>
    <t>MatchRow</t>
  </si>
  <si>
    <t>Slot</t>
  </si>
  <si>
    <t>Note</t>
  </si>
  <si>
    <t>Autogol: lasciare Player vuoto; non viene conteggiato nella classifica marcatori.</t>
  </si>
  <si>
    <t>Team</t>
  </si>
  <si>
    <t>Goals</t>
  </si>
  <si>
    <t>SortKey</t>
  </si>
  <si>
    <t>Pos</t>
  </si>
  <si>
    <t>Played</t>
  </si>
  <si>
    <t>Won</t>
  </si>
  <si>
    <t>WonPen</t>
  </si>
  <si>
    <t>LostPen</t>
  </si>
  <si>
    <t>Lost</t>
  </si>
  <si>
    <t>GF</t>
  </si>
  <si>
    <t>GA</t>
  </si>
  <si>
    <t>GD</t>
  </si>
  <si>
    <t>Points</t>
  </si>
  <si>
    <t>H2H_Manual</t>
  </si>
  <si>
    <t>Pts</t>
  </si>
  <si>
    <t>P</t>
  </si>
  <si>
    <t>W</t>
  </si>
  <si>
    <t>WP</t>
  </si>
  <si>
    <t>LP</t>
  </si>
  <si>
    <t>L</t>
  </si>
  <si>
    <t>QF1</t>
  </si>
  <si>
    <t>Quarter-final</t>
  </si>
  <si>
    <t>QF2</t>
  </si>
  <si>
    <t>20:00</t>
  </si>
  <si>
    <t>QF3</t>
  </si>
  <si>
    <t>20:45</t>
  </si>
  <si>
    <t>QF4</t>
  </si>
  <si>
    <t>SF1</t>
  </si>
  <si>
    <t>Semi-final</t>
  </si>
  <si>
    <t>21:45</t>
  </si>
  <si>
    <t>SF2</t>
  </si>
  <si>
    <t>FIN</t>
  </si>
  <si>
    <t>Final</t>
  </si>
  <si>
    <t>Marcatori knockout: il menu Player è vincolato alla squadra del gol.</t>
  </si>
  <si>
    <t>PlayerRangeForINDIRECT</t>
  </si>
  <si>
    <t>Validation!$C$2:$C$31</t>
  </si>
  <si>
    <t>Validation!$D$2:$D$31</t>
  </si>
  <si>
    <t>Validation!$E$2:$E$31</t>
  </si>
  <si>
    <t>Validation!$F$2:$F$31</t>
  </si>
  <si>
    <t>Validation!$G$2:$G$31</t>
  </si>
  <si>
    <t>Validation!$H$2:$H$31</t>
  </si>
  <si>
    <t>Validation!$I$2:$I$31</t>
  </si>
  <si>
    <t>Validation!$J$2:$J$31</t>
  </si>
  <si>
    <t>Validation!$K$2:$K$31</t>
  </si>
  <si>
    <t>Validation!$L$2:$L$31</t>
  </si>
  <si>
    <t>Validation!$M$2:$M$31</t>
  </si>
  <si>
    <t>Validation!$N$2:$N$31</t>
  </si>
  <si>
    <t>Validation!$O$2:$O$31</t>
  </si>
  <si>
    <t>Validation!$P$2:$P$31</t>
  </si>
  <si>
    <t>Validation!$Q$2:$Q$31</t>
  </si>
  <si>
    <t>Validation!$R$2:$R$31</t>
  </si>
  <si>
    <t>EXPORT — dati ordinati per sito</t>
  </si>
  <si>
    <t>standings</t>
  </si>
  <si>
    <t>top_scorers</t>
  </si>
  <si>
    <t>group</t>
  </si>
  <si>
    <t>position</t>
  </si>
  <si>
    <t>team</t>
  </si>
  <si>
    <t>points</t>
  </si>
  <si>
    <t>played</t>
  </si>
  <si>
    <t>won</t>
  </si>
  <si>
    <t>won_pen</t>
  </si>
  <si>
    <t>lost_pen</t>
  </si>
  <si>
    <t>lost</t>
  </si>
  <si>
    <t>gf</t>
  </si>
  <si>
    <t>ga</t>
  </si>
  <si>
    <t>gd</t>
  </si>
  <si>
    <t>player</t>
  </si>
  <si>
    <t>goals</t>
  </si>
  <si>
    <t>matches</t>
  </si>
  <si>
    <t>match_id</t>
  </si>
  <si>
    <t>stage</t>
  </si>
  <si>
    <t>round</t>
  </si>
  <si>
    <t>field</t>
  </si>
  <si>
    <t>time</t>
  </si>
  <si>
    <t>home_team</t>
  </si>
  <si>
    <t>away_team</t>
  </si>
  <si>
    <t>home_goals</t>
  </si>
  <si>
    <t>away_goals</t>
  </si>
  <si>
    <t>penalty_winner</t>
  </si>
  <si>
    <t>status</t>
  </si>
  <si>
    <t>home_points</t>
  </si>
  <si>
    <t>away_points</t>
  </si>
  <si>
    <t>winner</t>
  </si>
  <si>
    <t>score_label</t>
  </si>
  <si>
    <t>home_scorers</t>
  </si>
  <si>
    <t>away_scorers</t>
  </si>
  <si>
    <t>autogoals</t>
  </si>
  <si>
    <t>knockout</t>
  </si>
  <si>
    <t>match_goals</t>
  </si>
  <si>
    <t>goal_for_team</t>
  </si>
  <si>
    <t>goal_number</t>
  </si>
  <si>
    <t>goal_type</t>
  </si>
  <si>
    <t>scorer_team</t>
  </si>
  <si>
    <t>LiveReferenceDate</t>
  </si>
  <si>
    <t>2026-06-28</t>
  </si>
  <si>
    <t>Nome</t>
  </si>
  <si>
    <t>Cognome</t>
  </si>
  <si>
    <t>Punti</t>
  </si>
  <si>
    <t>SAMUELE DURRA</t>
  </si>
  <si>
    <t>MATTEO COL</t>
  </si>
  <si>
    <t>DANIIL YAKIMENKO</t>
  </si>
  <si>
    <t>MATTIA MERLO</t>
  </si>
  <si>
    <t>EDDY MAZZETTO</t>
  </si>
  <si>
    <t>NICO PAVANI</t>
  </si>
  <si>
    <t>ANDREI BARZAGHIDEANU</t>
  </si>
  <si>
    <t>TOMMASO ZANGIROLAMI</t>
  </si>
  <si>
    <t>ELIA SICCHIERO</t>
  </si>
  <si>
    <t>NICCOLO' PALTANIN</t>
  </si>
  <si>
    <t>MATTEO BOLZANI</t>
  </si>
  <si>
    <t>ALEX MENEGHELLO</t>
  </si>
  <si>
    <t>21 - LUCA CECCONELLO</t>
  </si>
  <si>
    <t>5 - NICOLA BRESCIANI</t>
  </si>
  <si>
    <t>3 - MATTEO ZAMBERLAN</t>
  </si>
  <si>
    <t>17 - DOMENICO IACOVINO</t>
  </si>
  <si>
    <t>7 - DENIS TIMPANARO</t>
  </si>
  <si>
    <t>Goal</t>
  </si>
  <si>
    <t>8 - MATTIA AYRTON MARIOTTO</t>
  </si>
  <si>
    <t>10 - DAVIDE ZAGHI (C)</t>
  </si>
  <si>
    <t>20 - MATTEO DALL'ARA</t>
  </si>
  <si>
    <t>5 - JACOPO VOLTOLINA</t>
  </si>
  <si>
    <t>8 - LEONARDO FUSCO</t>
  </si>
  <si>
    <t>3 - LEONARDO MAGGIO</t>
  </si>
  <si>
    <t>10 - ANDREI BARZAGHIDEANU</t>
  </si>
  <si>
    <t>14 - VLAD GABRIEL DUMINICA</t>
  </si>
  <si>
    <t>14 - EDOARDO CAVALLARI</t>
  </si>
  <si>
    <t>18 - MATTEO FERRO</t>
  </si>
  <si>
    <t>9 - IGNAZIO BADALÌ</t>
  </si>
  <si>
    <t>5 - MATTEO LONGO</t>
  </si>
  <si>
    <t>10 - GIANLUCA FREZZATI</t>
  </si>
  <si>
    <t>17 - NICOLA BARONI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</si>
</sst>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0" x14ac:knownFonts="1">
    <font>
      <sz val="11"/>
      <name val="Carlito"/>
    </font>
    <font>
      <b/>
      <sz val="16"/>
      <color rgb="FF7F1D1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7F1D1D"/>
      <name val="Carlito"/>
    </font>
    <font>
      <b/>
      <sz val="11"/>
      <color rgb="FF080808"/>
      <name val="Carlito"/>
    </font>
    <font>
      <b/>
      <sz val="11"/>
      <color rgb="FFFFFFFF"/>
      <name val="Carlito"/>
    </font>
    <font>
      <sz val="11"/>
      <color rgb="FFFFFFFF"/>
      <name val="Carlito"/>
    </font>
    <font>
      <b/>
      <sz val="11"/>
      <color rgb="FFFFFF00"/>
      <name val="Carlito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E0F2FE"/>
      </patternFill>
    </fill>
    <fill>
      <patternFill patternType="solid">
        <fgColor rgb="FF111827"/>
      </patternFill>
    </fill>
    <fill>
      <patternFill patternType="solid">
        <fgColor rgb="FFFDE68A"/>
      </patternFill>
    </fill>
    <fill>
      <patternFill patternType="solid">
        <fgColor rgb="FF7F1D1D"/>
      </patternFill>
    </fill>
    <fill>
      <patternFill patternType="solid">
        <fgColor rgb="FFE8FF00"/>
      </patternFill>
    </fill>
    <fill>
      <patternFill patternType="solid">
        <fgColor rgb="FF303030"/>
      </patternFill>
    </fill>
    <fill>
      <patternFill patternType="solid">
        <fgColor rgb="FF161616"/>
      </patternFill>
    </fill>
    <fill>
      <patternFill patternType="solid">
        <fgColor rgb="FF000500"/>
        <bgColor indexed="64"/>
      </patternFill>
    </fill>
    <fill>
      <patternFill patternType="solid">
        <fgColor rgb="FFE0F2FF"/>
        <bgColor indexed="64"/>
      </patternFill>
    </fill>
  </fills>
  <borders count="3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20" fontId="0" fillId="0" borderId="0" xfId="0" applyNumberFormat="1"/>
    <xf numFmtId="20" fontId="0" fillId="0" borderId="0" xfId="0" applyNumberFormat="1" applyAlignment="1">
      <alignment wrapText="1"/>
    </xf>
    <xf numFmtId="0" fontId="6" fillId="8" borderId="1" xfId="0" applyFont="1" applyFill="1" applyBorder="1" applyAlignment="1">
      <alignment horizontal="center"/>
    </xf>
    <xf numFmtId="0" fontId="7" fillId="9" borderId="1" xfId="0" applyFont="1" applyFill="1" applyBorder="1"/>
    <xf numFmtId="49" fontId="0" fillId="0" borderId="0" xfId="0" applyNumberFormat="1"/>
    <xf numFmtId="0" fontId="8" fillId="10" borderId="0" xfId="0" applyFont="1" applyFill="1" applyAlignment="1">
      <alignment horizontal="center"/>
    </xf>
    <xf numFmtId="0" fontId="0" fillId="11" borderId="2" xfId="0" applyFill="1" applyBorder="1"/>
    <xf numFmtId="1" fontId="0" fillId="11" borderId="2" xfId="0" applyNumberForma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ools/RESET_TORNEO.ba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20</xdr:row>
      <xdr:rowOff>0</xdr:rowOff>
    </xdr:to>
    <xdr:sp macro="" textlink="">
      <xdr:nvSpPr>
        <xdr:cNvPr id="2" name="ResetTournam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CDF04E-47D8-EA26-52A1-E206C4A5258A}"/>
            </a:ext>
          </a:extLst>
        </xdr:cNvPr>
        <xdr:cNvSpPr/>
      </xdr:nvSpPr>
      <xdr:spPr>
        <a:xfrm>
          <a:off x="0" y="4290060"/>
          <a:ext cx="9928860" cy="365760"/>
        </a:xfrm>
        <a:prstGeom prst="roundRect">
          <a:avLst/>
        </a:prstGeom>
        <a:solidFill>
          <a:srgbClr val="DC2828"/>
        </a:solidFill>
        <a:ln w="1905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FFFFFF"/>
              </a:solidFill>
              <a:latin typeface="Arial" panose="020B0604020202020204" pitchFamily="34" charset="0"/>
            </a:rPr>
            <a:t>RESET TORNEO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opLeftCell="A3" workbookViewId="0">
      <selection activeCell="E11" sqref="E11"/>
    </sheetView>
  </sheetViews>
  <sheetFormatPr defaultRowHeight="14.4" x14ac:dyDescent="0.3"/>
  <cols>
    <col min="1" max="1" width="71.21875" customWidth="1"/>
    <col min="2" max="2" width="38" customWidth="1"/>
  </cols>
  <sheetData>
    <row r="1" spans="1:26" ht="21" customHeight="1" x14ac:dyDescent="0.3">
      <c r="A1" s="3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57.6" customHeight="1" x14ac:dyDescent="0.3">
      <c r="A3" s="1" t="s">
        <v>41</v>
      </c>
    </row>
    <row r="5" spans="1:26" x14ac:dyDescent="0.3">
      <c r="A5" s="1" t="s">
        <v>42</v>
      </c>
      <c r="B5" s="1">
        <v>3</v>
      </c>
    </row>
    <row r="6" spans="1:26" x14ac:dyDescent="0.3">
      <c r="A6" s="1" t="s">
        <v>43</v>
      </c>
      <c r="B6" s="1">
        <v>2</v>
      </c>
    </row>
    <row r="7" spans="1:26" x14ac:dyDescent="0.3">
      <c r="A7" s="1" t="s">
        <v>44</v>
      </c>
      <c r="B7" s="1">
        <v>1</v>
      </c>
    </row>
    <row r="8" spans="1:26" x14ac:dyDescent="0.3">
      <c r="A8" s="1" t="s">
        <v>45</v>
      </c>
      <c r="B8" s="1">
        <v>0</v>
      </c>
    </row>
    <row r="9" spans="1:26" x14ac:dyDescent="0.3">
      <c r="A9" s="1" t="s">
        <v>46</v>
      </c>
      <c r="B9" s="1" t="s">
        <v>47</v>
      </c>
    </row>
    <row r="10" spans="1:26" ht="28.8" customHeight="1" x14ac:dyDescent="0.3">
      <c r="A10" s="1" t="s">
        <v>48</v>
      </c>
      <c r="B10" s="1" t="s">
        <v>49</v>
      </c>
    </row>
    <row r="11" spans="1:26" x14ac:dyDescent="0.3">
      <c r="A11" s="1" t="s">
        <v>50</v>
      </c>
      <c r="B11" s="1" t="s">
        <v>51</v>
      </c>
    </row>
    <row r="12" spans="1:26" ht="28.8" customHeight="1" x14ac:dyDescent="0.3">
      <c r="A12" s="1" t="s">
        <v>52</v>
      </c>
      <c r="B12" s="1" t="s">
        <v>53</v>
      </c>
    </row>
    <row r="14" spans="1:26" x14ac:dyDescent="0.3">
      <c r="A14" t="s">
        <v>54</v>
      </c>
      <c r="B14" t="s">
        <v>55</v>
      </c>
    </row>
    <row r="15" spans="1:26" x14ac:dyDescent="0.3">
      <c r="A15" t="s">
        <v>56</v>
      </c>
      <c r="B15" t="s">
        <v>57</v>
      </c>
    </row>
    <row r="16" spans="1:26" x14ac:dyDescent="0.3">
      <c r="A16" t="s">
        <v>58</v>
      </c>
      <c r="B16" t="s">
        <v>59</v>
      </c>
    </row>
    <row r="17" spans="1:6" x14ac:dyDescent="0.3">
      <c r="A17" t="s">
        <v>60</v>
      </c>
      <c r="B17" t="s">
        <v>61</v>
      </c>
    </row>
    <row r="18" spans="1:6" x14ac:dyDescent="0.3">
      <c r="A18" t="s">
        <v>62</v>
      </c>
    </row>
    <row r="19" spans="1:6" x14ac:dyDescent="0.3">
      <c r="A19" s="21"/>
      <c r="B19" s="21"/>
      <c r="C19" s="21"/>
      <c r="D19" s="21"/>
      <c r="E19" s="21"/>
      <c r="F19" s="21"/>
    </row>
    <row r="20" spans="1:6" x14ac:dyDescent="0.3">
      <c r="A20" s="21"/>
      <c r="B20" s="21"/>
      <c r="C20" s="21"/>
      <c r="D20" s="21"/>
      <c r="E20" s="21"/>
      <c r="F20" s="21"/>
    </row>
  </sheetData>
  <mergeCells count="1">
    <mergeCell ref="A19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"/>
  <sheetViews>
    <sheetView workbookViewId="0">
      <selection activeCell="C11" sqref="C11"/>
    </sheetView>
  </sheetViews>
  <sheetFormatPr defaultRowHeight="14.4" x14ac:dyDescent="0.3"/>
  <cols>
    <col min="1" max="2" width="24" customWidth="1"/>
  </cols>
  <sheetData>
    <row r="1" spans="1:26" x14ac:dyDescent="0.3">
      <c r="A1" s="5" t="s">
        <v>63</v>
      </c>
      <c r="B1" s="5" t="s">
        <v>64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65</v>
      </c>
      <c r="B2">
        <v>3</v>
      </c>
    </row>
    <row r="3" spans="1:26" x14ac:dyDescent="0.3">
      <c r="A3" t="s">
        <v>66</v>
      </c>
      <c r="B3">
        <v>2</v>
      </c>
    </row>
    <row r="4" spans="1:26" x14ac:dyDescent="0.3">
      <c r="A4" t="s">
        <v>67</v>
      </c>
      <c r="B4">
        <v>1</v>
      </c>
    </row>
    <row r="5" spans="1:26" x14ac:dyDescent="0.3">
      <c r="A5" t="s">
        <v>68</v>
      </c>
      <c r="B5">
        <v>0</v>
      </c>
    </row>
    <row r="6" spans="1:26" x14ac:dyDescent="0.3">
      <c r="A6" t="s">
        <v>69</v>
      </c>
      <c r="B6">
        <v>12</v>
      </c>
    </row>
    <row r="7" spans="1:26" x14ac:dyDescent="0.3">
      <c r="A7" t="s">
        <v>386</v>
      </c>
      <c r="B7" s="16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D2" sqref="D2"/>
    </sheetView>
  </sheetViews>
  <sheetFormatPr defaultRowHeight="14.4" x14ac:dyDescent="0.3"/>
  <cols>
    <col min="1" max="4" width="24" customWidth="1"/>
  </cols>
  <sheetData>
    <row r="1" spans="1:26" x14ac:dyDescent="0.3">
      <c r="A1" s="5" t="s">
        <v>0</v>
      </c>
      <c r="B1" s="5" t="s">
        <v>1</v>
      </c>
      <c r="C1" s="5" t="s">
        <v>2</v>
      </c>
      <c r="D1" s="5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4</v>
      </c>
      <c r="B2" t="s">
        <v>5</v>
      </c>
      <c r="C2" t="s">
        <v>6</v>
      </c>
      <c r="D2">
        <f>COUNTIF(Players!$B$2:$B$481,A2)</f>
        <v>10</v>
      </c>
    </row>
    <row r="3" spans="1:26" x14ac:dyDescent="0.3">
      <c r="A3" t="s">
        <v>7</v>
      </c>
      <c r="B3" t="s">
        <v>5</v>
      </c>
      <c r="C3" t="s">
        <v>8</v>
      </c>
      <c r="D3">
        <f>COUNTIF(Players!$B$2:$B$481,A3)</f>
        <v>10</v>
      </c>
    </row>
    <row r="4" spans="1:26" x14ac:dyDescent="0.3">
      <c r="A4" t="s">
        <v>9</v>
      </c>
      <c r="B4" t="s">
        <v>5</v>
      </c>
      <c r="C4" t="s">
        <v>10</v>
      </c>
      <c r="D4">
        <f>COUNTIF(Players!$B$2:$B$481,A4)</f>
        <v>13</v>
      </c>
    </row>
    <row r="5" spans="1:26" x14ac:dyDescent="0.3">
      <c r="A5" t="s">
        <v>11</v>
      </c>
      <c r="B5" t="s">
        <v>5</v>
      </c>
      <c r="C5" t="s">
        <v>12</v>
      </c>
      <c r="D5">
        <f>COUNTIF(Players!$B$2:$B$481,A5)</f>
        <v>9</v>
      </c>
    </row>
    <row r="6" spans="1:26" x14ac:dyDescent="0.3">
      <c r="A6" t="s">
        <v>13</v>
      </c>
      <c r="B6" t="s">
        <v>14</v>
      </c>
      <c r="C6" t="s">
        <v>15</v>
      </c>
      <c r="D6">
        <f>COUNTIF(Players!$B$2:$B$481,A6)</f>
        <v>9</v>
      </c>
    </row>
    <row r="7" spans="1:26" x14ac:dyDescent="0.3">
      <c r="A7" t="s">
        <v>16</v>
      </c>
      <c r="B7" t="s">
        <v>14</v>
      </c>
      <c r="C7" t="s">
        <v>17</v>
      </c>
      <c r="D7">
        <f>COUNTIF(Players!$B$2:$B$481,A7)</f>
        <v>11</v>
      </c>
    </row>
    <row r="8" spans="1:26" x14ac:dyDescent="0.3">
      <c r="A8" t="s">
        <v>18</v>
      </c>
      <c r="B8" t="s">
        <v>14</v>
      </c>
      <c r="C8" t="s">
        <v>19</v>
      </c>
      <c r="D8">
        <f>COUNTIF(Players!$B$2:$B$481,A8)</f>
        <v>11</v>
      </c>
    </row>
    <row r="9" spans="1:26" x14ac:dyDescent="0.3">
      <c r="A9" t="s">
        <v>20</v>
      </c>
      <c r="B9" t="s">
        <v>14</v>
      </c>
      <c r="C9" t="s">
        <v>21</v>
      </c>
      <c r="D9">
        <f>COUNTIF(Players!$B$2:$B$481,A9)</f>
        <v>6</v>
      </c>
    </row>
    <row r="10" spans="1:26" x14ac:dyDescent="0.3">
      <c r="A10" t="s">
        <v>22</v>
      </c>
      <c r="B10" t="s">
        <v>23</v>
      </c>
      <c r="C10" t="s">
        <v>24</v>
      </c>
      <c r="D10">
        <f>COUNTIF(Players!$B$2:$B$481,A10)</f>
        <v>9</v>
      </c>
    </row>
    <row r="11" spans="1:26" x14ac:dyDescent="0.3">
      <c r="A11" t="s">
        <v>25</v>
      </c>
      <c r="B11" t="s">
        <v>23</v>
      </c>
      <c r="C11" t="s">
        <v>26</v>
      </c>
      <c r="D11">
        <f>COUNTIF(Players!$B$2:$B$481,A11)</f>
        <v>10</v>
      </c>
    </row>
    <row r="12" spans="1:26" x14ac:dyDescent="0.3">
      <c r="A12" t="s">
        <v>27</v>
      </c>
      <c r="B12" t="s">
        <v>23</v>
      </c>
      <c r="C12" t="s">
        <v>28</v>
      </c>
      <c r="D12">
        <f>COUNTIF(Players!$B$2:$B$481,A12)</f>
        <v>10</v>
      </c>
    </row>
    <row r="13" spans="1:26" x14ac:dyDescent="0.3">
      <c r="A13" t="s">
        <v>29</v>
      </c>
      <c r="B13" t="s">
        <v>23</v>
      </c>
      <c r="C13" t="s">
        <v>30</v>
      </c>
      <c r="D13">
        <f>COUNTIF(Players!$B$2:$B$481,A13)</f>
        <v>10</v>
      </c>
    </row>
    <row r="14" spans="1:26" x14ac:dyDescent="0.3">
      <c r="A14" t="s">
        <v>31</v>
      </c>
      <c r="B14" t="s">
        <v>32</v>
      </c>
      <c r="C14" t="s">
        <v>33</v>
      </c>
      <c r="D14">
        <f>COUNTIF(Players!$B$2:$B$481,A14)</f>
        <v>11</v>
      </c>
    </row>
    <row r="15" spans="1:26" x14ac:dyDescent="0.3">
      <c r="A15" t="s">
        <v>34</v>
      </c>
      <c r="B15" t="s">
        <v>32</v>
      </c>
      <c r="C15" t="s">
        <v>35</v>
      </c>
      <c r="D15">
        <f>COUNTIF(Players!$B$2:$B$481,A15)</f>
        <v>10</v>
      </c>
    </row>
    <row r="16" spans="1:26" x14ac:dyDescent="0.3">
      <c r="A16" t="s">
        <v>36</v>
      </c>
      <c r="B16" t="s">
        <v>32</v>
      </c>
      <c r="C16" t="s">
        <v>37</v>
      </c>
      <c r="D16">
        <f>COUNTIF(Players!$B$2:$B$481,A16)</f>
        <v>10</v>
      </c>
    </row>
    <row r="17" spans="1:4" x14ac:dyDescent="0.3">
      <c r="A17" t="s">
        <v>38</v>
      </c>
      <c r="B17" t="s">
        <v>32</v>
      </c>
      <c r="C17" t="s">
        <v>39</v>
      </c>
      <c r="D17">
        <f>COUNTIF(Players!$B$2:$B$481,A17)</f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FF00"/>
  </sheetPr>
  <dimension ref="A1:AV32"/>
  <sheetViews>
    <sheetView showGridLines="0" workbookViewId="0">
      <pane ySplit="2" topLeftCell="A3" activePane="bottomLeft" state="frozen"/>
      <selection pane="bottomLeft" activeCell="B15" sqref="B15"/>
    </sheetView>
  </sheetViews>
  <sheetFormatPr defaultRowHeight="14.4" x14ac:dyDescent="0.3"/>
  <cols>
    <col min="1" max="1" width="9" customWidth="1"/>
    <col min="2" max="2" width="28" customWidth="1"/>
    <col min="3" max="3" width="11" customWidth="1"/>
    <col min="4" max="4" width="9" customWidth="1"/>
    <col min="5" max="5" width="28" customWidth="1"/>
    <col min="6" max="6" width="11" customWidth="1"/>
    <col min="7" max="7" width="9" customWidth="1"/>
    <col min="8" max="8" width="28" customWidth="1"/>
    <col min="9" max="9" width="11" customWidth="1"/>
    <col min="10" max="10" width="9" customWidth="1"/>
    <col min="11" max="11" width="28" customWidth="1"/>
    <col min="12" max="12" width="11" customWidth="1"/>
    <col min="13" max="13" width="9" customWidth="1"/>
    <col min="14" max="14" width="28" customWidth="1"/>
    <col min="15" max="15" width="11" customWidth="1"/>
    <col min="16" max="16" width="9" customWidth="1"/>
    <col min="17" max="17" width="28" customWidth="1"/>
    <col min="18" max="18" width="11" customWidth="1"/>
    <col min="19" max="19" width="9" customWidth="1"/>
    <col min="20" max="20" width="28" customWidth="1"/>
    <col min="21" max="21" width="11" customWidth="1"/>
    <col min="22" max="22" width="9" customWidth="1"/>
    <col min="23" max="23" width="28" customWidth="1"/>
    <col min="24" max="24" width="11" customWidth="1"/>
    <col min="25" max="25" width="9" customWidth="1"/>
    <col min="26" max="26" width="28" customWidth="1"/>
    <col min="27" max="27" width="11" customWidth="1"/>
    <col min="28" max="28" width="9" customWidth="1"/>
    <col min="29" max="29" width="28" customWidth="1"/>
    <col min="30" max="30" width="11" customWidth="1"/>
    <col min="31" max="31" width="9" customWidth="1"/>
    <col min="32" max="32" width="28" customWidth="1"/>
    <col min="33" max="33" width="11" customWidth="1"/>
    <col min="34" max="34" width="9" customWidth="1"/>
    <col min="35" max="35" width="28" customWidth="1"/>
    <col min="36" max="36" width="11" customWidth="1"/>
    <col min="37" max="37" width="9" customWidth="1"/>
    <col min="38" max="38" width="28" customWidth="1"/>
    <col min="39" max="39" width="11" customWidth="1"/>
    <col min="40" max="40" width="9" customWidth="1"/>
    <col min="41" max="41" width="28" customWidth="1"/>
    <col min="42" max="42" width="11" customWidth="1"/>
    <col min="43" max="43" width="9" customWidth="1"/>
    <col min="44" max="44" width="28" customWidth="1"/>
    <col min="45" max="45" width="11" customWidth="1"/>
    <col min="46" max="46" width="9" customWidth="1"/>
    <col min="47" max="47" width="28" customWidth="1"/>
    <col min="48" max="48" width="11" customWidth="1"/>
  </cols>
  <sheetData>
    <row r="1" spans="1:48" x14ac:dyDescent="0.3">
      <c r="A1" s="20" t="s">
        <v>70</v>
      </c>
      <c r="B1" s="21"/>
      <c r="C1" s="21"/>
      <c r="D1" s="20" t="s">
        <v>71</v>
      </c>
      <c r="E1" s="21"/>
      <c r="F1" s="21"/>
      <c r="G1" s="20" t="s">
        <v>72</v>
      </c>
      <c r="H1" s="21"/>
      <c r="I1" s="21"/>
      <c r="J1" s="20" t="s">
        <v>73</v>
      </c>
      <c r="K1" s="21"/>
      <c r="L1" s="21"/>
      <c r="M1" s="20" t="s">
        <v>74</v>
      </c>
      <c r="N1" s="21"/>
      <c r="O1" s="21"/>
      <c r="P1" s="20" t="s">
        <v>75</v>
      </c>
      <c r="Q1" s="21"/>
      <c r="R1" s="21"/>
      <c r="S1" s="20" t="s">
        <v>76</v>
      </c>
      <c r="T1" s="21"/>
      <c r="U1" s="21"/>
      <c r="V1" s="20" t="s">
        <v>77</v>
      </c>
      <c r="W1" s="21"/>
      <c r="X1" s="21"/>
      <c r="Y1" s="20" t="s">
        <v>78</v>
      </c>
      <c r="Z1" s="21"/>
      <c r="AA1" s="21"/>
      <c r="AB1" s="20" t="s">
        <v>79</v>
      </c>
      <c r="AC1" s="21"/>
      <c r="AD1" s="21"/>
      <c r="AE1" s="20" t="s">
        <v>80</v>
      </c>
      <c r="AF1" s="21"/>
      <c r="AG1" s="21"/>
      <c r="AH1" s="20" t="s">
        <v>81</v>
      </c>
      <c r="AI1" s="21"/>
      <c r="AJ1" s="21"/>
      <c r="AK1" s="20" t="s">
        <v>82</v>
      </c>
      <c r="AL1" s="21"/>
      <c r="AM1" s="21"/>
      <c r="AN1" s="20" t="s">
        <v>83</v>
      </c>
      <c r="AO1" s="21"/>
      <c r="AP1" s="21"/>
      <c r="AQ1" s="20" t="s">
        <v>84</v>
      </c>
      <c r="AR1" s="21"/>
      <c r="AS1" s="21"/>
      <c r="AT1" s="20" t="s">
        <v>85</v>
      </c>
      <c r="AU1" s="21"/>
      <c r="AV1" s="21"/>
    </row>
    <row r="2" spans="1:48" x14ac:dyDescent="0.3">
      <c r="A2" s="14" t="s">
        <v>86</v>
      </c>
      <c r="B2" s="14" t="s">
        <v>87</v>
      </c>
      <c r="C2" s="14" t="s">
        <v>88</v>
      </c>
      <c r="D2" s="14" t="s">
        <v>86</v>
      </c>
      <c r="E2" s="14" t="s">
        <v>87</v>
      </c>
      <c r="F2" s="14" t="s">
        <v>88</v>
      </c>
      <c r="G2" s="14" t="s">
        <v>86</v>
      </c>
      <c r="H2" s="14" t="s">
        <v>87</v>
      </c>
      <c r="I2" s="14" t="s">
        <v>88</v>
      </c>
      <c r="J2" s="14" t="s">
        <v>86</v>
      </c>
      <c r="K2" s="14" t="s">
        <v>87</v>
      </c>
      <c r="L2" s="14" t="s">
        <v>88</v>
      </c>
      <c r="M2" s="14" t="s">
        <v>86</v>
      </c>
      <c r="N2" s="14" t="s">
        <v>87</v>
      </c>
      <c r="O2" s="14" t="s">
        <v>88</v>
      </c>
      <c r="P2" s="14" t="s">
        <v>86</v>
      </c>
      <c r="Q2" s="14" t="s">
        <v>87</v>
      </c>
      <c r="R2" s="14" t="s">
        <v>88</v>
      </c>
      <c r="S2" s="14" t="s">
        <v>86</v>
      </c>
      <c r="T2" s="14" t="s">
        <v>87</v>
      </c>
      <c r="U2" s="14" t="s">
        <v>88</v>
      </c>
      <c r="V2" s="14" t="s">
        <v>86</v>
      </c>
      <c r="W2" s="14" t="s">
        <v>87</v>
      </c>
      <c r="X2" s="14" t="s">
        <v>88</v>
      </c>
      <c r="Y2" s="14" t="s">
        <v>86</v>
      </c>
      <c r="Z2" s="14" t="s">
        <v>87</v>
      </c>
      <c r="AA2" s="14" t="s">
        <v>88</v>
      </c>
      <c r="AB2" s="14" t="s">
        <v>86</v>
      </c>
      <c r="AC2" s="14" t="s">
        <v>87</v>
      </c>
      <c r="AD2" s="14" t="s">
        <v>88</v>
      </c>
      <c r="AE2" s="14" t="s">
        <v>86</v>
      </c>
      <c r="AF2" s="14" t="s">
        <v>87</v>
      </c>
      <c r="AG2" s="14" t="s">
        <v>88</v>
      </c>
      <c r="AH2" s="14" t="s">
        <v>86</v>
      </c>
      <c r="AI2" s="14" t="s">
        <v>87</v>
      </c>
      <c r="AJ2" s="14" t="s">
        <v>88</v>
      </c>
      <c r="AK2" s="14" t="s">
        <v>86</v>
      </c>
      <c r="AL2" s="14" t="s">
        <v>87</v>
      </c>
      <c r="AM2" s="14" t="s">
        <v>88</v>
      </c>
      <c r="AN2" s="14" t="s">
        <v>86</v>
      </c>
      <c r="AO2" s="14" t="s">
        <v>87</v>
      </c>
      <c r="AP2" s="14" t="s">
        <v>88</v>
      </c>
      <c r="AQ2" s="14" t="s">
        <v>86</v>
      </c>
      <c r="AR2" s="14" t="s">
        <v>87</v>
      </c>
      <c r="AS2" s="14" t="s">
        <v>88</v>
      </c>
      <c r="AT2" s="14" t="s">
        <v>86</v>
      </c>
      <c r="AU2" s="14" t="s">
        <v>87</v>
      </c>
      <c r="AV2" s="14" t="s">
        <v>88</v>
      </c>
    </row>
    <row r="3" spans="1:48" x14ac:dyDescent="0.3">
      <c r="A3" s="15">
        <v>1</v>
      </c>
      <c r="B3" s="15" t="s">
        <v>89</v>
      </c>
      <c r="C3" s="15" t="s">
        <v>90</v>
      </c>
      <c r="D3" s="15"/>
      <c r="E3" s="15" t="s">
        <v>91</v>
      </c>
      <c r="F3" s="15" t="s">
        <v>90</v>
      </c>
      <c r="G3" s="15"/>
      <c r="H3" s="15" t="s">
        <v>394</v>
      </c>
      <c r="I3" s="15" t="s">
        <v>90</v>
      </c>
      <c r="J3" s="15">
        <v>1</v>
      </c>
      <c r="K3" s="15" t="s">
        <v>92</v>
      </c>
      <c r="L3" s="15" t="s">
        <v>90</v>
      </c>
      <c r="M3" s="15">
        <v>5</v>
      </c>
      <c r="N3" s="15" t="s">
        <v>93</v>
      </c>
      <c r="O3" s="15" t="s">
        <v>90</v>
      </c>
      <c r="P3" s="15">
        <v>10</v>
      </c>
      <c r="Q3" s="15" t="s">
        <v>94</v>
      </c>
      <c r="R3" s="15" t="s">
        <v>108</v>
      </c>
      <c r="S3" s="15">
        <v>1</v>
      </c>
      <c r="T3" s="15" t="s">
        <v>95</v>
      </c>
      <c r="U3" s="15" t="s">
        <v>90</v>
      </c>
      <c r="V3" s="15">
        <v>4</v>
      </c>
      <c r="W3" s="15" t="s">
        <v>96</v>
      </c>
      <c r="X3" s="15" t="s">
        <v>90</v>
      </c>
      <c r="Y3" s="15">
        <v>1</v>
      </c>
      <c r="Z3" s="15" t="s">
        <v>97</v>
      </c>
      <c r="AA3" s="15" t="s">
        <v>90</v>
      </c>
      <c r="AB3" s="15">
        <v>4</v>
      </c>
      <c r="AC3" s="15" t="s">
        <v>98</v>
      </c>
      <c r="AD3" s="15" t="s">
        <v>90</v>
      </c>
      <c r="AE3" s="15">
        <v>1</v>
      </c>
      <c r="AF3" s="15" t="s">
        <v>99</v>
      </c>
      <c r="AG3" s="15" t="s">
        <v>90</v>
      </c>
      <c r="AH3" s="15">
        <v>4</v>
      </c>
      <c r="AI3" s="15" t="s">
        <v>100</v>
      </c>
      <c r="AJ3" s="15" t="s">
        <v>90</v>
      </c>
      <c r="AK3" s="15">
        <v>1</v>
      </c>
      <c r="AL3" s="15" t="s">
        <v>101</v>
      </c>
      <c r="AM3" s="15" t="s">
        <v>90</v>
      </c>
      <c r="AN3" s="15">
        <v>1</v>
      </c>
      <c r="AO3" s="15" t="s">
        <v>102</v>
      </c>
      <c r="AP3" s="15" t="s">
        <v>90</v>
      </c>
      <c r="AQ3" s="15">
        <v>1</v>
      </c>
      <c r="AR3" s="15" t="s">
        <v>103</v>
      </c>
      <c r="AS3" s="15" t="s">
        <v>90</v>
      </c>
      <c r="AT3" s="15">
        <v>1</v>
      </c>
      <c r="AU3" s="15" t="s">
        <v>104</v>
      </c>
      <c r="AV3" s="15" t="s">
        <v>90</v>
      </c>
    </row>
    <row r="4" spans="1:48" x14ac:dyDescent="0.3">
      <c r="A4" s="15">
        <v>99</v>
      </c>
      <c r="B4" s="15" t="s">
        <v>105</v>
      </c>
      <c r="C4" s="15" t="s">
        <v>90</v>
      </c>
      <c r="D4" s="15"/>
      <c r="E4" s="15" t="s">
        <v>106</v>
      </c>
      <c r="F4" s="15" t="s">
        <v>90</v>
      </c>
      <c r="G4" s="15"/>
      <c r="H4" s="15" t="s">
        <v>107</v>
      </c>
      <c r="I4" s="15" t="s">
        <v>108</v>
      </c>
      <c r="J4" s="15">
        <v>4</v>
      </c>
      <c r="K4" s="15" t="s">
        <v>109</v>
      </c>
      <c r="L4" s="15" t="s">
        <v>90</v>
      </c>
      <c r="M4" s="15">
        <v>6</v>
      </c>
      <c r="N4" s="15" t="s">
        <v>110</v>
      </c>
      <c r="O4" s="15" t="s">
        <v>90</v>
      </c>
      <c r="P4" s="15">
        <v>5</v>
      </c>
      <c r="Q4" s="15" t="s">
        <v>111</v>
      </c>
      <c r="R4" s="15" t="s">
        <v>90</v>
      </c>
      <c r="S4" s="15">
        <v>2</v>
      </c>
      <c r="T4" s="15" t="s">
        <v>112</v>
      </c>
      <c r="U4" s="15" t="s">
        <v>90</v>
      </c>
      <c r="V4" s="15">
        <v>10</v>
      </c>
      <c r="W4" s="15" t="s">
        <v>113</v>
      </c>
      <c r="X4" s="15" t="s">
        <v>108</v>
      </c>
      <c r="Y4" s="15">
        <v>3</v>
      </c>
      <c r="Z4" s="15" t="s">
        <v>114</v>
      </c>
      <c r="AA4" s="15" t="s">
        <v>90</v>
      </c>
      <c r="AB4" s="15">
        <v>7</v>
      </c>
      <c r="AC4" s="15" t="s">
        <v>399</v>
      </c>
      <c r="AD4" s="15" t="s">
        <v>90</v>
      </c>
      <c r="AE4" s="15">
        <v>2</v>
      </c>
      <c r="AF4" s="15" t="s">
        <v>115</v>
      </c>
      <c r="AG4" s="15" t="s">
        <v>90</v>
      </c>
      <c r="AH4" s="15">
        <v>5</v>
      </c>
      <c r="AI4" s="15" t="s">
        <v>116</v>
      </c>
      <c r="AJ4" s="15" t="s">
        <v>90</v>
      </c>
      <c r="AK4" s="15">
        <v>3</v>
      </c>
      <c r="AL4" s="15" t="s">
        <v>117</v>
      </c>
      <c r="AM4" s="15" t="s">
        <v>90</v>
      </c>
      <c r="AN4" s="15">
        <v>2</v>
      </c>
      <c r="AO4" s="15" t="s">
        <v>118</v>
      </c>
      <c r="AP4" s="15" t="s">
        <v>90</v>
      </c>
      <c r="AQ4" s="15">
        <v>3</v>
      </c>
      <c r="AR4" s="15" t="s">
        <v>119</v>
      </c>
      <c r="AS4" s="15" t="s">
        <v>90</v>
      </c>
      <c r="AT4" s="15">
        <v>2</v>
      </c>
      <c r="AU4" s="15" t="s">
        <v>120</v>
      </c>
      <c r="AV4" s="15" t="s">
        <v>90</v>
      </c>
    </row>
    <row r="5" spans="1:48" x14ac:dyDescent="0.3">
      <c r="A5" s="15">
        <v>5</v>
      </c>
      <c r="B5" s="15" t="s">
        <v>121</v>
      </c>
      <c r="C5" s="15" t="s">
        <v>90</v>
      </c>
      <c r="D5" s="15"/>
      <c r="E5" s="15" t="s">
        <v>122</v>
      </c>
      <c r="F5" s="15" t="s">
        <v>90</v>
      </c>
      <c r="G5" s="15"/>
      <c r="H5" s="15" t="s">
        <v>123</v>
      </c>
      <c r="I5" s="15" t="s">
        <v>90</v>
      </c>
      <c r="J5" s="15">
        <v>6</v>
      </c>
      <c r="K5" s="15" t="s">
        <v>124</v>
      </c>
      <c r="L5" s="15" t="s">
        <v>90</v>
      </c>
      <c r="M5" s="15">
        <v>7</v>
      </c>
      <c r="N5" s="15" t="s">
        <v>125</v>
      </c>
      <c r="O5" s="15" t="s">
        <v>90</v>
      </c>
      <c r="P5" s="15">
        <v>3</v>
      </c>
      <c r="Q5" s="15" t="s">
        <v>126</v>
      </c>
      <c r="R5" s="15" t="s">
        <v>90</v>
      </c>
      <c r="S5" s="15">
        <v>5</v>
      </c>
      <c r="T5" s="15" t="s">
        <v>127</v>
      </c>
      <c r="U5" s="15" t="s">
        <v>90</v>
      </c>
      <c r="V5" s="15">
        <v>11</v>
      </c>
      <c r="W5" s="15" t="s">
        <v>128</v>
      </c>
      <c r="X5" s="15" t="s">
        <v>90</v>
      </c>
      <c r="Y5" s="15">
        <v>4</v>
      </c>
      <c r="Z5" s="15" t="s">
        <v>129</v>
      </c>
      <c r="AA5" s="15" t="s">
        <v>108</v>
      </c>
      <c r="AB5" s="15">
        <v>9</v>
      </c>
      <c r="AC5" s="15" t="s">
        <v>130</v>
      </c>
      <c r="AD5" s="15" t="s">
        <v>90</v>
      </c>
      <c r="AE5" s="15">
        <v>7</v>
      </c>
      <c r="AF5" s="15" t="s">
        <v>131</v>
      </c>
      <c r="AG5" s="15" t="s">
        <v>90</v>
      </c>
      <c r="AH5" s="15">
        <v>7</v>
      </c>
      <c r="AI5" s="15" t="s">
        <v>132</v>
      </c>
      <c r="AJ5" s="15" t="s">
        <v>90</v>
      </c>
      <c r="AK5" s="15">
        <v>4</v>
      </c>
      <c r="AL5" s="15" t="s">
        <v>133</v>
      </c>
      <c r="AM5" s="15" t="s">
        <v>90</v>
      </c>
      <c r="AN5" s="15">
        <v>4</v>
      </c>
      <c r="AO5" s="15" t="s">
        <v>134</v>
      </c>
      <c r="AP5" s="15" t="s">
        <v>90</v>
      </c>
      <c r="AQ5" s="15">
        <v>4</v>
      </c>
      <c r="AR5" s="15" t="s">
        <v>135</v>
      </c>
      <c r="AS5" s="15" t="s">
        <v>90</v>
      </c>
      <c r="AT5" s="15">
        <v>3</v>
      </c>
      <c r="AU5" s="15" t="s">
        <v>136</v>
      </c>
      <c r="AV5" s="15" t="s">
        <v>90</v>
      </c>
    </row>
    <row r="6" spans="1:48" x14ac:dyDescent="0.3">
      <c r="A6" s="15">
        <v>7</v>
      </c>
      <c r="B6" s="15" t="s">
        <v>137</v>
      </c>
      <c r="C6" s="15" t="s">
        <v>90</v>
      </c>
      <c r="D6" s="15"/>
      <c r="E6" s="15" t="s">
        <v>393</v>
      </c>
      <c r="F6" s="15" t="s">
        <v>90</v>
      </c>
      <c r="G6" s="15"/>
      <c r="H6" s="15" t="s">
        <v>138</v>
      </c>
      <c r="I6" s="15" t="s">
        <v>90</v>
      </c>
      <c r="J6" s="15">
        <v>7</v>
      </c>
      <c r="K6" s="15" t="s">
        <v>139</v>
      </c>
      <c r="L6" s="15" t="s">
        <v>90</v>
      </c>
      <c r="M6" s="15">
        <v>9</v>
      </c>
      <c r="N6" s="15" t="s">
        <v>140</v>
      </c>
      <c r="O6" s="15" t="s">
        <v>90</v>
      </c>
      <c r="P6" s="15">
        <v>20</v>
      </c>
      <c r="Q6" s="15" t="s">
        <v>141</v>
      </c>
      <c r="R6" s="15" t="s">
        <v>90</v>
      </c>
      <c r="S6" s="15">
        <v>7</v>
      </c>
      <c r="T6" s="15" t="s">
        <v>142</v>
      </c>
      <c r="U6" s="15" t="s">
        <v>90</v>
      </c>
      <c r="V6" s="15">
        <v>14</v>
      </c>
      <c r="W6" s="15" t="s">
        <v>143</v>
      </c>
      <c r="X6" s="15" t="s">
        <v>90</v>
      </c>
      <c r="Y6" s="15">
        <v>5</v>
      </c>
      <c r="Z6" s="15" t="s">
        <v>144</v>
      </c>
      <c r="AA6" s="15" t="s">
        <v>90</v>
      </c>
      <c r="AB6" s="15">
        <v>10</v>
      </c>
      <c r="AC6" s="15" t="s">
        <v>400</v>
      </c>
      <c r="AD6" s="15" t="s">
        <v>90</v>
      </c>
      <c r="AE6" s="15">
        <v>8</v>
      </c>
      <c r="AF6" s="15" t="s">
        <v>145</v>
      </c>
      <c r="AG6" s="15" t="s">
        <v>90</v>
      </c>
      <c r="AH6" s="15">
        <v>8</v>
      </c>
      <c r="AI6" s="15" t="s">
        <v>402</v>
      </c>
      <c r="AJ6" s="15" t="s">
        <v>90</v>
      </c>
      <c r="AK6" s="15">
        <v>5</v>
      </c>
      <c r="AL6" s="15" t="s">
        <v>146</v>
      </c>
      <c r="AM6" s="15" t="s">
        <v>90</v>
      </c>
      <c r="AN6" s="15">
        <v>7</v>
      </c>
      <c r="AO6" s="15" t="s">
        <v>147</v>
      </c>
      <c r="AP6" s="15" t="s">
        <v>90</v>
      </c>
      <c r="AQ6" s="15">
        <v>5</v>
      </c>
      <c r="AR6" s="15" t="s">
        <v>148</v>
      </c>
      <c r="AS6" s="15" t="s">
        <v>90</v>
      </c>
      <c r="AT6" s="15">
        <v>4</v>
      </c>
      <c r="AU6" s="15" t="s">
        <v>149</v>
      </c>
      <c r="AV6" s="15" t="s">
        <v>108</v>
      </c>
    </row>
    <row r="7" spans="1:48" x14ac:dyDescent="0.3">
      <c r="A7" s="15">
        <v>8</v>
      </c>
      <c r="B7" s="15" t="s">
        <v>150</v>
      </c>
      <c r="C7" s="15" t="s">
        <v>90</v>
      </c>
      <c r="D7" s="15"/>
      <c r="E7" s="15" t="s">
        <v>151</v>
      </c>
      <c r="F7" s="15" t="s">
        <v>90</v>
      </c>
      <c r="G7" s="15"/>
      <c r="H7" s="15" t="s">
        <v>395</v>
      </c>
      <c r="I7" s="15" t="s">
        <v>90</v>
      </c>
      <c r="J7" s="15">
        <v>8</v>
      </c>
      <c r="K7" s="15" t="s">
        <v>152</v>
      </c>
      <c r="L7" s="15" t="s">
        <v>90</v>
      </c>
      <c r="M7" s="15">
        <v>10</v>
      </c>
      <c r="N7" s="15" t="s">
        <v>153</v>
      </c>
      <c r="O7" s="15" t="s">
        <v>108</v>
      </c>
      <c r="P7" s="15">
        <v>8</v>
      </c>
      <c r="Q7" s="15" t="s">
        <v>154</v>
      </c>
      <c r="R7" s="15" t="s">
        <v>90</v>
      </c>
      <c r="S7" s="15">
        <v>8</v>
      </c>
      <c r="T7" s="15" t="s">
        <v>155</v>
      </c>
      <c r="U7" s="15" t="s">
        <v>108</v>
      </c>
      <c r="V7" s="15">
        <v>19</v>
      </c>
      <c r="W7" s="15" t="s">
        <v>156</v>
      </c>
      <c r="X7" s="15" t="s">
        <v>90</v>
      </c>
      <c r="Y7" s="15">
        <v>6</v>
      </c>
      <c r="Z7" s="15" t="s">
        <v>157</v>
      </c>
      <c r="AA7" s="15" t="s">
        <v>90</v>
      </c>
      <c r="AB7" s="15">
        <v>15</v>
      </c>
      <c r="AC7" s="15" t="s">
        <v>103</v>
      </c>
      <c r="AD7" s="15" t="s">
        <v>90</v>
      </c>
      <c r="AE7" s="15">
        <v>9</v>
      </c>
      <c r="AF7" s="15" t="s">
        <v>158</v>
      </c>
      <c r="AG7" s="15" t="s">
        <v>90</v>
      </c>
      <c r="AH7" s="15">
        <v>10</v>
      </c>
      <c r="AI7" s="15" t="s">
        <v>159</v>
      </c>
      <c r="AJ7" s="15" t="s">
        <v>108</v>
      </c>
      <c r="AK7" s="15">
        <v>6</v>
      </c>
      <c r="AL7" s="15" t="s">
        <v>160</v>
      </c>
      <c r="AM7" s="15" t="s">
        <v>90</v>
      </c>
      <c r="AN7" s="15">
        <v>8</v>
      </c>
      <c r="AO7" s="15" t="s">
        <v>161</v>
      </c>
      <c r="AP7" s="15" t="s">
        <v>90</v>
      </c>
      <c r="AQ7" s="15">
        <v>7</v>
      </c>
      <c r="AR7" s="15" t="s">
        <v>162</v>
      </c>
      <c r="AS7" s="15" t="s">
        <v>90</v>
      </c>
      <c r="AT7" s="15">
        <v>5</v>
      </c>
      <c r="AU7" s="15" t="s">
        <v>163</v>
      </c>
      <c r="AV7" s="15" t="s">
        <v>90</v>
      </c>
    </row>
    <row r="8" spans="1:48" x14ac:dyDescent="0.3">
      <c r="A8" s="15">
        <v>10</v>
      </c>
      <c r="B8" s="15" t="s">
        <v>164</v>
      </c>
      <c r="C8" s="15" t="s">
        <v>90</v>
      </c>
      <c r="D8" s="15"/>
      <c r="E8" s="15" t="s">
        <v>165</v>
      </c>
      <c r="F8" s="15" t="s">
        <v>90</v>
      </c>
      <c r="G8" s="15"/>
      <c r="H8" s="15" t="s">
        <v>166</v>
      </c>
      <c r="I8" s="15" t="s">
        <v>90</v>
      </c>
      <c r="J8" s="15">
        <v>9</v>
      </c>
      <c r="K8" s="15" t="s">
        <v>167</v>
      </c>
      <c r="L8" s="15" t="s">
        <v>90</v>
      </c>
      <c r="M8" s="15">
        <v>12</v>
      </c>
      <c r="N8" s="15" t="s">
        <v>168</v>
      </c>
      <c r="O8" s="15" t="s">
        <v>90</v>
      </c>
      <c r="P8" s="15">
        <v>7</v>
      </c>
      <c r="Q8" s="15" t="s">
        <v>169</v>
      </c>
      <c r="R8" s="15" t="s">
        <v>90</v>
      </c>
      <c r="S8" s="15">
        <v>9</v>
      </c>
      <c r="T8" s="15" t="s">
        <v>170</v>
      </c>
      <c r="U8" s="15" t="s">
        <v>90</v>
      </c>
      <c r="V8" s="15">
        <v>21</v>
      </c>
      <c r="W8" s="15" t="s">
        <v>171</v>
      </c>
      <c r="X8" s="15" t="s">
        <v>90</v>
      </c>
      <c r="Y8" s="15">
        <v>8</v>
      </c>
      <c r="Z8" s="15" t="s">
        <v>172</v>
      </c>
      <c r="AA8" s="15" t="s">
        <v>90</v>
      </c>
      <c r="AB8" s="15">
        <v>19</v>
      </c>
      <c r="AC8" s="15" t="s">
        <v>173</v>
      </c>
      <c r="AD8" s="15" t="s">
        <v>90</v>
      </c>
      <c r="AE8" s="15">
        <v>10</v>
      </c>
      <c r="AF8" s="15" t="s">
        <v>174</v>
      </c>
      <c r="AG8" s="15" t="s">
        <v>108</v>
      </c>
      <c r="AH8" s="15">
        <v>11</v>
      </c>
      <c r="AI8" s="15" t="s">
        <v>175</v>
      </c>
      <c r="AJ8" s="15" t="s">
        <v>90</v>
      </c>
      <c r="AK8" s="15">
        <v>7</v>
      </c>
      <c r="AL8" s="15" t="s">
        <v>176</v>
      </c>
      <c r="AM8" s="15" t="s">
        <v>90</v>
      </c>
      <c r="AN8" s="15">
        <v>9</v>
      </c>
      <c r="AO8" s="15" t="s">
        <v>177</v>
      </c>
      <c r="AP8" s="15" t="s">
        <v>90</v>
      </c>
      <c r="AQ8" s="15">
        <v>9</v>
      </c>
      <c r="AR8" s="15" t="s">
        <v>178</v>
      </c>
      <c r="AS8" s="15" t="s">
        <v>90</v>
      </c>
      <c r="AT8" s="15">
        <v>6</v>
      </c>
      <c r="AU8" s="15" t="s">
        <v>179</v>
      </c>
      <c r="AV8" s="15" t="s">
        <v>90</v>
      </c>
    </row>
    <row r="9" spans="1:48" x14ac:dyDescent="0.3">
      <c r="A9" s="15">
        <v>11</v>
      </c>
      <c r="B9" s="15" t="s">
        <v>391</v>
      </c>
      <c r="C9" s="15" t="s">
        <v>90</v>
      </c>
      <c r="D9" s="15"/>
      <c r="E9" s="15" t="s">
        <v>180</v>
      </c>
      <c r="F9" s="15" t="s">
        <v>108</v>
      </c>
      <c r="G9" s="15"/>
      <c r="H9" s="15" t="s">
        <v>181</v>
      </c>
      <c r="I9" s="15" t="s">
        <v>90</v>
      </c>
      <c r="J9" s="15">
        <v>10</v>
      </c>
      <c r="K9" s="15" t="s">
        <v>182</v>
      </c>
      <c r="L9" s="15" t="s">
        <v>90</v>
      </c>
      <c r="M9" s="15">
        <v>15</v>
      </c>
      <c r="N9" s="15" t="s">
        <v>183</v>
      </c>
      <c r="O9" s="15" t="s">
        <v>90</v>
      </c>
      <c r="P9" s="15">
        <v>1</v>
      </c>
      <c r="Q9" s="15" t="s">
        <v>184</v>
      </c>
      <c r="R9" s="15" t="s">
        <v>90</v>
      </c>
      <c r="S9" s="15">
        <v>10</v>
      </c>
      <c r="T9" s="15" t="s">
        <v>185</v>
      </c>
      <c r="U9" s="15" t="s">
        <v>90</v>
      </c>
      <c r="V9" s="15"/>
      <c r="W9" s="15"/>
      <c r="X9" s="15"/>
      <c r="Y9" s="15">
        <v>10</v>
      </c>
      <c r="Z9" s="15" t="s">
        <v>397</v>
      </c>
      <c r="AA9" s="15" t="s">
        <v>90</v>
      </c>
      <c r="AB9" s="15">
        <v>21</v>
      </c>
      <c r="AC9" s="15" t="s">
        <v>186</v>
      </c>
      <c r="AD9" s="15" t="s">
        <v>90</v>
      </c>
      <c r="AE9" s="15">
        <v>11</v>
      </c>
      <c r="AF9" s="15" t="s">
        <v>187</v>
      </c>
      <c r="AG9" s="15" t="s">
        <v>90</v>
      </c>
      <c r="AH9" s="15">
        <v>19</v>
      </c>
      <c r="AI9" s="15" t="s">
        <v>188</v>
      </c>
      <c r="AJ9" s="15" t="s">
        <v>90</v>
      </c>
      <c r="AK9" s="15">
        <v>8</v>
      </c>
      <c r="AL9" s="15" t="s">
        <v>189</v>
      </c>
      <c r="AM9" s="15" t="s">
        <v>90</v>
      </c>
      <c r="AN9" s="15">
        <v>10</v>
      </c>
      <c r="AO9" s="15" t="s">
        <v>190</v>
      </c>
      <c r="AP9" s="15" t="s">
        <v>108</v>
      </c>
      <c r="AQ9" s="15">
        <v>10</v>
      </c>
      <c r="AR9" s="15" t="s">
        <v>191</v>
      </c>
      <c r="AS9" s="15" t="s">
        <v>108</v>
      </c>
      <c r="AT9" s="15">
        <v>8</v>
      </c>
      <c r="AU9" s="15" t="s">
        <v>192</v>
      </c>
      <c r="AV9" s="15" t="s">
        <v>90</v>
      </c>
    </row>
    <row r="10" spans="1:48" x14ac:dyDescent="0.3">
      <c r="A10" s="15">
        <v>23</v>
      </c>
      <c r="B10" s="15" t="s">
        <v>193</v>
      </c>
      <c r="C10" s="15" t="s">
        <v>108</v>
      </c>
      <c r="D10" s="15"/>
      <c r="E10" s="15" t="s">
        <v>194</v>
      </c>
      <c r="F10" s="15" t="s">
        <v>90</v>
      </c>
      <c r="G10" s="15"/>
      <c r="H10" s="15" t="s">
        <v>195</v>
      </c>
      <c r="I10" s="15" t="s">
        <v>90</v>
      </c>
      <c r="J10" s="15">
        <v>11</v>
      </c>
      <c r="K10" s="15" t="s">
        <v>196</v>
      </c>
      <c r="L10" s="15" t="s">
        <v>108</v>
      </c>
      <c r="M10" s="15">
        <v>18</v>
      </c>
      <c r="N10" s="15" t="s">
        <v>197</v>
      </c>
      <c r="O10" s="15" t="s">
        <v>90</v>
      </c>
      <c r="P10" s="15">
        <v>4</v>
      </c>
      <c r="Q10" s="15" t="s">
        <v>198</v>
      </c>
      <c r="R10" s="15" t="s">
        <v>90</v>
      </c>
      <c r="S10" s="15">
        <v>11</v>
      </c>
      <c r="T10" s="15" t="s">
        <v>199</v>
      </c>
      <c r="U10" s="15" t="s">
        <v>90</v>
      </c>
      <c r="V10" s="15"/>
      <c r="W10" s="15"/>
      <c r="X10" s="15"/>
      <c r="Y10" s="15">
        <v>14</v>
      </c>
      <c r="Z10" s="15" t="s">
        <v>200</v>
      </c>
      <c r="AA10" s="15" t="s">
        <v>90</v>
      </c>
      <c r="AB10" s="15">
        <v>29</v>
      </c>
      <c r="AC10" s="15" t="s">
        <v>201</v>
      </c>
      <c r="AD10" s="15" t="s">
        <v>90</v>
      </c>
      <c r="AE10" s="15">
        <v>14</v>
      </c>
      <c r="AF10" s="15" t="s">
        <v>202</v>
      </c>
      <c r="AG10" s="15" t="s">
        <v>90</v>
      </c>
      <c r="AH10" s="15">
        <v>22</v>
      </c>
      <c r="AI10" s="15" t="s">
        <v>203</v>
      </c>
      <c r="AJ10" s="15" t="s">
        <v>90</v>
      </c>
      <c r="AK10" s="15">
        <v>9</v>
      </c>
      <c r="AL10" s="15" t="s">
        <v>204</v>
      </c>
      <c r="AM10" s="15" t="s">
        <v>90</v>
      </c>
      <c r="AN10" s="15">
        <v>14</v>
      </c>
      <c r="AO10" s="15" t="s">
        <v>205</v>
      </c>
      <c r="AP10" s="15" t="s">
        <v>90</v>
      </c>
      <c r="AQ10" s="15">
        <v>11</v>
      </c>
      <c r="AR10" s="15" t="s">
        <v>206</v>
      </c>
      <c r="AS10" s="15" t="s">
        <v>90</v>
      </c>
      <c r="AT10" s="15">
        <v>9</v>
      </c>
      <c r="AU10" s="15" t="s">
        <v>207</v>
      </c>
      <c r="AV10" s="15" t="s">
        <v>90</v>
      </c>
    </row>
    <row r="11" spans="1:48" x14ac:dyDescent="0.3">
      <c r="A11" s="15">
        <v>69</v>
      </c>
      <c r="B11" s="15" t="s">
        <v>208</v>
      </c>
      <c r="C11" s="15" t="s">
        <v>90</v>
      </c>
      <c r="D11" s="15"/>
      <c r="E11" s="15" t="s">
        <v>209</v>
      </c>
      <c r="F11" s="15" t="s">
        <v>90</v>
      </c>
      <c r="G11" s="15"/>
      <c r="H11" s="15" t="s">
        <v>210</v>
      </c>
      <c r="I11" s="15" t="s">
        <v>90</v>
      </c>
      <c r="J11" s="15">
        <v>14</v>
      </c>
      <c r="K11" s="15" t="s">
        <v>211</v>
      </c>
      <c r="L11" s="15" t="s">
        <v>90</v>
      </c>
      <c r="M11" s="15">
        <v>71</v>
      </c>
      <c r="N11" s="15" t="s">
        <v>212</v>
      </c>
      <c r="O11" s="15" t="s">
        <v>90</v>
      </c>
      <c r="P11" s="15">
        <v>6</v>
      </c>
      <c r="Q11" s="15" t="s">
        <v>213</v>
      </c>
      <c r="R11" s="15" t="s">
        <v>90</v>
      </c>
      <c r="S11" s="15">
        <v>13</v>
      </c>
      <c r="T11" s="15" t="s">
        <v>214</v>
      </c>
      <c r="U11" s="15" t="s">
        <v>90</v>
      </c>
      <c r="V11" s="15"/>
      <c r="W11" s="15"/>
      <c r="X11" s="15"/>
      <c r="Y11" s="15">
        <v>20</v>
      </c>
      <c r="Z11" s="15" t="s">
        <v>398</v>
      </c>
      <c r="AA11" s="15" t="s">
        <v>90</v>
      </c>
      <c r="AB11" s="15">
        <v>63</v>
      </c>
      <c r="AC11" s="15" t="s">
        <v>215</v>
      </c>
      <c r="AD11" s="15" t="s">
        <v>108</v>
      </c>
      <c r="AE11" s="15">
        <v>18</v>
      </c>
      <c r="AF11" s="15" t="s">
        <v>216</v>
      </c>
      <c r="AG11" s="15" t="s">
        <v>90</v>
      </c>
      <c r="AH11" s="15">
        <v>45</v>
      </c>
      <c r="AI11" s="15" t="s">
        <v>217</v>
      </c>
      <c r="AJ11" s="15" t="s">
        <v>90</v>
      </c>
      <c r="AK11" s="15">
        <v>10</v>
      </c>
      <c r="AL11" s="15" t="s">
        <v>218</v>
      </c>
      <c r="AM11" s="15" t="s">
        <v>90</v>
      </c>
      <c r="AN11" s="15">
        <v>17</v>
      </c>
      <c r="AO11" s="15" t="s">
        <v>219</v>
      </c>
      <c r="AP11" s="15" t="s">
        <v>90</v>
      </c>
      <c r="AQ11" s="15">
        <v>23</v>
      </c>
      <c r="AR11" s="15" t="s">
        <v>220</v>
      </c>
      <c r="AS11" s="15" t="s">
        <v>90</v>
      </c>
      <c r="AT11" s="15">
        <v>10</v>
      </c>
      <c r="AU11" s="15" t="s">
        <v>221</v>
      </c>
      <c r="AV11" s="15" t="s">
        <v>90</v>
      </c>
    </row>
    <row r="12" spans="1:48" x14ac:dyDescent="0.3">
      <c r="A12" s="15">
        <v>90</v>
      </c>
      <c r="B12" s="15" t="s">
        <v>392</v>
      </c>
      <c r="C12" s="15" t="s">
        <v>90</v>
      </c>
      <c r="D12" s="15"/>
      <c r="E12" s="15" t="s">
        <v>222</v>
      </c>
      <c r="F12" s="15" t="s">
        <v>90</v>
      </c>
      <c r="G12" s="15"/>
      <c r="H12" s="15" t="s">
        <v>223</v>
      </c>
      <c r="I12" s="15" t="s">
        <v>90</v>
      </c>
      <c r="J12" s="15"/>
      <c r="K12" s="15"/>
      <c r="L12" s="15"/>
      <c r="M12" s="15"/>
      <c r="N12" s="15"/>
      <c r="O12" s="15"/>
      <c r="P12" s="15">
        <v>17</v>
      </c>
      <c r="Q12" s="15" t="s">
        <v>224</v>
      </c>
      <c r="R12" s="15" t="s">
        <v>90</v>
      </c>
      <c r="S12" s="15">
        <v>14</v>
      </c>
      <c r="T12" s="15" t="s">
        <v>225</v>
      </c>
      <c r="U12" s="15" t="s">
        <v>90</v>
      </c>
      <c r="V12" s="15"/>
      <c r="W12" s="15"/>
      <c r="X12" s="15"/>
      <c r="Y12" s="15"/>
      <c r="Z12" s="15"/>
      <c r="AA12" s="15"/>
      <c r="AB12" s="15">
        <v>95</v>
      </c>
      <c r="AC12" s="15" t="s">
        <v>226</v>
      </c>
      <c r="AD12" s="15" t="s">
        <v>90</v>
      </c>
      <c r="AE12" s="15">
        <v>20</v>
      </c>
      <c r="AF12" s="15" t="s">
        <v>227</v>
      </c>
      <c r="AG12" s="15" t="s">
        <v>90</v>
      </c>
      <c r="AH12" s="15">
        <v>67</v>
      </c>
      <c r="AI12" s="15" t="s">
        <v>228</v>
      </c>
      <c r="AJ12" s="15" t="s">
        <v>90</v>
      </c>
      <c r="AK12" s="15">
        <v>11</v>
      </c>
      <c r="AL12" s="15" t="s">
        <v>229</v>
      </c>
      <c r="AM12" s="15" t="s">
        <v>108</v>
      </c>
      <c r="AN12" s="15">
        <v>21</v>
      </c>
      <c r="AO12" s="15" t="s">
        <v>230</v>
      </c>
      <c r="AP12" s="15" t="s">
        <v>90</v>
      </c>
      <c r="AQ12" s="15">
        <v>28</v>
      </c>
      <c r="AR12" s="15" t="s">
        <v>231</v>
      </c>
      <c r="AS12" s="15" t="s">
        <v>90</v>
      </c>
      <c r="AT12" s="15">
        <v>11</v>
      </c>
      <c r="AU12" s="15" t="s">
        <v>232</v>
      </c>
      <c r="AV12" s="15" t="s">
        <v>90</v>
      </c>
    </row>
    <row r="13" spans="1:48" x14ac:dyDescent="0.3">
      <c r="A13" s="15"/>
      <c r="B13" s="15"/>
      <c r="C13" s="15"/>
      <c r="D13" s="15"/>
      <c r="E13" s="15"/>
      <c r="F13" s="15"/>
      <c r="G13" s="15"/>
      <c r="H13" s="15" t="s">
        <v>233</v>
      </c>
      <c r="I13" s="15" t="s">
        <v>90</v>
      </c>
      <c r="J13" s="15"/>
      <c r="K13" s="15"/>
      <c r="L13" s="15"/>
      <c r="M13" s="15"/>
      <c r="N13" s="15"/>
      <c r="O13" s="15"/>
      <c r="P13" s="15">
        <v>16</v>
      </c>
      <c r="Q13" s="15" t="s">
        <v>234</v>
      </c>
      <c r="R13" s="15" t="s">
        <v>90</v>
      </c>
      <c r="S13" s="15">
        <v>17</v>
      </c>
      <c r="T13" s="15" t="s">
        <v>235</v>
      </c>
      <c r="U13" s="15" t="s">
        <v>90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>
        <v>18</v>
      </c>
      <c r="AL13" s="15" t="s">
        <v>236</v>
      </c>
      <c r="AM13" s="15" t="s">
        <v>90</v>
      </c>
      <c r="AN13" s="15"/>
      <c r="AO13" s="15"/>
      <c r="AP13" s="15"/>
      <c r="AQ13" s="15"/>
      <c r="AR13" s="15"/>
      <c r="AS13" s="15"/>
      <c r="AT13" s="15">
        <v>7</v>
      </c>
      <c r="AU13" s="15" t="s">
        <v>401</v>
      </c>
      <c r="AV13" s="15" t="s">
        <v>90</v>
      </c>
    </row>
    <row r="14" spans="1:48" x14ac:dyDescent="0.3">
      <c r="A14" s="15"/>
      <c r="B14" s="15"/>
      <c r="C14" s="15"/>
      <c r="D14" s="15"/>
      <c r="E14" s="15"/>
      <c r="F14" s="15"/>
      <c r="G14" s="15"/>
      <c r="H14" s="15" t="s">
        <v>237</v>
      </c>
      <c r="I14" s="15" t="s">
        <v>90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8" x14ac:dyDescent="0.3">
      <c r="A15" s="15"/>
      <c r="B15" s="15"/>
      <c r="C15" s="15"/>
      <c r="D15" s="15"/>
      <c r="E15" s="15"/>
      <c r="F15" s="15"/>
      <c r="G15" s="15"/>
      <c r="H15" s="15" t="s">
        <v>396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1:48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1:48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1:48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1:48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1:48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1:48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1:48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</sheetData>
  <mergeCells count="16">
    <mergeCell ref="A1:C1"/>
    <mergeCell ref="AK1:AM1"/>
    <mergeCell ref="AN1:AP1"/>
    <mergeCell ref="Y1:AA1"/>
    <mergeCell ref="AT1:AV1"/>
    <mergeCell ref="AQ1:AS1"/>
    <mergeCell ref="M1:O1"/>
    <mergeCell ref="D1:F1"/>
    <mergeCell ref="G1:I1"/>
    <mergeCell ref="V1:X1"/>
    <mergeCell ref="AB1:AD1"/>
    <mergeCell ref="J1:L1"/>
    <mergeCell ref="P1:R1"/>
    <mergeCell ref="AE1:AG1"/>
    <mergeCell ref="S1:U1"/>
    <mergeCell ref="AH1:AJ1"/>
  </mergeCells>
  <dataValidations count="2">
    <dataValidation type="whole" allowBlank="1" sqref="A3:A32 D3:D32 G3:G32 J3:J32 M3:M32 P3:P32 S3:S32 V3:V32 Y3:Y32 AB3:AB32 AE3:AE32 AH3:AH32 AK3:AK32 AN3:AN32 AQ3:AQ32 AT3:AT32" xr:uid="{00000000-0002-0000-0300-000000000000}">
      <formula1>0</formula1>
      <formula2>999</formula2>
    </dataValidation>
    <dataValidation type="list" allowBlank="1" sqref="C3:C32 F3:F32 I3:I32 L3:L32 O3:O32 R3:R32 U3:U32 X3:X32 AA3:AA32 AD3:AD32 AG3:AG32 AJ3:AJ32 AM3:AM32 AP3:AP32 AS3:AS32 AV3:AV32" xr:uid="{00000000-0002-0000-0300-000001000000}">
      <formula1>"No,Yes"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8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24" customWidth="1"/>
    <col min="7" max="7" width="34" customWidth="1"/>
  </cols>
  <sheetData>
    <row r="1" spans="1:26" x14ac:dyDescent="0.3">
      <c r="A1" s="5" t="s">
        <v>238</v>
      </c>
      <c r="B1" s="5" t="s">
        <v>0</v>
      </c>
      <c r="C1" s="5" t="s">
        <v>2</v>
      </c>
      <c r="D1" s="5" t="s">
        <v>239</v>
      </c>
      <c r="E1" s="5" t="s">
        <v>240</v>
      </c>
      <c r="F1" s="5" t="s">
        <v>241</v>
      </c>
      <c r="G1" s="5" t="s">
        <v>242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 t="shared" ref="A2:A65" si="0">IF(E2="","","P"&amp;TEXT(ROW()-1,"000"))</f>
        <v>P001</v>
      </c>
      <c r="B2" t="str">
        <f>IF(E2="","",Teams!A2)</f>
        <v>T01</v>
      </c>
      <c r="C2" t="str">
        <f>IF(E2="","",Teams!C2)</f>
        <v>Fatine FC</v>
      </c>
      <c r="D2">
        <f>IF(E2="","",Rosters!A3)</f>
        <v>1</v>
      </c>
      <c r="E2" t="str">
        <f>IF(Rosters!B3="","",Rosters!B3)</f>
        <v>PIETRO SEGATO</v>
      </c>
      <c r="F2" t="str">
        <f>IF(E2="","",Rosters!C3)</f>
        <v>No</v>
      </c>
      <c r="G2" t="str">
        <f t="shared" ref="G2:G65" si="1">IF(E2="","",IF(D2="","",D2&amp;" - ")&amp;E2&amp;IF(F2="Yes"," (C)",""))</f>
        <v>1 - PIETRO SEGATO</v>
      </c>
    </row>
    <row r="3" spans="1:26" x14ac:dyDescent="0.3">
      <c r="A3" t="str">
        <f t="shared" si="0"/>
        <v>P002</v>
      </c>
      <c r="B3" t="str">
        <f>IF(E3="","",Teams!A2)</f>
        <v>T01</v>
      </c>
      <c r="C3" t="str">
        <f>IF(E3="","",Teams!C2)</f>
        <v>Fatine FC</v>
      </c>
      <c r="D3">
        <f>IF(E3="","",Rosters!A4)</f>
        <v>99</v>
      </c>
      <c r="E3" t="str">
        <f>IF(Rosters!B4="","",Rosters!B4)</f>
        <v>GIOVANNI BALLO</v>
      </c>
      <c r="F3" t="str">
        <f>IF(E3="","",Rosters!C4)</f>
        <v>No</v>
      </c>
      <c r="G3" t="str">
        <f t="shared" si="1"/>
        <v>99 - GIOVANNI BALLO</v>
      </c>
    </row>
    <row r="4" spans="1:26" x14ac:dyDescent="0.3">
      <c r="A4" t="str">
        <f t="shared" si="0"/>
        <v>P003</v>
      </c>
      <c r="B4" t="str">
        <f>IF(E4="","",Teams!A2)</f>
        <v>T01</v>
      </c>
      <c r="C4" t="str">
        <f>IF(E4="","",Teams!C2)</f>
        <v>Fatine FC</v>
      </c>
      <c r="D4">
        <f>IF(E4="","",Rosters!A5)</f>
        <v>5</v>
      </c>
      <c r="E4" t="str">
        <f>IF(Rosters!B5="","",Rosters!B5)</f>
        <v>DANIELE MARZOLLA</v>
      </c>
      <c r="F4" t="str">
        <f>IF(E4="","",Rosters!C5)</f>
        <v>No</v>
      </c>
      <c r="G4" t="str">
        <f t="shared" si="1"/>
        <v>5 - DANIELE MARZOLLA</v>
      </c>
    </row>
    <row r="5" spans="1:26" x14ac:dyDescent="0.3">
      <c r="A5" t="str">
        <f t="shared" si="0"/>
        <v>P004</v>
      </c>
      <c r="B5" t="str">
        <f>IF(E5="","",Teams!A2)</f>
        <v>T01</v>
      </c>
      <c r="C5" t="str">
        <f>IF(E5="","",Teams!C2)</f>
        <v>Fatine FC</v>
      </c>
      <c r="D5">
        <f>IF(E5="","",Rosters!A6)</f>
        <v>7</v>
      </c>
      <c r="E5" t="str">
        <f>IF(Rosters!B6="","",Rosters!B6)</f>
        <v>NICHOLAS MILAN</v>
      </c>
      <c r="F5" t="str">
        <f>IF(E5="","",Rosters!C6)</f>
        <v>No</v>
      </c>
      <c r="G5" t="str">
        <f t="shared" si="1"/>
        <v>7 - NICHOLAS MILAN</v>
      </c>
    </row>
    <row r="6" spans="1:26" x14ac:dyDescent="0.3">
      <c r="A6" t="str">
        <f t="shared" si="0"/>
        <v>P005</v>
      </c>
      <c r="B6" t="str">
        <f>IF(E6="","",Teams!A2)</f>
        <v>T01</v>
      </c>
      <c r="C6" t="str">
        <f>IF(E6="","",Teams!C2)</f>
        <v>Fatine FC</v>
      </c>
      <c r="D6">
        <f>IF(E6="","",Rosters!A7)</f>
        <v>8</v>
      </c>
      <c r="E6" t="str">
        <f>IF(Rosters!B7="","",Rosters!B7)</f>
        <v>ALESSIO MILAN</v>
      </c>
      <c r="F6" t="str">
        <f>IF(E6="","",Rosters!C7)</f>
        <v>No</v>
      </c>
      <c r="G6" t="str">
        <f t="shared" si="1"/>
        <v>8 - ALESSIO MILAN</v>
      </c>
    </row>
    <row r="7" spans="1:26" x14ac:dyDescent="0.3">
      <c r="A7" t="str">
        <f t="shared" si="0"/>
        <v>P006</v>
      </c>
      <c r="B7" t="str">
        <f>IF(E7="","",Teams!A2)</f>
        <v>T01</v>
      </c>
      <c r="C7" t="str">
        <f>IF(E7="","",Teams!C2)</f>
        <v>Fatine FC</v>
      </c>
      <c r="D7">
        <f>IF(E7="","",Rosters!A8)</f>
        <v>10</v>
      </c>
      <c r="E7" t="str">
        <f>IF(Rosters!B8="","",Rosters!B8)</f>
        <v>LUCA MARINI</v>
      </c>
      <c r="F7" t="str">
        <f>IF(E7="","",Rosters!C8)</f>
        <v>No</v>
      </c>
      <c r="G7" t="str">
        <f t="shared" si="1"/>
        <v>10 - LUCA MARINI</v>
      </c>
    </row>
    <row r="8" spans="1:26" x14ac:dyDescent="0.3">
      <c r="A8" t="str">
        <f t="shared" si="0"/>
        <v>P007</v>
      </c>
      <c r="B8" t="str">
        <f>IF(E8="","",Teams!A2)</f>
        <v>T01</v>
      </c>
      <c r="C8" t="str">
        <f>IF(E8="","",Teams!C2)</f>
        <v>Fatine FC</v>
      </c>
      <c r="D8">
        <f>IF(E8="","",Rosters!A9)</f>
        <v>11</v>
      </c>
      <c r="E8" t="str">
        <f>IF(Rosters!B9="","",Rosters!B9)</f>
        <v>SAMUELE DURRA</v>
      </c>
      <c r="F8" t="str">
        <f>IF(E8="","",Rosters!C9)</f>
        <v>No</v>
      </c>
      <c r="G8" t="str">
        <f t="shared" si="1"/>
        <v>11 - SAMUELE DURRA</v>
      </c>
    </row>
    <row r="9" spans="1:26" x14ac:dyDescent="0.3">
      <c r="A9" t="str">
        <f t="shared" si="0"/>
        <v>P008</v>
      </c>
      <c r="B9" t="str">
        <f>IF(E9="","",Teams!A2)</f>
        <v>T01</v>
      </c>
      <c r="C9" t="str">
        <f>IF(E9="","",Teams!C2)</f>
        <v>Fatine FC</v>
      </c>
      <c r="D9">
        <f>IF(E9="","",Rosters!A10)</f>
        <v>23</v>
      </c>
      <c r="E9" t="str">
        <f>IF(Rosters!B10="","",Rosters!B10)</f>
        <v>NICOLA MARINI</v>
      </c>
      <c r="F9" t="str">
        <f>IF(E9="","",Rosters!C10)</f>
        <v>Yes</v>
      </c>
      <c r="G9" t="str">
        <f t="shared" si="1"/>
        <v>23 - NICOLA MARINI (C)</v>
      </c>
    </row>
    <row r="10" spans="1:26" x14ac:dyDescent="0.3">
      <c r="A10" t="str">
        <f t="shared" si="0"/>
        <v>P009</v>
      </c>
      <c r="B10" t="str">
        <f>IF(E10="","",Teams!A2)</f>
        <v>T01</v>
      </c>
      <c r="C10" t="str">
        <f>IF(E10="","",Teams!C2)</f>
        <v>Fatine FC</v>
      </c>
      <c r="D10">
        <f>IF(E10="","",Rosters!A11)</f>
        <v>69</v>
      </c>
      <c r="E10" t="str">
        <f>IF(Rosters!B11="","",Rosters!B11)</f>
        <v>LUCA ROSSETTO</v>
      </c>
      <c r="F10" t="str">
        <f>IF(E10="","",Rosters!C11)</f>
        <v>No</v>
      </c>
      <c r="G10" t="str">
        <f t="shared" si="1"/>
        <v>69 - LUCA ROSSETTO</v>
      </c>
    </row>
    <row r="11" spans="1:26" x14ac:dyDescent="0.3">
      <c r="A11" t="str">
        <f t="shared" si="0"/>
        <v>P010</v>
      </c>
      <c r="B11" t="str">
        <f>IF(E11="","",Teams!A2)</f>
        <v>T01</v>
      </c>
      <c r="C11" t="str">
        <f>IF(E11="","",Teams!C2)</f>
        <v>Fatine FC</v>
      </c>
      <c r="D11">
        <f>IF(E11="","",Rosters!A12)</f>
        <v>90</v>
      </c>
      <c r="E11" t="str">
        <f>IF(Rosters!B12="","",Rosters!B12)</f>
        <v>MATTEO COL</v>
      </c>
      <c r="F11" t="str">
        <f>IF(E11="","",Rosters!C12)</f>
        <v>No</v>
      </c>
      <c r="G11" t="str">
        <f t="shared" si="1"/>
        <v>90 - MATTEO COL</v>
      </c>
    </row>
    <row r="12" spans="1:26" x14ac:dyDescent="0.3">
      <c r="A12" t="str">
        <f t="shared" si="0"/>
        <v/>
      </c>
      <c r="B12" t="str">
        <f>IF(E12="","",Teams!A2)</f>
        <v/>
      </c>
      <c r="C12" t="str">
        <f>IF(E12="","",Teams!C2)</f>
        <v/>
      </c>
      <c r="D12" t="str">
        <f>IF(E12="","",Rosters!A13)</f>
        <v/>
      </c>
      <c r="E12" t="str">
        <f>IF(Rosters!B13="","",Rosters!B13)</f>
        <v/>
      </c>
      <c r="F12" t="str">
        <f>IF(E12="","",Rosters!C13)</f>
        <v/>
      </c>
      <c r="G12" t="str">
        <f t="shared" si="1"/>
        <v/>
      </c>
    </row>
    <row r="13" spans="1:26" x14ac:dyDescent="0.3">
      <c r="A13" t="str">
        <f t="shared" si="0"/>
        <v/>
      </c>
      <c r="B13" t="str">
        <f>IF(E13="","",Teams!A2)</f>
        <v/>
      </c>
      <c r="C13" t="str">
        <f>IF(E13="","",Teams!C2)</f>
        <v/>
      </c>
      <c r="D13" t="str">
        <f>IF(E13="","",Rosters!A14)</f>
        <v/>
      </c>
      <c r="E13" t="str">
        <f>IF(Rosters!B14="","",Rosters!B14)</f>
        <v/>
      </c>
      <c r="F13" t="str">
        <f>IF(E13="","",Rosters!C14)</f>
        <v/>
      </c>
      <c r="G13" t="str">
        <f t="shared" si="1"/>
        <v/>
      </c>
    </row>
    <row r="14" spans="1:26" x14ac:dyDescent="0.3">
      <c r="A14" t="str">
        <f t="shared" si="0"/>
        <v/>
      </c>
      <c r="B14" t="str">
        <f>IF(E14="","",Teams!A2)</f>
        <v/>
      </c>
      <c r="C14" t="str">
        <f>IF(E14="","",Teams!C2)</f>
        <v/>
      </c>
      <c r="D14" t="str">
        <f>IF(E14="","",Rosters!A15)</f>
        <v/>
      </c>
      <c r="E14" t="str">
        <f>IF(Rosters!B15="","",Rosters!B15)</f>
        <v/>
      </c>
      <c r="F14" t="str">
        <f>IF(E14="","",Rosters!C15)</f>
        <v/>
      </c>
      <c r="G14" t="str">
        <f t="shared" si="1"/>
        <v/>
      </c>
    </row>
    <row r="15" spans="1:26" x14ac:dyDescent="0.3">
      <c r="A15" t="str">
        <f t="shared" si="0"/>
        <v/>
      </c>
      <c r="B15" t="str">
        <f>IF(E15="","",Teams!A2)</f>
        <v/>
      </c>
      <c r="C15" t="str">
        <f>IF(E15="","",Teams!C2)</f>
        <v/>
      </c>
      <c r="D15" t="str">
        <f>IF(E15="","",Rosters!A16)</f>
        <v/>
      </c>
      <c r="E15" t="str">
        <f>IF(Rosters!B16="","",Rosters!B16)</f>
        <v/>
      </c>
      <c r="F15" t="str">
        <f>IF(E15="","",Rosters!C16)</f>
        <v/>
      </c>
      <c r="G15" t="str">
        <f t="shared" si="1"/>
        <v/>
      </c>
    </row>
    <row r="16" spans="1:26" x14ac:dyDescent="0.3">
      <c r="A16" t="str">
        <f t="shared" si="0"/>
        <v/>
      </c>
      <c r="B16" t="str">
        <f>IF(E16="","",Teams!A2)</f>
        <v/>
      </c>
      <c r="C16" t="str">
        <f>IF(E16="","",Teams!C2)</f>
        <v/>
      </c>
      <c r="D16" t="str">
        <f>IF(E16="","",Rosters!A17)</f>
        <v/>
      </c>
      <c r="E16" t="str">
        <f>IF(Rosters!B17="","",Rosters!B17)</f>
        <v/>
      </c>
      <c r="F16" t="str">
        <f>IF(E16="","",Rosters!C17)</f>
        <v/>
      </c>
      <c r="G16" t="str">
        <f t="shared" si="1"/>
        <v/>
      </c>
    </row>
    <row r="17" spans="1:7" x14ac:dyDescent="0.3">
      <c r="A17" t="str">
        <f t="shared" si="0"/>
        <v/>
      </c>
      <c r="B17" t="str">
        <f>IF(E17="","",Teams!A2)</f>
        <v/>
      </c>
      <c r="C17" t="str">
        <f>IF(E17="","",Teams!C2)</f>
        <v/>
      </c>
      <c r="D17" t="str">
        <f>IF(E17="","",Rosters!A18)</f>
        <v/>
      </c>
      <c r="E17" t="str">
        <f>IF(Rosters!B18="","",Rosters!B18)</f>
        <v/>
      </c>
      <c r="F17" t="str">
        <f>IF(E17="","",Rosters!C18)</f>
        <v/>
      </c>
      <c r="G17" t="str">
        <f t="shared" si="1"/>
        <v/>
      </c>
    </row>
    <row r="18" spans="1:7" x14ac:dyDescent="0.3">
      <c r="A18" t="str">
        <f t="shared" si="0"/>
        <v/>
      </c>
      <c r="B18" t="str">
        <f>IF(E18="","",Teams!A2)</f>
        <v/>
      </c>
      <c r="C18" t="str">
        <f>IF(E18="","",Teams!C2)</f>
        <v/>
      </c>
      <c r="D18" t="str">
        <f>IF(E18="","",Rosters!A19)</f>
        <v/>
      </c>
      <c r="E18" t="str">
        <f>IF(Rosters!B19="","",Rosters!B19)</f>
        <v/>
      </c>
      <c r="F18" t="str">
        <f>IF(E18="","",Rosters!C19)</f>
        <v/>
      </c>
      <c r="G18" t="str">
        <f t="shared" si="1"/>
        <v/>
      </c>
    </row>
    <row r="19" spans="1:7" x14ac:dyDescent="0.3">
      <c r="A19" t="str">
        <f t="shared" si="0"/>
        <v/>
      </c>
      <c r="B19" t="str">
        <f>IF(E19="","",Teams!A2)</f>
        <v/>
      </c>
      <c r="C19" t="str">
        <f>IF(E19="","",Teams!C2)</f>
        <v/>
      </c>
      <c r="D19" t="str">
        <f>IF(E19="","",Rosters!A20)</f>
        <v/>
      </c>
      <c r="E19" t="str">
        <f>IF(Rosters!B20="","",Rosters!B20)</f>
        <v/>
      </c>
      <c r="F19" t="str">
        <f>IF(E19="","",Rosters!C20)</f>
        <v/>
      </c>
      <c r="G19" t="str">
        <f t="shared" si="1"/>
        <v/>
      </c>
    </row>
    <row r="20" spans="1:7" x14ac:dyDescent="0.3">
      <c r="A20" t="str">
        <f t="shared" si="0"/>
        <v/>
      </c>
      <c r="B20" t="str">
        <f>IF(E20="","",Teams!A2)</f>
        <v/>
      </c>
      <c r="C20" t="str">
        <f>IF(E20="","",Teams!C2)</f>
        <v/>
      </c>
      <c r="D20" t="str">
        <f>IF(E20="","",Rosters!A21)</f>
        <v/>
      </c>
      <c r="E20" t="str">
        <f>IF(Rosters!B21="","",Rosters!B21)</f>
        <v/>
      </c>
      <c r="F20" t="str">
        <f>IF(E20="","",Rosters!C21)</f>
        <v/>
      </c>
      <c r="G20" t="str">
        <f t="shared" si="1"/>
        <v/>
      </c>
    </row>
    <row r="21" spans="1:7" x14ac:dyDescent="0.3">
      <c r="A21" t="str">
        <f t="shared" si="0"/>
        <v/>
      </c>
      <c r="B21" t="str">
        <f>IF(E21="","",Teams!A2)</f>
        <v/>
      </c>
      <c r="C21" t="str">
        <f>IF(E21="","",Teams!C2)</f>
        <v/>
      </c>
      <c r="D21" t="str">
        <f>IF(E21="","",Rosters!A22)</f>
        <v/>
      </c>
      <c r="E21" t="str">
        <f>IF(Rosters!B22="","",Rosters!B22)</f>
        <v/>
      </c>
      <c r="F21" t="str">
        <f>IF(E21="","",Rosters!C22)</f>
        <v/>
      </c>
      <c r="G21" t="str">
        <f t="shared" si="1"/>
        <v/>
      </c>
    </row>
    <row r="22" spans="1:7" x14ac:dyDescent="0.3">
      <c r="A22" t="str">
        <f t="shared" si="0"/>
        <v/>
      </c>
      <c r="B22" t="str">
        <f>IF(E22="","",Teams!A2)</f>
        <v/>
      </c>
      <c r="C22" t="str">
        <f>IF(E22="","",Teams!C2)</f>
        <v/>
      </c>
      <c r="D22" t="str">
        <f>IF(E22="","",Rosters!A23)</f>
        <v/>
      </c>
      <c r="E22" t="str">
        <f>IF(Rosters!B23="","",Rosters!B23)</f>
        <v/>
      </c>
      <c r="F22" t="str">
        <f>IF(E22="","",Rosters!C23)</f>
        <v/>
      </c>
      <c r="G22" t="str">
        <f t="shared" si="1"/>
        <v/>
      </c>
    </row>
    <row r="23" spans="1:7" x14ac:dyDescent="0.3">
      <c r="A23" t="str">
        <f t="shared" si="0"/>
        <v/>
      </c>
      <c r="B23" t="str">
        <f>IF(E23="","",Teams!A2)</f>
        <v/>
      </c>
      <c r="C23" t="str">
        <f>IF(E23="","",Teams!C2)</f>
        <v/>
      </c>
      <c r="D23" t="str">
        <f>IF(E23="","",Rosters!A24)</f>
        <v/>
      </c>
      <c r="E23" t="str">
        <f>IF(Rosters!B24="","",Rosters!B24)</f>
        <v/>
      </c>
      <c r="F23" t="str">
        <f>IF(E23="","",Rosters!C24)</f>
        <v/>
      </c>
      <c r="G23" t="str">
        <f t="shared" si="1"/>
        <v/>
      </c>
    </row>
    <row r="24" spans="1:7" x14ac:dyDescent="0.3">
      <c r="A24" t="str">
        <f t="shared" si="0"/>
        <v/>
      </c>
      <c r="B24" t="str">
        <f>IF(E24="","",Teams!A2)</f>
        <v/>
      </c>
      <c r="C24" t="str">
        <f>IF(E24="","",Teams!C2)</f>
        <v/>
      </c>
      <c r="D24" t="str">
        <f>IF(E24="","",Rosters!A25)</f>
        <v/>
      </c>
      <c r="E24" t="str">
        <f>IF(Rosters!B25="","",Rosters!B25)</f>
        <v/>
      </c>
      <c r="F24" t="str">
        <f>IF(E24="","",Rosters!C25)</f>
        <v/>
      </c>
      <c r="G24" t="str">
        <f t="shared" si="1"/>
        <v/>
      </c>
    </row>
    <row r="25" spans="1:7" x14ac:dyDescent="0.3">
      <c r="A25" t="str">
        <f t="shared" si="0"/>
        <v/>
      </c>
      <c r="B25" t="str">
        <f>IF(E25="","",Teams!A2)</f>
        <v/>
      </c>
      <c r="C25" t="str">
        <f>IF(E25="","",Teams!C2)</f>
        <v/>
      </c>
      <c r="D25" t="str">
        <f>IF(E25="","",Rosters!A26)</f>
        <v/>
      </c>
      <c r="E25" t="str">
        <f>IF(Rosters!B26="","",Rosters!B26)</f>
        <v/>
      </c>
      <c r="F25" t="str">
        <f>IF(E25="","",Rosters!C26)</f>
        <v/>
      </c>
      <c r="G25" t="str">
        <f t="shared" si="1"/>
        <v/>
      </c>
    </row>
    <row r="26" spans="1:7" x14ac:dyDescent="0.3">
      <c r="A26" t="str">
        <f t="shared" si="0"/>
        <v/>
      </c>
      <c r="B26" t="str">
        <f>IF(E26="","",Teams!A2)</f>
        <v/>
      </c>
      <c r="C26" t="str">
        <f>IF(E26="","",Teams!C2)</f>
        <v/>
      </c>
      <c r="D26" t="str">
        <f>IF(E26="","",Rosters!A27)</f>
        <v/>
      </c>
      <c r="E26" t="str">
        <f>IF(Rosters!B27="","",Rosters!B27)</f>
        <v/>
      </c>
      <c r="F26" t="str">
        <f>IF(E26="","",Rosters!C27)</f>
        <v/>
      </c>
      <c r="G26" t="str">
        <f t="shared" si="1"/>
        <v/>
      </c>
    </row>
    <row r="27" spans="1:7" x14ac:dyDescent="0.3">
      <c r="A27" t="str">
        <f t="shared" si="0"/>
        <v/>
      </c>
      <c r="B27" t="str">
        <f>IF(E27="","",Teams!A2)</f>
        <v/>
      </c>
      <c r="C27" t="str">
        <f>IF(E27="","",Teams!C2)</f>
        <v/>
      </c>
      <c r="D27" t="str">
        <f>IF(E27="","",Rosters!A28)</f>
        <v/>
      </c>
      <c r="E27" t="str">
        <f>IF(Rosters!B28="","",Rosters!B28)</f>
        <v/>
      </c>
      <c r="F27" t="str">
        <f>IF(E27="","",Rosters!C28)</f>
        <v/>
      </c>
      <c r="G27" t="str">
        <f t="shared" si="1"/>
        <v/>
      </c>
    </row>
    <row r="28" spans="1:7" x14ac:dyDescent="0.3">
      <c r="A28" t="str">
        <f t="shared" si="0"/>
        <v/>
      </c>
      <c r="B28" t="str">
        <f>IF(E28="","",Teams!A2)</f>
        <v/>
      </c>
      <c r="C28" t="str">
        <f>IF(E28="","",Teams!C2)</f>
        <v/>
      </c>
      <c r="D28" t="str">
        <f>IF(E28="","",Rosters!A29)</f>
        <v/>
      </c>
      <c r="E28" t="str">
        <f>IF(Rosters!B29="","",Rosters!B29)</f>
        <v/>
      </c>
      <c r="F28" t="str">
        <f>IF(E28="","",Rosters!C29)</f>
        <v/>
      </c>
      <c r="G28" t="str">
        <f t="shared" si="1"/>
        <v/>
      </c>
    </row>
    <row r="29" spans="1:7" x14ac:dyDescent="0.3">
      <c r="A29" t="str">
        <f t="shared" si="0"/>
        <v/>
      </c>
      <c r="B29" t="str">
        <f>IF(E29="","",Teams!A2)</f>
        <v/>
      </c>
      <c r="C29" t="str">
        <f>IF(E29="","",Teams!C2)</f>
        <v/>
      </c>
      <c r="D29" t="str">
        <f>IF(E29="","",Rosters!A30)</f>
        <v/>
      </c>
      <c r="E29" t="str">
        <f>IF(Rosters!B30="","",Rosters!B30)</f>
        <v/>
      </c>
      <c r="F29" t="str">
        <f>IF(E29="","",Rosters!C30)</f>
        <v/>
      </c>
      <c r="G29" t="str">
        <f t="shared" si="1"/>
        <v/>
      </c>
    </row>
    <row r="30" spans="1:7" x14ac:dyDescent="0.3">
      <c r="A30" t="str">
        <f t="shared" si="0"/>
        <v/>
      </c>
      <c r="B30" t="str">
        <f>IF(E30="","",Teams!A2)</f>
        <v/>
      </c>
      <c r="C30" t="str">
        <f>IF(E30="","",Teams!C2)</f>
        <v/>
      </c>
      <c r="D30" t="str">
        <f>IF(E30="","",Rosters!A31)</f>
        <v/>
      </c>
      <c r="E30" t="str">
        <f>IF(Rosters!B31="","",Rosters!B31)</f>
        <v/>
      </c>
      <c r="F30" t="str">
        <f>IF(E30="","",Rosters!C31)</f>
        <v/>
      </c>
      <c r="G30" t="str">
        <f t="shared" si="1"/>
        <v/>
      </c>
    </row>
    <row r="31" spans="1:7" x14ac:dyDescent="0.3">
      <c r="A31" t="str">
        <f t="shared" si="0"/>
        <v/>
      </c>
      <c r="B31" t="str">
        <f>IF(E31="","",Teams!A2)</f>
        <v/>
      </c>
      <c r="C31" t="str">
        <f>IF(E31="","",Teams!C2)</f>
        <v/>
      </c>
      <c r="D31" t="str">
        <f>IF(E31="","",Rosters!A32)</f>
        <v/>
      </c>
      <c r="E31" t="str">
        <f>IF(Rosters!B32="","",Rosters!B32)</f>
        <v/>
      </c>
      <c r="F31" t="str">
        <f>IF(E31="","",Rosters!C32)</f>
        <v/>
      </c>
      <c r="G31" t="str">
        <f t="shared" si="1"/>
        <v/>
      </c>
    </row>
    <row r="32" spans="1:7" x14ac:dyDescent="0.3">
      <c r="A32" t="str">
        <f t="shared" si="0"/>
        <v>P031</v>
      </c>
      <c r="B32" t="str">
        <f>IF(E32="","",Teams!A3)</f>
        <v>T02</v>
      </c>
      <c r="C32" t="str">
        <f>IF(E32="","",Teams!C3)</f>
        <v>FC Internazionale Rovigo</v>
      </c>
      <c r="D32">
        <f>IF(E32="","",Rosters!D3)</f>
        <v>0</v>
      </c>
      <c r="E32" t="str">
        <f>IF(Rosters!E3="","",Rosters!E3)</f>
        <v>BOGDAN ATAMANYUK</v>
      </c>
      <c r="F32" t="str">
        <f>IF(E32="","",Rosters!F3)</f>
        <v>No</v>
      </c>
      <c r="G32" t="str">
        <f t="shared" si="1"/>
        <v>0 - BOGDAN ATAMANYUK</v>
      </c>
    </row>
    <row r="33" spans="1:7" x14ac:dyDescent="0.3">
      <c r="A33" t="str">
        <f t="shared" si="0"/>
        <v>P032</v>
      </c>
      <c r="B33" t="str">
        <f>IF(E33="","",Teams!A3)</f>
        <v>T02</v>
      </c>
      <c r="C33" t="str">
        <f>IF(E33="","",Teams!C3)</f>
        <v>FC Internazionale Rovigo</v>
      </c>
      <c r="D33">
        <f>IF(E33="","",Rosters!D4)</f>
        <v>0</v>
      </c>
      <c r="E33" t="str">
        <f>IF(Rosters!E4="","",Rosters!E4)</f>
        <v>IVAN DENIS SHEVERAK</v>
      </c>
      <c r="F33" t="str">
        <f>IF(E33="","",Rosters!F4)</f>
        <v>No</v>
      </c>
      <c r="G33" t="str">
        <f t="shared" si="1"/>
        <v>0 - IVAN DENIS SHEVERAK</v>
      </c>
    </row>
    <row r="34" spans="1:7" x14ac:dyDescent="0.3">
      <c r="A34" t="str">
        <f t="shared" si="0"/>
        <v>P033</v>
      </c>
      <c r="B34" t="str">
        <f>IF(E34="","",Teams!A3)</f>
        <v>T02</v>
      </c>
      <c r="C34" t="str">
        <f>IF(E34="","",Teams!C3)</f>
        <v>FC Internazionale Rovigo</v>
      </c>
      <c r="D34">
        <f>IF(E34="","",Rosters!D5)</f>
        <v>0</v>
      </c>
      <c r="E34" t="str">
        <f>IF(Rosters!E5="","",Rosters!E5)</f>
        <v>MOHAMED IAICH</v>
      </c>
      <c r="F34" t="str">
        <f>IF(E34="","",Rosters!F5)</f>
        <v>No</v>
      </c>
      <c r="G34" t="str">
        <f t="shared" si="1"/>
        <v>0 - MOHAMED IAICH</v>
      </c>
    </row>
    <row r="35" spans="1:7" x14ac:dyDescent="0.3">
      <c r="A35" t="str">
        <f t="shared" si="0"/>
        <v>P034</v>
      </c>
      <c r="B35" t="str">
        <f>IF(E35="","",Teams!A3)</f>
        <v>T02</v>
      </c>
      <c r="C35" t="str">
        <f>IF(E35="","",Teams!C3)</f>
        <v>FC Internazionale Rovigo</v>
      </c>
      <c r="D35">
        <f>IF(E35="","",Rosters!D6)</f>
        <v>0</v>
      </c>
      <c r="E35" t="str">
        <f>IF(Rosters!E6="","",Rosters!E6)</f>
        <v>DANIIL YAKIMENKO</v>
      </c>
      <c r="F35" t="str">
        <f>IF(E35="","",Rosters!F6)</f>
        <v>No</v>
      </c>
      <c r="G35" t="str">
        <f t="shared" si="1"/>
        <v>0 - DANIIL YAKIMENKO</v>
      </c>
    </row>
    <row r="36" spans="1:7" x14ac:dyDescent="0.3">
      <c r="A36" t="str">
        <f t="shared" si="0"/>
        <v>P035</v>
      </c>
      <c r="B36" t="str">
        <f>IF(E36="","",Teams!A3)</f>
        <v>T02</v>
      </c>
      <c r="C36" t="str">
        <f>IF(E36="","",Teams!C3)</f>
        <v>FC Internazionale Rovigo</v>
      </c>
      <c r="D36">
        <f>IF(E36="","",Rosters!D7)</f>
        <v>0</v>
      </c>
      <c r="E36" t="str">
        <f>IF(Rosters!E7="","",Rosters!E7)</f>
        <v>AHMED ZOUZAF</v>
      </c>
      <c r="F36" t="str">
        <f>IF(E36="","",Rosters!F7)</f>
        <v>No</v>
      </c>
      <c r="G36" t="str">
        <f t="shared" si="1"/>
        <v>0 - AHMED ZOUZAF</v>
      </c>
    </row>
    <row r="37" spans="1:7" x14ac:dyDescent="0.3">
      <c r="A37" t="str">
        <f t="shared" si="0"/>
        <v>P036</v>
      </c>
      <c r="B37" t="str">
        <f>IF(E37="","",Teams!A3)</f>
        <v>T02</v>
      </c>
      <c r="C37" t="str">
        <f>IF(E37="","",Teams!C3)</f>
        <v>FC Internazionale Rovigo</v>
      </c>
      <c r="D37">
        <f>IF(E37="","",Rosters!D8)</f>
        <v>0</v>
      </c>
      <c r="E37" t="str">
        <f>IF(Rosters!E8="","",Rosters!E8)</f>
        <v>YOUSSEF IAICH</v>
      </c>
      <c r="F37" t="str">
        <f>IF(E37="","",Rosters!F8)</f>
        <v>No</v>
      </c>
      <c r="G37" t="str">
        <f t="shared" si="1"/>
        <v>0 - YOUSSEF IAICH</v>
      </c>
    </row>
    <row r="38" spans="1:7" x14ac:dyDescent="0.3">
      <c r="A38" t="str">
        <f t="shared" si="0"/>
        <v>P037</v>
      </c>
      <c r="B38" t="str">
        <f>IF(E38="","",Teams!A3)</f>
        <v>T02</v>
      </c>
      <c r="C38" t="str">
        <f>IF(E38="","",Teams!C3)</f>
        <v>FC Internazionale Rovigo</v>
      </c>
      <c r="D38">
        <f>IF(E38="","",Rosters!D9)</f>
        <v>0</v>
      </c>
      <c r="E38" t="str">
        <f>IF(Rosters!E9="","",Rosters!E9)</f>
        <v>HAMZA AGRIBI</v>
      </c>
      <c r="F38" t="str">
        <f>IF(E38="","",Rosters!F9)</f>
        <v>Yes</v>
      </c>
      <c r="G38" t="str">
        <f t="shared" si="1"/>
        <v>0 - HAMZA AGRIBI (C)</v>
      </c>
    </row>
    <row r="39" spans="1:7" x14ac:dyDescent="0.3">
      <c r="A39" t="str">
        <f t="shared" si="0"/>
        <v>P038</v>
      </c>
      <c r="B39" t="str">
        <f>IF(E39="","",Teams!A3)</f>
        <v>T02</v>
      </c>
      <c r="C39" t="str">
        <f>IF(E39="","",Teams!C3)</f>
        <v>FC Internazionale Rovigo</v>
      </c>
      <c r="D39">
        <f>IF(E39="","",Rosters!D10)</f>
        <v>0</v>
      </c>
      <c r="E39" t="str">
        <f>IF(Rosters!E10="","",Rosters!E10)</f>
        <v>KHALID BENNOUNE</v>
      </c>
      <c r="F39" t="str">
        <f>IF(E39="","",Rosters!F10)</f>
        <v>No</v>
      </c>
      <c r="G39" t="str">
        <f t="shared" si="1"/>
        <v>0 - KHALID BENNOUNE</v>
      </c>
    </row>
    <row r="40" spans="1:7" x14ac:dyDescent="0.3">
      <c r="A40" t="str">
        <f t="shared" si="0"/>
        <v>P039</v>
      </c>
      <c r="B40" t="str">
        <f>IF(E40="","",Teams!A3)</f>
        <v>T02</v>
      </c>
      <c r="C40" t="str">
        <f>IF(E40="","",Teams!C3)</f>
        <v>FC Internazionale Rovigo</v>
      </c>
      <c r="D40">
        <f>IF(E40="","",Rosters!D11)</f>
        <v>0</v>
      </c>
      <c r="E40" t="str">
        <f>IF(Rosters!E11="","",Rosters!E11)</f>
        <v>YASSINE SOHAYB</v>
      </c>
      <c r="F40" t="str">
        <f>IF(E40="","",Rosters!F11)</f>
        <v>No</v>
      </c>
      <c r="G40" t="str">
        <f t="shared" si="1"/>
        <v>0 - YASSINE SOHAYB</v>
      </c>
    </row>
    <row r="41" spans="1:7" x14ac:dyDescent="0.3">
      <c r="A41" t="str">
        <f t="shared" si="0"/>
        <v>P040</v>
      </c>
      <c r="B41" t="str">
        <f>IF(E41="","",Teams!A3)</f>
        <v>T02</v>
      </c>
      <c r="C41" t="str">
        <f>IF(E41="","",Teams!C3)</f>
        <v>FC Internazionale Rovigo</v>
      </c>
      <c r="D41">
        <f>IF(E41="","",Rosters!D12)</f>
        <v>0</v>
      </c>
      <c r="E41" t="str">
        <f>IF(Rosters!E12="","",Rosters!E12)</f>
        <v>ABDESSAMAD BAGHROUCH</v>
      </c>
      <c r="F41" t="str">
        <f>IF(E41="","",Rosters!F12)</f>
        <v>No</v>
      </c>
      <c r="G41" t="str">
        <f t="shared" si="1"/>
        <v>0 - ABDESSAMAD BAGHROUCH</v>
      </c>
    </row>
    <row r="42" spans="1:7" x14ac:dyDescent="0.3">
      <c r="A42" t="str">
        <f t="shared" si="0"/>
        <v/>
      </c>
      <c r="B42" t="str">
        <f>IF(E42="","",Teams!A3)</f>
        <v/>
      </c>
      <c r="C42" t="str">
        <f>IF(E42="","",Teams!C3)</f>
        <v/>
      </c>
      <c r="D42" t="str">
        <f>IF(E42="","",Rosters!D13)</f>
        <v/>
      </c>
      <c r="E42" t="str">
        <f>IF(Rosters!E13="","",Rosters!E13)</f>
        <v/>
      </c>
      <c r="F42" t="str">
        <f>IF(E42="","",Rosters!F13)</f>
        <v/>
      </c>
      <c r="G42" t="str">
        <f t="shared" si="1"/>
        <v/>
      </c>
    </row>
    <row r="43" spans="1:7" x14ac:dyDescent="0.3">
      <c r="A43" t="str">
        <f t="shared" si="0"/>
        <v/>
      </c>
      <c r="B43" t="str">
        <f>IF(E43="","",Teams!A3)</f>
        <v/>
      </c>
      <c r="C43" t="str">
        <f>IF(E43="","",Teams!C3)</f>
        <v/>
      </c>
      <c r="D43" t="str">
        <f>IF(E43="","",Rosters!D14)</f>
        <v/>
      </c>
      <c r="E43" t="str">
        <f>IF(Rosters!E14="","",Rosters!E14)</f>
        <v/>
      </c>
      <c r="F43" t="str">
        <f>IF(E43="","",Rosters!F14)</f>
        <v/>
      </c>
      <c r="G43" t="str">
        <f t="shared" si="1"/>
        <v/>
      </c>
    </row>
    <row r="44" spans="1:7" x14ac:dyDescent="0.3">
      <c r="A44" t="str">
        <f t="shared" si="0"/>
        <v/>
      </c>
      <c r="B44" t="str">
        <f>IF(E44="","",Teams!A3)</f>
        <v/>
      </c>
      <c r="C44" t="str">
        <f>IF(E44="","",Teams!C3)</f>
        <v/>
      </c>
      <c r="D44" t="str">
        <f>IF(E44="","",Rosters!D15)</f>
        <v/>
      </c>
      <c r="E44" t="str">
        <f>IF(Rosters!E15="","",Rosters!E15)</f>
        <v/>
      </c>
      <c r="F44" t="str">
        <f>IF(E44="","",Rosters!F15)</f>
        <v/>
      </c>
      <c r="G44" t="str">
        <f t="shared" si="1"/>
        <v/>
      </c>
    </row>
    <row r="45" spans="1:7" x14ac:dyDescent="0.3">
      <c r="A45" t="str">
        <f t="shared" si="0"/>
        <v/>
      </c>
      <c r="B45" t="str">
        <f>IF(E45="","",Teams!A3)</f>
        <v/>
      </c>
      <c r="C45" t="str">
        <f>IF(E45="","",Teams!C3)</f>
        <v/>
      </c>
      <c r="D45" t="str">
        <f>IF(E45="","",Rosters!D16)</f>
        <v/>
      </c>
      <c r="E45" t="str">
        <f>IF(Rosters!E16="","",Rosters!E16)</f>
        <v/>
      </c>
      <c r="F45" t="str">
        <f>IF(E45="","",Rosters!F16)</f>
        <v/>
      </c>
      <c r="G45" t="str">
        <f t="shared" si="1"/>
        <v/>
      </c>
    </row>
    <row r="46" spans="1:7" x14ac:dyDescent="0.3">
      <c r="A46" t="str">
        <f t="shared" si="0"/>
        <v/>
      </c>
      <c r="B46" t="str">
        <f>IF(E46="","",Teams!A3)</f>
        <v/>
      </c>
      <c r="C46" t="str">
        <f>IF(E46="","",Teams!C3)</f>
        <v/>
      </c>
      <c r="D46" t="str">
        <f>IF(E46="","",Rosters!D17)</f>
        <v/>
      </c>
      <c r="E46" t="str">
        <f>IF(Rosters!E17="","",Rosters!E17)</f>
        <v/>
      </c>
      <c r="F46" t="str">
        <f>IF(E46="","",Rosters!F17)</f>
        <v/>
      </c>
      <c r="G46" t="str">
        <f t="shared" si="1"/>
        <v/>
      </c>
    </row>
    <row r="47" spans="1:7" x14ac:dyDescent="0.3">
      <c r="A47" t="str">
        <f t="shared" si="0"/>
        <v/>
      </c>
      <c r="B47" t="str">
        <f>IF(E47="","",Teams!A3)</f>
        <v/>
      </c>
      <c r="C47" t="str">
        <f>IF(E47="","",Teams!C3)</f>
        <v/>
      </c>
      <c r="D47" t="str">
        <f>IF(E47="","",Rosters!D18)</f>
        <v/>
      </c>
      <c r="E47" t="str">
        <f>IF(Rosters!E18="","",Rosters!E18)</f>
        <v/>
      </c>
      <c r="F47" t="str">
        <f>IF(E47="","",Rosters!F18)</f>
        <v/>
      </c>
      <c r="G47" t="str">
        <f t="shared" si="1"/>
        <v/>
      </c>
    </row>
    <row r="48" spans="1:7" x14ac:dyDescent="0.3">
      <c r="A48" t="str">
        <f t="shared" si="0"/>
        <v/>
      </c>
      <c r="B48" t="str">
        <f>IF(E48="","",Teams!A3)</f>
        <v/>
      </c>
      <c r="C48" t="str">
        <f>IF(E48="","",Teams!C3)</f>
        <v/>
      </c>
      <c r="D48" t="str">
        <f>IF(E48="","",Rosters!D19)</f>
        <v/>
      </c>
      <c r="E48" t="str">
        <f>IF(Rosters!E19="","",Rosters!E19)</f>
        <v/>
      </c>
      <c r="F48" t="str">
        <f>IF(E48="","",Rosters!F19)</f>
        <v/>
      </c>
      <c r="G48" t="str">
        <f t="shared" si="1"/>
        <v/>
      </c>
    </row>
    <row r="49" spans="1:7" x14ac:dyDescent="0.3">
      <c r="A49" t="str">
        <f t="shared" si="0"/>
        <v/>
      </c>
      <c r="B49" t="str">
        <f>IF(E49="","",Teams!A3)</f>
        <v/>
      </c>
      <c r="C49" t="str">
        <f>IF(E49="","",Teams!C3)</f>
        <v/>
      </c>
      <c r="D49" t="str">
        <f>IF(E49="","",Rosters!D20)</f>
        <v/>
      </c>
      <c r="E49" t="str">
        <f>IF(Rosters!E20="","",Rosters!E20)</f>
        <v/>
      </c>
      <c r="F49" t="str">
        <f>IF(E49="","",Rosters!F20)</f>
        <v/>
      </c>
      <c r="G49" t="str">
        <f t="shared" si="1"/>
        <v/>
      </c>
    </row>
    <row r="50" spans="1:7" x14ac:dyDescent="0.3">
      <c r="A50" t="str">
        <f t="shared" si="0"/>
        <v/>
      </c>
      <c r="B50" t="str">
        <f>IF(E50="","",Teams!A3)</f>
        <v/>
      </c>
      <c r="C50" t="str">
        <f>IF(E50="","",Teams!C3)</f>
        <v/>
      </c>
      <c r="D50" t="str">
        <f>IF(E50="","",Rosters!D21)</f>
        <v/>
      </c>
      <c r="E50" t="str">
        <f>IF(Rosters!E21="","",Rosters!E21)</f>
        <v/>
      </c>
      <c r="F50" t="str">
        <f>IF(E50="","",Rosters!F21)</f>
        <v/>
      </c>
      <c r="G50" t="str">
        <f t="shared" si="1"/>
        <v/>
      </c>
    </row>
    <row r="51" spans="1:7" x14ac:dyDescent="0.3">
      <c r="A51" t="str">
        <f t="shared" si="0"/>
        <v/>
      </c>
      <c r="B51" t="str">
        <f>IF(E51="","",Teams!A3)</f>
        <v/>
      </c>
      <c r="C51" t="str">
        <f>IF(E51="","",Teams!C3)</f>
        <v/>
      </c>
      <c r="D51" t="str">
        <f>IF(E51="","",Rosters!D22)</f>
        <v/>
      </c>
      <c r="E51" t="str">
        <f>IF(Rosters!E22="","",Rosters!E22)</f>
        <v/>
      </c>
      <c r="F51" t="str">
        <f>IF(E51="","",Rosters!F22)</f>
        <v/>
      </c>
      <c r="G51" t="str">
        <f t="shared" si="1"/>
        <v/>
      </c>
    </row>
    <row r="52" spans="1:7" x14ac:dyDescent="0.3">
      <c r="A52" t="str">
        <f t="shared" si="0"/>
        <v/>
      </c>
      <c r="B52" t="str">
        <f>IF(E52="","",Teams!A3)</f>
        <v/>
      </c>
      <c r="C52" t="str">
        <f>IF(E52="","",Teams!C3)</f>
        <v/>
      </c>
      <c r="D52" t="str">
        <f>IF(E52="","",Rosters!D23)</f>
        <v/>
      </c>
      <c r="E52" t="str">
        <f>IF(Rosters!E23="","",Rosters!E23)</f>
        <v/>
      </c>
      <c r="F52" t="str">
        <f>IF(E52="","",Rosters!F23)</f>
        <v/>
      </c>
      <c r="G52" t="str">
        <f t="shared" si="1"/>
        <v/>
      </c>
    </row>
    <row r="53" spans="1:7" x14ac:dyDescent="0.3">
      <c r="A53" t="str">
        <f t="shared" si="0"/>
        <v/>
      </c>
      <c r="B53" t="str">
        <f>IF(E53="","",Teams!A3)</f>
        <v/>
      </c>
      <c r="C53" t="str">
        <f>IF(E53="","",Teams!C3)</f>
        <v/>
      </c>
      <c r="D53" t="str">
        <f>IF(E53="","",Rosters!D24)</f>
        <v/>
      </c>
      <c r="E53" t="str">
        <f>IF(Rosters!E24="","",Rosters!E24)</f>
        <v/>
      </c>
      <c r="F53" t="str">
        <f>IF(E53="","",Rosters!F24)</f>
        <v/>
      </c>
      <c r="G53" t="str">
        <f t="shared" si="1"/>
        <v/>
      </c>
    </row>
    <row r="54" spans="1:7" x14ac:dyDescent="0.3">
      <c r="A54" t="str">
        <f t="shared" si="0"/>
        <v/>
      </c>
      <c r="B54" t="str">
        <f>IF(E54="","",Teams!A3)</f>
        <v/>
      </c>
      <c r="C54" t="str">
        <f>IF(E54="","",Teams!C3)</f>
        <v/>
      </c>
      <c r="D54" t="str">
        <f>IF(E54="","",Rosters!D25)</f>
        <v/>
      </c>
      <c r="E54" t="str">
        <f>IF(Rosters!E25="","",Rosters!E25)</f>
        <v/>
      </c>
      <c r="F54" t="str">
        <f>IF(E54="","",Rosters!F25)</f>
        <v/>
      </c>
      <c r="G54" t="str">
        <f t="shared" si="1"/>
        <v/>
      </c>
    </row>
    <row r="55" spans="1:7" x14ac:dyDescent="0.3">
      <c r="A55" t="str">
        <f t="shared" si="0"/>
        <v/>
      </c>
      <c r="B55" t="str">
        <f>IF(E55="","",Teams!A3)</f>
        <v/>
      </c>
      <c r="C55" t="str">
        <f>IF(E55="","",Teams!C3)</f>
        <v/>
      </c>
      <c r="D55" t="str">
        <f>IF(E55="","",Rosters!D26)</f>
        <v/>
      </c>
      <c r="E55" t="str">
        <f>IF(Rosters!E26="","",Rosters!E26)</f>
        <v/>
      </c>
      <c r="F55" t="str">
        <f>IF(E55="","",Rosters!F26)</f>
        <v/>
      </c>
      <c r="G55" t="str">
        <f t="shared" si="1"/>
        <v/>
      </c>
    </row>
    <row r="56" spans="1:7" x14ac:dyDescent="0.3">
      <c r="A56" t="str">
        <f t="shared" si="0"/>
        <v/>
      </c>
      <c r="B56" t="str">
        <f>IF(E56="","",Teams!A3)</f>
        <v/>
      </c>
      <c r="C56" t="str">
        <f>IF(E56="","",Teams!C3)</f>
        <v/>
      </c>
      <c r="D56" t="str">
        <f>IF(E56="","",Rosters!D27)</f>
        <v/>
      </c>
      <c r="E56" t="str">
        <f>IF(Rosters!E27="","",Rosters!E27)</f>
        <v/>
      </c>
      <c r="F56" t="str">
        <f>IF(E56="","",Rosters!F27)</f>
        <v/>
      </c>
      <c r="G56" t="str">
        <f t="shared" si="1"/>
        <v/>
      </c>
    </row>
    <row r="57" spans="1:7" x14ac:dyDescent="0.3">
      <c r="A57" t="str">
        <f t="shared" si="0"/>
        <v/>
      </c>
      <c r="B57" t="str">
        <f>IF(E57="","",Teams!A3)</f>
        <v/>
      </c>
      <c r="C57" t="str">
        <f>IF(E57="","",Teams!C3)</f>
        <v/>
      </c>
      <c r="D57" t="str">
        <f>IF(E57="","",Rosters!D28)</f>
        <v/>
      </c>
      <c r="E57" t="str">
        <f>IF(Rosters!E28="","",Rosters!E28)</f>
        <v/>
      </c>
      <c r="F57" t="str">
        <f>IF(E57="","",Rosters!F28)</f>
        <v/>
      </c>
      <c r="G57" t="str">
        <f t="shared" si="1"/>
        <v/>
      </c>
    </row>
    <row r="58" spans="1:7" x14ac:dyDescent="0.3">
      <c r="A58" t="str">
        <f t="shared" si="0"/>
        <v/>
      </c>
      <c r="B58" t="str">
        <f>IF(E58="","",Teams!A3)</f>
        <v/>
      </c>
      <c r="C58" t="str">
        <f>IF(E58="","",Teams!C3)</f>
        <v/>
      </c>
      <c r="D58" t="str">
        <f>IF(E58="","",Rosters!D29)</f>
        <v/>
      </c>
      <c r="E58" t="str">
        <f>IF(Rosters!E29="","",Rosters!E29)</f>
        <v/>
      </c>
      <c r="F58" t="str">
        <f>IF(E58="","",Rosters!F29)</f>
        <v/>
      </c>
      <c r="G58" t="str">
        <f t="shared" si="1"/>
        <v/>
      </c>
    </row>
    <row r="59" spans="1:7" x14ac:dyDescent="0.3">
      <c r="A59" t="str">
        <f t="shared" si="0"/>
        <v/>
      </c>
      <c r="B59" t="str">
        <f>IF(E59="","",Teams!A3)</f>
        <v/>
      </c>
      <c r="C59" t="str">
        <f>IF(E59="","",Teams!C3)</f>
        <v/>
      </c>
      <c r="D59" t="str">
        <f>IF(E59="","",Rosters!D30)</f>
        <v/>
      </c>
      <c r="E59" t="str">
        <f>IF(Rosters!E30="","",Rosters!E30)</f>
        <v/>
      </c>
      <c r="F59" t="str">
        <f>IF(E59="","",Rosters!F30)</f>
        <v/>
      </c>
      <c r="G59" t="str">
        <f t="shared" si="1"/>
        <v/>
      </c>
    </row>
    <row r="60" spans="1:7" x14ac:dyDescent="0.3">
      <c r="A60" t="str">
        <f t="shared" si="0"/>
        <v/>
      </c>
      <c r="B60" t="str">
        <f>IF(E60="","",Teams!A3)</f>
        <v/>
      </c>
      <c r="C60" t="str">
        <f>IF(E60="","",Teams!C3)</f>
        <v/>
      </c>
      <c r="D60" t="str">
        <f>IF(E60="","",Rosters!D31)</f>
        <v/>
      </c>
      <c r="E60" t="str">
        <f>IF(Rosters!E31="","",Rosters!E31)</f>
        <v/>
      </c>
      <c r="F60" t="str">
        <f>IF(E60="","",Rosters!F31)</f>
        <v/>
      </c>
      <c r="G60" t="str">
        <f t="shared" si="1"/>
        <v/>
      </c>
    </row>
    <row r="61" spans="1:7" x14ac:dyDescent="0.3">
      <c r="A61" t="str">
        <f t="shared" si="0"/>
        <v/>
      </c>
      <c r="B61" t="str">
        <f>IF(E61="","",Teams!A3)</f>
        <v/>
      </c>
      <c r="C61" t="str">
        <f>IF(E61="","",Teams!C3)</f>
        <v/>
      </c>
      <c r="D61" t="str">
        <f>IF(E61="","",Rosters!D32)</f>
        <v/>
      </c>
      <c r="E61" t="str">
        <f>IF(Rosters!E32="","",Rosters!E32)</f>
        <v/>
      </c>
      <c r="F61" t="str">
        <f>IF(E61="","",Rosters!F32)</f>
        <v/>
      </c>
      <c r="G61" t="str">
        <f t="shared" si="1"/>
        <v/>
      </c>
    </row>
    <row r="62" spans="1:7" x14ac:dyDescent="0.3">
      <c r="A62" t="str">
        <f t="shared" si="0"/>
        <v>P061</v>
      </c>
      <c r="B62" t="str">
        <f>IF(E62="","",Teams!A4)</f>
        <v>T03</v>
      </c>
      <c r="C62" t="str">
        <f>IF(E62="","",Teams!C4)</f>
        <v>Moviola Utd</v>
      </c>
      <c r="D62">
        <f>IF(E62="","",Rosters!G3)</f>
        <v>0</v>
      </c>
      <c r="E62" t="str">
        <f>IF(Rosters!H3="","",Rosters!H3)</f>
        <v>MATTIA MERLO</v>
      </c>
      <c r="F62" t="str">
        <f>IF(E62="","",Rosters!I3)</f>
        <v>No</v>
      </c>
      <c r="G62" t="str">
        <f t="shared" si="1"/>
        <v>0 - MATTIA MERLO</v>
      </c>
    </row>
    <row r="63" spans="1:7" x14ac:dyDescent="0.3">
      <c r="A63" t="str">
        <f t="shared" si="0"/>
        <v>P062</v>
      </c>
      <c r="B63" t="str">
        <f>IF(E63="","",Teams!A4)</f>
        <v>T03</v>
      </c>
      <c r="C63" t="str">
        <f>IF(E63="","",Teams!C4)</f>
        <v>Moviola Utd</v>
      </c>
      <c r="D63">
        <f>IF(E63="","",Rosters!G4)</f>
        <v>0</v>
      </c>
      <c r="E63" t="str">
        <f>IF(Rosters!H4="","",Rosters!H4)</f>
        <v>MICHAEL STRENGHETTO</v>
      </c>
      <c r="F63" t="str">
        <f>IF(E63="","",Rosters!I4)</f>
        <v>Yes</v>
      </c>
      <c r="G63" t="str">
        <f t="shared" si="1"/>
        <v>0 - MICHAEL STRENGHETTO (C)</v>
      </c>
    </row>
    <row r="64" spans="1:7" x14ac:dyDescent="0.3">
      <c r="A64" t="str">
        <f t="shared" si="0"/>
        <v>P063</v>
      </c>
      <c r="B64" t="str">
        <f>IF(E64="","",Teams!A4)</f>
        <v>T03</v>
      </c>
      <c r="C64" t="str">
        <f>IF(E64="","",Teams!C4)</f>
        <v>Moviola Utd</v>
      </c>
      <c r="D64">
        <f>IF(E64="","",Rosters!G5)</f>
        <v>0</v>
      </c>
      <c r="E64" t="str">
        <f>IF(Rosters!H5="","",Rosters!H5)</f>
        <v>LUCA BACCO</v>
      </c>
      <c r="F64" t="str">
        <f>IF(E64="","",Rosters!I5)</f>
        <v>No</v>
      </c>
      <c r="G64" t="str">
        <f t="shared" si="1"/>
        <v>0 - LUCA BACCO</v>
      </c>
    </row>
    <row r="65" spans="1:7" x14ac:dyDescent="0.3">
      <c r="A65" t="str">
        <f t="shared" si="0"/>
        <v>P064</v>
      </c>
      <c r="B65" t="str">
        <f>IF(E65="","",Teams!A4)</f>
        <v>T03</v>
      </c>
      <c r="C65" t="str">
        <f>IF(E65="","",Teams!C4)</f>
        <v>Moviola Utd</v>
      </c>
      <c r="D65">
        <f>IF(E65="","",Rosters!G6)</f>
        <v>0</v>
      </c>
      <c r="E65" t="str">
        <f>IF(Rosters!H6="","",Rosters!H6)</f>
        <v>FILIPPO SCARANELLO</v>
      </c>
      <c r="F65" t="str">
        <f>IF(E65="","",Rosters!I6)</f>
        <v>No</v>
      </c>
      <c r="G65" t="str">
        <f t="shared" si="1"/>
        <v>0 - FILIPPO SCARANELLO</v>
      </c>
    </row>
    <row r="66" spans="1:7" x14ac:dyDescent="0.3">
      <c r="A66" t="str">
        <f t="shared" ref="A66:A129" si="2">IF(E66="","","P"&amp;TEXT(ROW()-1,"000"))</f>
        <v>P065</v>
      </c>
      <c r="B66" t="str">
        <f>IF(E66="","",Teams!A4)</f>
        <v>T03</v>
      </c>
      <c r="C66" t="str">
        <f>IF(E66="","",Teams!C4)</f>
        <v>Moviola Utd</v>
      </c>
      <c r="D66">
        <f>IF(E66="","",Rosters!G7)</f>
        <v>0</v>
      </c>
      <c r="E66" t="str">
        <f>IF(Rosters!H7="","",Rosters!H7)</f>
        <v>EDDY MAZZETTO</v>
      </c>
      <c r="F66" t="str">
        <f>IF(E66="","",Rosters!I7)</f>
        <v>No</v>
      </c>
      <c r="G66" t="str">
        <f t="shared" ref="G66:G129" si="3">IF(E66="","",IF(D66="","",D66&amp;" - ")&amp;E66&amp;IF(F66="Yes"," (C)",""))</f>
        <v>0 - EDDY MAZZETTO</v>
      </c>
    </row>
    <row r="67" spans="1:7" x14ac:dyDescent="0.3">
      <c r="A67" t="str">
        <f t="shared" si="2"/>
        <v>P066</v>
      </c>
      <c r="B67" t="str">
        <f>IF(E67="","",Teams!A4)</f>
        <v>T03</v>
      </c>
      <c r="C67" t="str">
        <f>IF(E67="","",Teams!C4)</f>
        <v>Moviola Utd</v>
      </c>
      <c r="D67">
        <f>IF(E67="","",Rosters!G8)</f>
        <v>0</v>
      </c>
      <c r="E67" t="str">
        <f>IF(Rosters!H8="","",Rosters!H8)</f>
        <v>MATTIA BORGATO</v>
      </c>
      <c r="F67" t="str">
        <f>IF(E67="","",Rosters!I8)</f>
        <v>No</v>
      </c>
      <c r="G67" t="str">
        <f t="shared" si="3"/>
        <v>0 - MATTIA BORGATO</v>
      </c>
    </row>
    <row r="68" spans="1:7" x14ac:dyDescent="0.3">
      <c r="A68" t="str">
        <f t="shared" si="2"/>
        <v>P067</v>
      </c>
      <c r="B68" t="str">
        <f>IF(E68="","",Teams!A4)</f>
        <v>T03</v>
      </c>
      <c r="C68" t="str">
        <f>IF(E68="","",Teams!C4)</f>
        <v>Moviola Utd</v>
      </c>
      <c r="D68">
        <f>IF(E68="","",Rosters!G9)</f>
        <v>0</v>
      </c>
      <c r="E68" t="str">
        <f>IF(Rosters!H9="","",Rosters!H9)</f>
        <v>MARCO CASAROTTI</v>
      </c>
      <c r="F68" t="str">
        <f>IF(E68="","",Rosters!I9)</f>
        <v>No</v>
      </c>
      <c r="G68" t="str">
        <f t="shared" si="3"/>
        <v>0 - MARCO CASAROTTI</v>
      </c>
    </row>
    <row r="69" spans="1:7" x14ac:dyDescent="0.3">
      <c r="A69" t="str">
        <f t="shared" si="2"/>
        <v>P068</v>
      </c>
      <c r="B69" t="str">
        <f>IF(E69="","",Teams!A4)</f>
        <v>T03</v>
      </c>
      <c r="C69" t="str">
        <f>IF(E69="","",Teams!C4)</f>
        <v>Moviola Utd</v>
      </c>
      <c r="D69">
        <f>IF(E69="","",Rosters!G10)</f>
        <v>0</v>
      </c>
      <c r="E69" t="str">
        <f>IF(Rosters!H10="","",Rosters!H10)</f>
        <v>MATTEO NATALI</v>
      </c>
      <c r="F69" t="str">
        <f>IF(E69="","",Rosters!I10)</f>
        <v>No</v>
      </c>
      <c r="G69" t="str">
        <f t="shared" si="3"/>
        <v>0 - MATTEO NATALI</v>
      </c>
    </row>
    <row r="70" spans="1:7" x14ac:dyDescent="0.3">
      <c r="A70" t="str">
        <f t="shared" si="2"/>
        <v>P069</v>
      </c>
      <c r="B70" t="str">
        <f>IF(E70="","",Teams!A4)</f>
        <v>T03</v>
      </c>
      <c r="C70" t="str">
        <f>IF(E70="","",Teams!C4)</f>
        <v>Moviola Utd</v>
      </c>
      <c r="D70">
        <f>IF(E70="","",Rosters!G11)</f>
        <v>0</v>
      </c>
      <c r="E70" t="str">
        <f>IF(Rosters!H11="","",Rosters!H11)</f>
        <v>FRANCESCO DADDATO</v>
      </c>
      <c r="F70" t="str">
        <f>IF(E70="","",Rosters!I11)</f>
        <v>No</v>
      </c>
      <c r="G70" t="str">
        <f t="shared" si="3"/>
        <v>0 - FRANCESCO DADDATO</v>
      </c>
    </row>
    <row r="71" spans="1:7" x14ac:dyDescent="0.3">
      <c r="A71" t="str">
        <f t="shared" si="2"/>
        <v>P070</v>
      </c>
      <c r="B71" t="str">
        <f>IF(E71="","",Teams!A4)</f>
        <v>T03</v>
      </c>
      <c r="C71" t="str">
        <f>IF(E71="","",Teams!C4)</f>
        <v>Moviola Utd</v>
      </c>
      <c r="D71">
        <f>IF(E71="","",Rosters!G12)</f>
        <v>0</v>
      </c>
      <c r="E71" t="str">
        <f>IF(Rosters!H12="","",Rosters!H12)</f>
        <v>NICHOLAS LANZONI</v>
      </c>
      <c r="F71" t="str">
        <f>IF(E71="","",Rosters!I12)</f>
        <v>No</v>
      </c>
      <c r="G71" t="str">
        <f t="shared" si="3"/>
        <v>0 - NICHOLAS LANZONI</v>
      </c>
    </row>
    <row r="72" spans="1:7" x14ac:dyDescent="0.3">
      <c r="A72" t="str">
        <f t="shared" si="2"/>
        <v>P071</v>
      </c>
      <c r="B72" t="str">
        <f>IF(E72="","",Teams!A4)</f>
        <v>T03</v>
      </c>
      <c r="C72" t="str">
        <f>IF(E72="","",Teams!C4)</f>
        <v>Moviola Utd</v>
      </c>
      <c r="D72">
        <f>IF(E72="","",Rosters!G13)</f>
        <v>0</v>
      </c>
      <c r="E72" t="str">
        <f>IF(Rosters!H13="","",Rosters!H13)</f>
        <v>NICOLÒ POLITI</v>
      </c>
      <c r="F72" t="str">
        <f>IF(E72="","",Rosters!I13)</f>
        <v>No</v>
      </c>
      <c r="G72" t="str">
        <f t="shared" si="3"/>
        <v>0 - NICOLÒ POLITI</v>
      </c>
    </row>
    <row r="73" spans="1:7" x14ac:dyDescent="0.3">
      <c r="A73" t="str">
        <f t="shared" si="2"/>
        <v>P072</v>
      </c>
      <c r="B73" t="str">
        <f>IF(E73="","",Teams!A4)</f>
        <v>T03</v>
      </c>
      <c r="C73" t="str">
        <f>IF(E73="","",Teams!C4)</f>
        <v>Moviola Utd</v>
      </c>
      <c r="D73">
        <f>IF(E73="","",Rosters!G14)</f>
        <v>0</v>
      </c>
      <c r="E73" t="str">
        <f>IF(Rosters!H14="","",Rosters!H14)</f>
        <v>MATTEO SENO</v>
      </c>
      <c r="F73" t="str">
        <f>IF(E73="","",Rosters!I14)</f>
        <v>No</v>
      </c>
      <c r="G73" t="str">
        <f t="shared" si="3"/>
        <v>0 - MATTEO SENO</v>
      </c>
    </row>
    <row r="74" spans="1:7" x14ac:dyDescent="0.3">
      <c r="A74" t="str">
        <f t="shared" si="2"/>
        <v>P073</v>
      </c>
      <c r="B74" t="str">
        <f>IF(E74="","",Teams!A4)</f>
        <v>T03</v>
      </c>
      <c r="C74" t="str">
        <f>IF(E74="","",Teams!C4)</f>
        <v>Moviola Utd</v>
      </c>
      <c r="D74">
        <f>IF(E74="","",Rosters!G15)</f>
        <v>0</v>
      </c>
      <c r="E74" t="str">
        <f>IF(Rosters!H15="","",Rosters!H15)</f>
        <v>NICO PAVANI</v>
      </c>
      <c r="F74">
        <f>IF(E74="","",Rosters!I15)</f>
        <v>0</v>
      </c>
      <c r="G74" t="str">
        <f t="shared" si="3"/>
        <v>0 - NICO PAVANI</v>
      </c>
    </row>
    <row r="75" spans="1:7" x14ac:dyDescent="0.3">
      <c r="A75" t="str">
        <f t="shared" si="2"/>
        <v/>
      </c>
      <c r="B75" t="str">
        <f>IF(E75="","",Teams!A4)</f>
        <v/>
      </c>
      <c r="C75" t="str">
        <f>IF(E75="","",Teams!C4)</f>
        <v/>
      </c>
      <c r="D75" t="str">
        <f>IF(E75="","",Rosters!G16)</f>
        <v/>
      </c>
      <c r="E75" t="str">
        <f>IF(Rosters!H16="","",Rosters!H16)</f>
        <v/>
      </c>
      <c r="F75" t="str">
        <f>IF(E75="","",Rosters!I16)</f>
        <v/>
      </c>
      <c r="G75" t="str">
        <f t="shared" si="3"/>
        <v/>
      </c>
    </row>
    <row r="76" spans="1:7" x14ac:dyDescent="0.3">
      <c r="A76" t="str">
        <f t="shared" si="2"/>
        <v/>
      </c>
      <c r="B76" t="str">
        <f>IF(E76="","",Teams!A4)</f>
        <v/>
      </c>
      <c r="C76" t="str">
        <f>IF(E76="","",Teams!C4)</f>
        <v/>
      </c>
      <c r="D76" t="str">
        <f>IF(E76="","",Rosters!G17)</f>
        <v/>
      </c>
      <c r="E76" t="str">
        <f>IF(Rosters!H17="","",Rosters!H17)</f>
        <v/>
      </c>
      <c r="F76" t="str">
        <f>IF(E76="","",Rosters!I17)</f>
        <v/>
      </c>
      <c r="G76" t="str">
        <f t="shared" si="3"/>
        <v/>
      </c>
    </row>
    <row r="77" spans="1:7" x14ac:dyDescent="0.3">
      <c r="A77" t="str">
        <f t="shared" si="2"/>
        <v/>
      </c>
      <c r="B77" t="str">
        <f>IF(E77="","",Teams!A4)</f>
        <v/>
      </c>
      <c r="C77" t="str">
        <f>IF(E77="","",Teams!C4)</f>
        <v/>
      </c>
      <c r="D77" t="str">
        <f>IF(E77="","",Rosters!G18)</f>
        <v/>
      </c>
      <c r="E77" t="str">
        <f>IF(Rosters!H18="","",Rosters!H18)</f>
        <v/>
      </c>
      <c r="F77" t="str">
        <f>IF(E77="","",Rosters!I18)</f>
        <v/>
      </c>
      <c r="G77" t="str">
        <f t="shared" si="3"/>
        <v/>
      </c>
    </row>
    <row r="78" spans="1:7" x14ac:dyDescent="0.3">
      <c r="A78" t="str">
        <f t="shared" si="2"/>
        <v/>
      </c>
      <c r="B78" t="str">
        <f>IF(E78="","",Teams!A4)</f>
        <v/>
      </c>
      <c r="C78" t="str">
        <f>IF(E78="","",Teams!C4)</f>
        <v/>
      </c>
      <c r="D78" t="str">
        <f>IF(E78="","",Rosters!G19)</f>
        <v/>
      </c>
      <c r="E78" t="str">
        <f>IF(Rosters!H19="","",Rosters!H19)</f>
        <v/>
      </c>
      <c r="F78" t="str">
        <f>IF(E78="","",Rosters!I19)</f>
        <v/>
      </c>
      <c r="G78" t="str">
        <f t="shared" si="3"/>
        <v/>
      </c>
    </row>
    <row r="79" spans="1:7" x14ac:dyDescent="0.3">
      <c r="A79" t="str">
        <f t="shared" si="2"/>
        <v/>
      </c>
      <c r="B79" t="str">
        <f>IF(E79="","",Teams!A4)</f>
        <v/>
      </c>
      <c r="C79" t="str">
        <f>IF(E79="","",Teams!C4)</f>
        <v/>
      </c>
      <c r="D79" t="str">
        <f>IF(E79="","",Rosters!G20)</f>
        <v/>
      </c>
      <c r="E79" t="str">
        <f>IF(Rosters!H20="","",Rosters!H20)</f>
        <v/>
      </c>
      <c r="F79" t="str">
        <f>IF(E79="","",Rosters!I20)</f>
        <v/>
      </c>
      <c r="G79" t="str">
        <f t="shared" si="3"/>
        <v/>
      </c>
    </row>
    <row r="80" spans="1:7" x14ac:dyDescent="0.3">
      <c r="A80" t="str">
        <f t="shared" si="2"/>
        <v/>
      </c>
      <c r="B80" t="str">
        <f>IF(E80="","",Teams!A4)</f>
        <v/>
      </c>
      <c r="C80" t="str">
        <f>IF(E80="","",Teams!C4)</f>
        <v/>
      </c>
      <c r="D80" t="str">
        <f>IF(E80="","",Rosters!G21)</f>
        <v/>
      </c>
      <c r="E80" t="str">
        <f>IF(Rosters!H21="","",Rosters!H21)</f>
        <v/>
      </c>
      <c r="F80" t="str">
        <f>IF(E80="","",Rosters!I21)</f>
        <v/>
      </c>
      <c r="G80" t="str">
        <f t="shared" si="3"/>
        <v/>
      </c>
    </row>
    <row r="81" spans="1:7" x14ac:dyDescent="0.3">
      <c r="A81" t="str">
        <f t="shared" si="2"/>
        <v/>
      </c>
      <c r="B81" t="str">
        <f>IF(E81="","",Teams!A4)</f>
        <v/>
      </c>
      <c r="C81" t="str">
        <f>IF(E81="","",Teams!C4)</f>
        <v/>
      </c>
      <c r="D81" t="str">
        <f>IF(E81="","",Rosters!G22)</f>
        <v/>
      </c>
      <c r="E81" t="str">
        <f>IF(Rosters!H22="","",Rosters!H22)</f>
        <v/>
      </c>
      <c r="F81" t="str">
        <f>IF(E81="","",Rosters!I22)</f>
        <v/>
      </c>
      <c r="G81" t="str">
        <f t="shared" si="3"/>
        <v/>
      </c>
    </row>
    <row r="82" spans="1:7" x14ac:dyDescent="0.3">
      <c r="A82" t="str">
        <f t="shared" si="2"/>
        <v/>
      </c>
      <c r="B82" t="str">
        <f>IF(E82="","",Teams!A4)</f>
        <v/>
      </c>
      <c r="C82" t="str">
        <f>IF(E82="","",Teams!C4)</f>
        <v/>
      </c>
      <c r="D82" t="str">
        <f>IF(E82="","",Rosters!G23)</f>
        <v/>
      </c>
      <c r="E82" t="str">
        <f>IF(Rosters!H23="","",Rosters!H23)</f>
        <v/>
      </c>
      <c r="F82" t="str">
        <f>IF(E82="","",Rosters!I23)</f>
        <v/>
      </c>
      <c r="G82" t="str">
        <f t="shared" si="3"/>
        <v/>
      </c>
    </row>
    <row r="83" spans="1:7" x14ac:dyDescent="0.3">
      <c r="A83" t="str">
        <f t="shared" si="2"/>
        <v/>
      </c>
      <c r="B83" t="str">
        <f>IF(E83="","",Teams!A4)</f>
        <v/>
      </c>
      <c r="C83" t="str">
        <f>IF(E83="","",Teams!C4)</f>
        <v/>
      </c>
      <c r="D83" t="str">
        <f>IF(E83="","",Rosters!G24)</f>
        <v/>
      </c>
      <c r="E83" t="str">
        <f>IF(Rosters!H24="","",Rosters!H24)</f>
        <v/>
      </c>
      <c r="F83" t="str">
        <f>IF(E83="","",Rosters!I24)</f>
        <v/>
      </c>
      <c r="G83" t="str">
        <f t="shared" si="3"/>
        <v/>
      </c>
    </row>
    <row r="84" spans="1:7" x14ac:dyDescent="0.3">
      <c r="A84" t="str">
        <f t="shared" si="2"/>
        <v/>
      </c>
      <c r="B84" t="str">
        <f>IF(E84="","",Teams!A4)</f>
        <v/>
      </c>
      <c r="C84" t="str">
        <f>IF(E84="","",Teams!C4)</f>
        <v/>
      </c>
      <c r="D84" t="str">
        <f>IF(E84="","",Rosters!G25)</f>
        <v/>
      </c>
      <c r="E84" t="str">
        <f>IF(Rosters!H25="","",Rosters!H25)</f>
        <v/>
      </c>
      <c r="F84" t="str">
        <f>IF(E84="","",Rosters!I25)</f>
        <v/>
      </c>
      <c r="G84" t="str">
        <f t="shared" si="3"/>
        <v/>
      </c>
    </row>
    <row r="85" spans="1:7" x14ac:dyDescent="0.3">
      <c r="A85" t="str">
        <f t="shared" si="2"/>
        <v/>
      </c>
      <c r="B85" t="str">
        <f>IF(E85="","",Teams!A4)</f>
        <v/>
      </c>
      <c r="C85" t="str">
        <f>IF(E85="","",Teams!C4)</f>
        <v/>
      </c>
      <c r="D85" t="str">
        <f>IF(E85="","",Rosters!G26)</f>
        <v/>
      </c>
      <c r="E85" t="str">
        <f>IF(Rosters!H26="","",Rosters!H26)</f>
        <v/>
      </c>
      <c r="F85" t="str">
        <f>IF(E85="","",Rosters!I26)</f>
        <v/>
      </c>
      <c r="G85" t="str">
        <f t="shared" si="3"/>
        <v/>
      </c>
    </row>
    <row r="86" spans="1:7" x14ac:dyDescent="0.3">
      <c r="A86" t="str">
        <f t="shared" si="2"/>
        <v/>
      </c>
      <c r="B86" t="str">
        <f>IF(E86="","",Teams!A4)</f>
        <v/>
      </c>
      <c r="C86" t="str">
        <f>IF(E86="","",Teams!C4)</f>
        <v/>
      </c>
      <c r="D86" t="str">
        <f>IF(E86="","",Rosters!G27)</f>
        <v/>
      </c>
      <c r="E86" t="str">
        <f>IF(Rosters!H27="","",Rosters!H27)</f>
        <v/>
      </c>
      <c r="F86" t="str">
        <f>IF(E86="","",Rosters!I27)</f>
        <v/>
      </c>
      <c r="G86" t="str">
        <f t="shared" si="3"/>
        <v/>
      </c>
    </row>
    <row r="87" spans="1:7" x14ac:dyDescent="0.3">
      <c r="A87" t="str">
        <f t="shared" si="2"/>
        <v/>
      </c>
      <c r="B87" t="str">
        <f>IF(E87="","",Teams!A4)</f>
        <v/>
      </c>
      <c r="C87" t="str">
        <f>IF(E87="","",Teams!C4)</f>
        <v/>
      </c>
      <c r="D87" t="str">
        <f>IF(E87="","",Rosters!G28)</f>
        <v/>
      </c>
      <c r="E87" t="str">
        <f>IF(Rosters!H28="","",Rosters!H28)</f>
        <v/>
      </c>
      <c r="F87" t="str">
        <f>IF(E87="","",Rosters!I28)</f>
        <v/>
      </c>
      <c r="G87" t="str">
        <f t="shared" si="3"/>
        <v/>
      </c>
    </row>
    <row r="88" spans="1:7" x14ac:dyDescent="0.3">
      <c r="A88" t="str">
        <f t="shared" si="2"/>
        <v/>
      </c>
      <c r="B88" t="str">
        <f>IF(E88="","",Teams!A4)</f>
        <v/>
      </c>
      <c r="C88" t="str">
        <f>IF(E88="","",Teams!C4)</f>
        <v/>
      </c>
      <c r="D88" t="str">
        <f>IF(E88="","",Rosters!G29)</f>
        <v/>
      </c>
      <c r="E88" t="str">
        <f>IF(Rosters!H29="","",Rosters!H29)</f>
        <v/>
      </c>
      <c r="F88" t="str">
        <f>IF(E88="","",Rosters!I29)</f>
        <v/>
      </c>
      <c r="G88" t="str">
        <f t="shared" si="3"/>
        <v/>
      </c>
    </row>
    <row r="89" spans="1:7" x14ac:dyDescent="0.3">
      <c r="A89" t="str">
        <f t="shared" si="2"/>
        <v/>
      </c>
      <c r="B89" t="str">
        <f>IF(E89="","",Teams!A4)</f>
        <v/>
      </c>
      <c r="C89" t="str">
        <f>IF(E89="","",Teams!C4)</f>
        <v/>
      </c>
      <c r="D89" t="str">
        <f>IF(E89="","",Rosters!G30)</f>
        <v/>
      </c>
      <c r="E89" t="str">
        <f>IF(Rosters!H30="","",Rosters!H30)</f>
        <v/>
      </c>
      <c r="F89" t="str">
        <f>IF(E89="","",Rosters!I30)</f>
        <v/>
      </c>
      <c r="G89" t="str">
        <f t="shared" si="3"/>
        <v/>
      </c>
    </row>
    <row r="90" spans="1:7" x14ac:dyDescent="0.3">
      <c r="A90" t="str">
        <f t="shared" si="2"/>
        <v/>
      </c>
      <c r="B90" t="str">
        <f>IF(E90="","",Teams!A4)</f>
        <v/>
      </c>
      <c r="C90" t="str">
        <f>IF(E90="","",Teams!C4)</f>
        <v/>
      </c>
      <c r="D90" t="str">
        <f>IF(E90="","",Rosters!G31)</f>
        <v/>
      </c>
      <c r="E90" t="str">
        <f>IF(Rosters!H31="","",Rosters!H31)</f>
        <v/>
      </c>
      <c r="F90" t="str">
        <f>IF(E90="","",Rosters!I31)</f>
        <v/>
      </c>
      <c r="G90" t="str">
        <f t="shared" si="3"/>
        <v/>
      </c>
    </row>
    <row r="91" spans="1:7" x14ac:dyDescent="0.3">
      <c r="A91" t="str">
        <f t="shared" si="2"/>
        <v/>
      </c>
      <c r="B91" t="str">
        <f>IF(E91="","",Teams!A4)</f>
        <v/>
      </c>
      <c r="C91" t="str">
        <f>IF(E91="","",Teams!C4)</f>
        <v/>
      </c>
      <c r="D91" t="str">
        <f>IF(E91="","",Rosters!G32)</f>
        <v/>
      </c>
      <c r="E91" t="str">
        <f>IF(Rosters!H32="","",Rosters!H32)</f>
        <v/>
      </c>
      <c r="F91" t="str">
        <f>IF(E91="","",Rosters!I32)</f>
        <v/>
      </c>
      <c r="G91" t="str">
        <f t="shared" si="3"/>
        <v/>
      </c>
    </row>
    <row r="92" spans="1:7" x14ac:dyDescent="0.3">
      <c r="A92" t="str">
        <f t="shared" si="2"/>
        <v>P091</v>
      </c>
      <c r="B92" t="str">
        <f>IF(E92="","",Teams!A5)</f>
        <v>T04</v>
      </c>
      <c r="C92" t="str">
        <f>IF(E92="","",Teams!C5)</f>
        <v>Astolfi Impianti Elettrici</v>
      </c>
      <c r="D92">
        <f>IF(E92="","",Rosters!J3)</f>
        <v>1</v>
      </c>
      <c r="E92" t="str">
        <f>IF(Rosters!K3="","",Rosters!K3)</f>
        <v>NICOLAS ANDRIOTTO</v>
      </c>
      <c r="F92" t="str">
        <f>IF(E92="","",Rosters!L3)</f>
        <v>No</v>
      </c>
      <c r="G92" t="str">
        <f t="shared" si="3"/>
        <v>1 - NICOLAS ANDRIOTTO</v>
      </c>
    </row>
    <row r="93" spans="1:7" x14ac:dyDescent="0.3">
      <c r="A93" t="str">
        <f t="shared" si="2"/>
        <v>P092</v>
      </c>
      <c r="B93" t="str">
        <f>IF(E93="","",Teams!A5)</f>
        <v>T04</v>
      </c>
      <c r="C93" t="str">
        <f>IF(E93="","",Teams!C5)</f>
        <v>Astolfi Impianti Elettrici</v>
      </c>
      <c r="D93">
        <f>IF(E93="","",Rosters!J4)</f>
        <v>4</v>
      </c>
      <c r="E93" t="str">
        <f>IF(Rosters!K4="","",Rosters!K4)</f>
        <v>GIANLUCA PAVAN</v>
      </c>
      <c r="F93" t="str">
        <f>IF(E93="","",Rosters!L4)</f>
        <v>No</v>
      </c>
      <c r="G93" t="str">
        <f t="shared" si="3"/>
        <v>4 - GIANLUCA PAVAN</v>
      </c>
    </row>
    <row r="94" spans="1:7" x14ac:dyDescent="0.3">
      <c r="A94" t="str">
        <f t="shared" si="2"/>
        <v>P093</v>
      </c>
      <c r="B94" t="str">
        <f>IF(E94="","",Teams!A5)</f>
        <v>T04</v>
      </c>
      <c r="C94" t="str">
        <f>IF(E94="","",Teams!C5)</f>
        <v>Astolfi Impianti Elettrici</v>
      </c>
      <c r="D94">
        <f>IF(E94="","",Rosters!J5)</f>
        <v>6</v>
      </c>
      <c r="E94" t="str">
        <f>IF(Rosters!K5="","",Rosters!K5)</f>
        <v>NICOLA CAVALLIERI</v>
      </c>
      <c r="F94" t="str">
        <f>IF(E94="","",Rosters!L5)</f>
        <v>No</v>
      </c>
      <c r="G94" t="str">
        <f t="shared" si="3"/>
        <v>6 - NICOLA CAVALLIERI</v>
      </c>
    </row>
    <row r="95" spans="1:7" x14ac:dyDescent="0.3">
      <c r="A95" t="str">
        <f t="shared" si="2"/>
        <v>P094</v>
      </c>
      <c r="B95" t="str">
        <f>IF(E95="","",Teams!A5)</f>
        <v>T04</v>
      </c>
      <c r="C95" t="str">
        <f>IF(E95="","",Teams!C5)</f>
        <v>Astolfi Impianti Elettrici</v>
      </c>
      <c r="D95">
        <f>IF(E95="","",Rosters!J6)</f>
        <v>7</v>
      </c>
      <c r="E95" t="str">
        <f>IF(Rosters!K6="","",Rosters!K6)</f>
        <v>ALBAN AHMATI</v>
      </c>
      <c r="F95" t="str">
        <f>IF(E95="","",Rosters!L6)</f>
        <v>No</v>
      </c>
      <c r="G95" t="str">
        <f t="shared" si="3"/>
        <v>7 - ALBAN AHMATI</v>
      </c>
    </row>
    <row r="96" spans="1:7" x14ac:dyDescent="0.3">
      <c r="A96" t="str">
        <f t="shared" si="2"/>
        <v>P095</v>
      </c>
      <c r="B96" t="str">
        <f>IF(E96="","",Teams!A5)</f>
        <v>T04</v>
      </c>
      <c r="C96" t="str">
        <f>IF(E96="","",Teams!C5)</f>
        <v>Astolfi Impianti Elettrici</v>
      </c>
      <c r="D96">
        <f>IF(E96="","",Rosters!J7)</f>
        <v>8</v>
      </c>
      <c r="E96" t="str">
        <f>IF(Rosters!K7="","",Rosters!K7)</f>
        <v>MARCO PREVIATO</v>
      </c>
      <c r="F96" t="str">
        <f>IF(E96="","",Rosters!L7)</f>
        <v>No</v>
      </c>
      <c r="G96" t="str">
        <f t="shared" si="3"/>
        <v>8 - MARCO PREVIATO</v>
      </c>
    </row>
    <row r="97" spans="1:7" x14ac:dyDescent="0.3">
      <c r="A97" t="str">
        <f t="shared" si="2"/>
        <v>P096</v>
      </c>
      <c r="B97" t="str">
        <f>IF(E97="","",Teams!A5)</f>
        <v>T04</v>
      </c>
      <c r="C97" t="str">
        <f>IF(E97="","",Teams!C5)</f>
        <v>Astolfi Impianti Elettrici</v>
      </c>
      <c r="D97">
        <f>IF(E97="","",Rosters!J8)</f>
        <v>9</v>
      </c>
      <c r="E97" t="str">
        <f>IF(Rosters!K8="","",Rosters!K8)</f>
        <v>LUCA SIMEONE</v>
      </c>
      <c r="F97" t="str">
        <f>IF(E97="","",Rosters!L8)</f>
        <v>No</v>
      </c>
      <c r="G97" t="str">
        <f t="shared" si="3"/>
        <v>9 - LUCA SIMEONE</v>
      </c>
    </row>
    <row r="98" spans="1:7" x14ac:dyDescent="0.3">
      <c r="A98" t="str">
        <f t="shared" si="2"/>
        <v>P097</v>
      </c>
      <c r="B98" t="str">
        <f>IF(E98="","",Teams!A5)</f>
        <v>T04</v>
      </c>
      <c r="C98" t="str">
        <f>IF(E98="","",Teams!C5)</f>
        <v>Astolfi Impianti Elettrici</v>
      </c>
      <c r="D98">
        <f>IF(E98="","",Rosters!J9)</f>
        <v>10</v>
      </c>
      <c r="E98" t="str">
        <f>IF(Rosters!K9="","",Rosters!K9)</f>
        <v>ELIA NAGLIERI</v>
      </c>
      <c r="F98" t="str">
        <f>IF(E98="","",Rosters!L9)</f>
        <v>No</v>
      </c>
      <c r="G98" t="str">
        <f t="shared" si="3"/>
        <v>10 - ELIA NAGLIERI</v>
      </c>
    </row>
    <row r="99" spans="1:7" x14ac:dyDescent="0.3">
      <c r="A99" t="str">
        <f t="shared" si="2"/>
        <v>P098</v>
      </c>
      <c r="B99" t="str">
        <f>IF(E99="","",Teams!A5)</f>
        <v>T04</v>
      </c>
      <c r="C99" t="str">
        <f>IF(E99="","",Teams!C5)</f>
        <v>Astolfi Impianti Elettrici</v>
      </c>
      <c r="D99">
        <f>IF(E99="","",Rosters!J10)</f>
        <v>11</v>
      </c>
      <c r="E99" t="str">
        <f>IF(Rosters!K10="","",Rosters!K10)</f>
        <v>FILIPPO ZANINI</v>
      </c>
      <c r="F99" t="str">
        <f>IF(E99="","",Rosters!L10)</f>
        <v>Yes</v>
      </c>
      <c r="G99" t="str">
        <f t="shared" si="3"/>
        <v>11 - FILIPPO ZANINI (C)</v>
      </c>
    </row>
    <row r="100" spans="1:7" x14ac:dyDescent="0.3">
      <c r="A100" t="str">
        <f t="shared" si="2"/>
        <v>P099</v>
      </c>
      <c r="B100" t="str">
        <f>IF(E100="","",Teams!A5)</f>
        <v>T04</v>
      </c>
      <c r="C100" t="str">
        <f>IF(E100="","",Teams!C5)</f>
        <v>Astolfi Impianti Elettrici</v>
      </c>
      <c r="D100">
        <f>IF(E100="","",Rosters!J11)</f>
        <v>14</v>
      </c>
      <c r="E100" t="str">
        <f>IF(Rosters!K11="","",Rosters!K11)</f>
        <v>ALBERTO MUNERATO</v>
      </c>
      <c r="F100" t="str">
        <f>IF(E100="","",Rosters!L11)</f>
        <v>No</v>
      </c>
      <c r="G100" t="str">
        <f t="shared" si="3"/>
        <v>14 - ALBERTO MUNERATO</v>
      </c>
    </row>
    <row r="101" spans="1:7" x14ac:dyDescent="0.3">
      <c r="A101" t="str">
        <f t="shared" si="2"/>
        <v/>
      </c>
      <c r="B101" t="str">
        <f>IF(E101="","",Teams!A5)</f>
        <v/>
      </c>
      <c r="C101" t="str">
        <f>IF(E101="","",Teams!C5)</f>
        <v/>
      </c>
      <c r="D101" t="str">
        <f>IF(E101="","",Rosters!J12)</f>
        <v/>
      </c>
      <c r="E101" t="str">
        <f>IF(Rosters!K12="","",Rosters!K12)</f>
        <v/>
      </c>
      <c r="F101" t="str">
        <f>IF(E101="","",Rosters!L12)</f>
        <v/>
      </c>
      <c r="G101" t="str">
        <f t="shared" si="3"/>
        <v/>
      </c>
    </row>
    <row r="102" spans="1:7" x14ac:dyDescent="0.3">
      <c r="A102" t="str">
        <f t="shared" si="2"/>
        <v/>
      </c>
      <c r="B102" t="str">
        <f>IF(E102="","",Teams!A5)</f>
        <v/>
      </c>
      <c r="C102" t="str">
        <f>IF(E102="","",Teams!C5)</f>
        <v/>
      </c>
      <c r="D102" t="str">
        <f>IF(E102="","",Rosters!J13)</f>
        <v/>
      </c>
      <c r="E102" t="str">
        <f>IF(Rosters!K13="","",Rosters!K13)</f>
        <v/>
      </c>
      <c r="F102" t="str">
        <f>IF(E102="","",Rosters!L13)</f>
        <v/>
      </c>
      <c r="G102" t="str">
        <f t="shared" si="3"/>
        <v/>
      </c>
    </row>
    <row r="103" spans="1:7" x14ac:dyDescent="0.3">
      <c r="A103" t="str">
        <f t="shared" si="2"/>
        <v/>
      </c>
      <c r="B103" t="str">
        <f>IF(E103="","",Teams!A5)</f>
        <v/>
      </c>
      <c r="C103" t="str">
        <f>IF(E103="","",Teams!C5)</f>
        <v/>
      </c>
      <c r="D103" t="str">
        <f>IF(E103="","",Rosters!J14)</f>
        <v/>
      </c>
      <c r="E103" t="str">
        <f>IF(Rosters!K14="","",Rosters!K14)</f>
        <v/>
      </c>
      <c r="F103" t="str">
        <f>IF(E103="","",Rosters!L14)</f>
        <v/>
      </c>
      <c r="G103" t="str">
        <f t="shared" si="3"/>
        <v/>
      </c>
    </row>
    <row r="104" spans="1:7" x14ac:dyDescent="0.3">
      <c r="A104" t="str">
        <f t="shared" si="2"/>
        <v/>
      </c>
      <c r="B104" t="str">
        <f>IF(E104="","",Teams!A5)</f>
        <v/>
      </c>
      <c r="C104" t="str">
        <f>IF(E104="","",Teams!C5)</f>
        <v/>
      </c>
      <c r="D104" t="str">
        <f>IF(E104="","",Rosters!J15)</f>
        <v/>
      </c>
      <c r="E104" t="str">
        <f>IF(Rosters!K15="","",Rosters!K15)</f>
        <v/>
      </c>
      <c r="F104" t="str">
        <f>IF(E104="","",Rosters!L15)</f>
        <v/>
      </c>
      <c r="G104" t="str">
        <f t="shared" si="3"/>
        <v/>
      </c>
    </row>
    <row r="105" spans="1:7" x14ac:dyDescent="0.3">
      <c r="A105" t="str">
        <f t="shared" si="2"/>
        <v/>
      </c>
      <c r="B105" t="str">
        <f>IF(E105="","",Teams!A5)</f>
        <v/>
      </c>
      <c r="C105" t="str">
        <f>IF(E105="","",Teams!C5)</f>
        <v/>
      </c>
      <c r="D105" t="str">
        <f>IF(E105="","",Rosters!J16)</f>
        <v/>
      </c>
      <c r="E105" t="str">
        <f>IF(Rosters!K16="","",Rosters!K16)</f>
        <v/>
      </c>
      <c r="F105" t="str">
        <f>IF(E105="","",Rosters!L16)</f>
        <v/>
      </c>
      <c r="G105" t="str">
        <f t="shared" si="3"/>
        <v/>
      </c>
    </row>
    <row r="106" spans="1:7" x14ac:dyDescent="0.3">
      <c r="A106" t="str">
        <f t="shared" si="2"/>
        <v/>
      </c>
      <c r="B106" t="str">
        <f>IF(E106="","",Teams!A5)</f>
        <v/>
      </c>
      <c r="C106" t="str">
        <f>IF(E106="","",Teams!C5)</f>
        <v/>
      </c>
      <c r="D106" t="str">
        <f>IF(E106="","",Rosters!J17)</f>
        <v/>
      </c>
      <c r="E106" t="str">
        <f>IF(Rosters!K17="","",Rosters!K17)</f>
        <v/>
      </c>
      <c r="F106" t="str">
        <f>IF(E106="","",Rosters!L17)</f>
        <v/>
      </c>
      <c r="G106" t="str">
        <f t="shared" si="3"/>
        <v/>
      </c>
    </row>
    <row r="107" spans="1:7" x14ac:dyDescent="0.3">
      <c r="A107" t="str">
        <f t="shared" si="2"/>
        <v/>
      </c>
      <c r="B107" t="str">
        <f>IF(E107="","",Teams!A5)</f>
        <v/>
      </c>
      <c r="C107" t="str">
        <f>IF(E107="","",Teams!C5)</f>
        <v/>
      </c>
      <c r="D107" t="str">
        <f>IF(E107="","",Rosters!J18)</f>
        <v/>
      </c>
      <c r="E107" t="str">
        <f>IF(Rosters!K18="","",Rosters!K18)</f>
        <v/>
      </c>
      <c r="F107" t="str">
        <f>IF(E107="","",Rosters!L18)</f>
        <v/>
      </c>
      <c r="G107" t="str">
        <f t="shared" si="3"/>
        <v/>
      </c>
    </row>
    <row r="108" spans="1:7" x14ac:dyDescent="0.3">
      <c r="A108" t="str">
        <f t="shared" si="2"/>
        <v/>
      </c>
      <c r="B108" t="str">
        <f>IF(E108="","",Teams!A5)</f>
        <v/>
      </c>
      <c r="C108" t="str">
        <f>IF(E108="","",Teams!C5)</f>
        <v/>
      </c>
      <c r="D108" t="str">
        <f>IF(E108="","",Rosters!J19)</f>
        <v/>
      </c>
      <c r="E108" t="str">
        <f>IF(Rosters!K19="","",Rosters!K19)</f>
        <v/>
      </c>
      <c r="F108" t="str">
        <f>IF(E108="","",Rosters!L19)</f>
        <v/>
      </c>
      <c r="G108" t="str">
        <f t="shared" si="3"/>
        <v/>
      </c>
    </row>
    <row r="109" spans="1:7" x14ac:dyDescent="0.3">
      <c r="A109" t="str">
        <f t="shared" si="2"/>
        <v/>
      </c>
      <c r="B109" t="str">
        <f>IF(E109="","",Teams!A5)</f>
        <v/>
      </c>
      <c r="C109" t="str">
        <f>IF(E109="","",Teams!C5)</f>
        <v/>
      </c>
      <c r="D109" t="str">
        <f>IF(E109="","",Rosters!J20)</f>
        <v/>
      </c>
      <c r="E109" t="str">
        <f>IF(Rosters!K20="","",Rosters!K20)</f>
        <v/>
      </c>
      <c r="F109" t="str">
        <f>IF(E109="","",Rosters!L20)</f>
        <v/>
      </c>
      <c r="G109" t="str">
        <f t="shared" si="3"/>
        <v/>
      </c>
    </row>
    <row r="110" spans="1:7" x14ac:dyDescent="0.3">
      <c r="A110" t="str">
        <f t="shared" si="2"/>
        <v/>
      </c>
      <c r="B110" t="str">
        <f>IF(E110="","",Teams!A5)</f>
        <v/>
      </c>
      <c r="C110" t="str">
        <f>IF(E110="","",Teams!C5)</f>
        <v/>
      </c>
      <c r="D110" t="str">
        <f>IF(E110="","",Rosters!J21)</f>
        <v/>
      </c>
      <c r="E110" t="str">
        <f>IF(Rosters!K21="","",Rosters!K21)</f>
        <v/>
      </c>
      <c r="F110" t="str">
        <f>IF(E110="","",Rosters!L21)</f>
        <v/>
      </c>
      <c r="G110" t="str">
        <f t="shared" si="3"/>
        <v/>
      </c>
    </row>
    <row r="111" spans="1:7" x14ac:dyDescent="0.3">
      <c r="A111" t="str">
        <f t="shared" si="2"/>
        <v/>
      </c>
      <c r="B111" t="str">
        <f>IF(E111="","",Teams!A5)</f>
        <v/>
      </c>
      <c r="C111" t="str">
        <f>IF(E111="","",Teams!C5)</f>
        <v/>
      </c>
      <c r="D111" t="str">
        <f>IF(E111="","",Rosters!J22)</f>
        <v/>
      </c>
      <c r="E111" t="str">
        <f>IF(Rosters!K22="","",Rosters!K22)</f>
        <v/>
      </c>
      <c r="F111" t="str">
        <f>IF(E111="","",Rosters!L22)</f>
        <v/>
      </c>
      <c r="G111" t="str">
        <f t="shared" si="3"/>
        <v/>
      </c>
    </row>
    <row r="112" spans="1:7" x14ac:dyDescent="0.3">
      <c r="A112" t="str">
        <f t="shared" si="2"/>
        <v/>
      </c>
      <c r="B112" t="str">
        <f>IF(E112="","",Teams!A5)</f>
        <v/>
      </c>
      <c r="C112" t="str">
        <f>IF(E112="","",Teams!C5)</f>
        <v/>
      </c>
      <c r="D112" t="str">
        <f>IF(E112="","",Rosters!J23)</f>
        <v/>
      </c>
      <c r="E112" t="str">
        <f>IF(Rosters!K23="","",Rosters!K23)</f>
        <v/>
      </c>
      <c r="F112" t="str">
        <f>IF(E112="","",Rosters!L23)</f>
        <v/>
      </c>
      <c r="G112" t="str">
        <f t="shared" si="3"/>
        <v/>
      </c>
    </row>
    <row r="113" spans="1:7" x14ac:dyDescent="0.3">
      <c r="A113" t="str">
        <f t="shared" si="2"/>
        <v/>
      </c>
      <c r="B113" t="str">
        <f>IF(E113="","",Teams!A5)</f>
        <v/>
      </c>
      <c r="C113" t="str">
        <f>IF(E113="","",Teams!C5)</f>
        <v/>
      </c>
      <c r="D113" t="str">
        <f>IF(E113="","",Rosters!J24)</f>
        <v/>
      </c>
      <c r="E113" t="str">
        <f>IF(Rosters!K24="","",Rosters!K24)</f>
        <v/>
      </c>
      <c r="F113" t="str">
        <f>IF(E113="","",Rosters!L24)</f>
        <v/>
      </c>
      <c r="G113" t="str">
        <f t="shared" si="3"/>
        <v/>
      </c>
    </row>
    <row r="114" spans="1:7" x14ac:dyDescent="0.3">
      <c r="A114" t="str">
        <f t="shared" si="2"/>
        <v/>
      </c>
      <c r="B114" t="str">
        <f>IF(E114="","",Teams!A5)</f>
        <v/>
      </c>
      <c r="C114" t="str">
        <f>IF(E114="","",Teams!C5)</f>
        <v/>
      </c>
      <c r="D114" t="str">
        <f>IF(E114="","",Rosters!J25)</f>
        <v/>
      </c>
      <c r="E114" t="str">
        <f>IF(Rosters!K25="","",Rosters!K25)</f>
        <v/>
      </c>
      <c r="F114" t="str">
        <f>IF(E114="","",Rosters!L25)</f>
        <v/>
      </c>
      <c r="G114" t="str">
        <f t="shared" si="3"/>
        <v/>
      </c>
    </row>
    <row r="115" spans="1:7" x14ac:dyDescent="0.3">
      <c r="A115" t="str">
        <f t="shared" si="2"/>
        <v/>
      </c>
      <c r="B115" t="str">
        <f>IF(E115="","",Teams!A5)</f>
        <v/>
      </c>
      <c r="C115" t="str">
        <f>IF(E115="","",Teams!C5)</f>
        <v/>
      </c>
      <c r="D115" t="str">
        <f>IF(E115="","",Rosters!J26)</f>
        <v/>
      </c>
      <c r="E115" t="str">
        <f>IF(Rosters!K26="","",Rosters!K26)</f>
        <v/>
      </c>
      <c r="F115" t="str">
        <f>IF(E115="","",Rosters!L26)</f>
        <v/>
      </c>
      <c r="G115" t="str">
        <f t="shared" si="3"/>
        <v/>
      </c>
    </row>
    <row r="116" spans="1:7" x14ac:dyDescent="0.3">
      <c r="A116" t="str">
        <f t="shared" si="2"/>
        <v/>
      </c>
      <c r="B116" t="str">
        <f>IF(E116="","",Teams!A5)</f>
        <v/>
      </c>
      <c r="C116" t="str">
        <f>IF(E116="","",Teams!C5)</f>
        <v/>
      </c>
      <c r="D116" t="str">
        <f>IF(E116="","",Rosters!J27)</f>
        <v/>
      </c>
      <c r="E116" t="str">
        <f>IF(Rosters!K27="","",Rosters!K27)</f>
        <v/>
      </c>
      <c r="F116" t="str">
        <f>IF(E116="","",Rosters!L27)</f>
        <v/>
      </c>
      <c r="G116" t="str">
        <f t="shared" si="3"/>
        <v/>
      </c>
    </row>
    <row r="117" spans="1:7" x14ac:dyDescent="0.3">
      <c r="A117" t="str">
        <f t="shared" si="2"/>
        <v/>
      </c>
      <c r="B117" t="str">
        <f>IF(E117="","",Teams!A5)</f>
        <v/>
      </c>
      <c r="C117" t="str">
        <f>IF(E117="","",Teams!C5)</f>
        <v/>
      </c>
      <c r="D117" t="str">
        <f>IF(E117="","",Rosters!J28)</f>
        <v/>
      </c>
      <c r="E117" t="str">
        <f>IF(Rosters!K28="","",Rosters!K28)</f>
        <v/>
      </c>
      <c r="F117" t="str">
        <f>IF(E117="","",Rosters!L28)</f>
        <v/>
      </c>
      <c r="G117" t="str">
        <f t="shared" si="3"/>
        <v/>
      </c>
    </row>
    <row r="118" spans="1:7" x14ac:dyDescent="0.3">
      <c r="A118" t="str">
        <f t="shared" si="2"/>
        <v/>
      </c>
      <c r="B118" t="str">
        <f>IF(E118="","",Teams!A5)</f>
        <v/>
      </c>
      <c r="C118" t="str">
        <f>IF(E118="","",Teams!C5)</f>
        <v/>
      </c>
      <c r="D118" t="str">
        <f>IF(E118="","",Rosters!J29)</f>
        <v/>
      </c>
      <c r="E118" t="str">
        <f>IF(Rosters!K29="","",Rosters!K29)</f>
        <v/>
      </c>
      <c r="F118" t="str">
        <f>IF(E118="","",Rosters!L29)</f>
        <v/>
      </c>
      <c r="G118" t="str">
        <f t="shared" si="3"/>
        <v/>
      </c>
    </row>
    <row r="119" spans="1:7" x14ac:dyDescent="0.3">
      <c r="A119" t="str">
        <f t="shared" si="2"/>
        <v/>
      </c>
      <c r="B119" t="str">
        <f>IF(E119="","",Teams!A5)</f>
        <v/>
      </c>
      <c r="C119" t="str">
        <f>IF(E119="","",Teams!C5)</f>
        <v/>
      </c>
      <c r="D119" t="str">
        <f>IF(E119="","",Rosters!J30)</f>
        <v/>
      </c>
      <c r="E119" t="str">
        <f>IF(Rosters!K30="","",Rosters!K30)</f>
        <v/>
      </c>
      <c r="F119" t="str">
        <f>IF(E119="","",Rosters!L30)</f>
        <v/>
      </c>
      <c r="G119" t="str">
        <f t="shared" si="3"/>
        <v/>
      </c>
    </row>
    <row r="120" spans="1:7" x14ac:dyDescent="0.3">
      <c r="A120" t="str">
        <f t="shared" si="2"/>
        <v/>
      </c>
      <c r="B120" t="str">
        <f>IF(E120="","",Teams!A5)</f>
        <v/>
      </c>
      <c r="C120" t="str">
        <f>IF(E120="","",Teams!C5)</f>
        <v/>
      </c>
      <c r="D120" t="str">
        <f>IF(E120="","",Rosters!J31)</f>
        <v/>
      </c>
      <c r="E120" t="str">
        <f>IF(Rosters!K31="","",Rosters!K31)</f>
        <v/>
      </c>
      <c r="F120" t="str">
        <f>IF(E120="","",Rosters!L31)</f>
        <v/>
      </c>
      <c r="G120" t="str">
        <f t="shared" si="3"/>
        <v/>
      </c>
    </row>
    <row r="121" spans="1:7" x14ac:dyDescent="0.3">
      <c r="A121" t="str">
        <f t="shared" si="2"/>
        <v/>
      </c>
      <c r="B121" t="str">
        <f>IF(E121="","",Teams!A5)</f>
        <v/>
      </c>
      <c r="C121" t="str">
        <f>IF(E121="","",Teams!C5)</f>
        <v/>
      </c>
      <c r="D121" t="str">
        <f>IF(E121="","",Rosters!J32)</f>
        <v/>
      </c>
      <c r="E121" t="str">
        <f>IF(Rosters!K32="","",Rosters!K32)</f>
        <v/>
      </c>
      <c r="F121" t="str">
        <f>IF(E121="","",Rosters!L32)</f>
        <v/>
      </c>
      <c r="G121" t="str">
        <f t="shared" si="3"/>
        <v/>
      </c>
    </row>
    <row r="122" spans="1:7" x14ac:dyDescent="0.3">
      <c r="A122" t="str">
        <f t="shared" si="2"/>
        <v>P121</v>
      </c>
      <c r="B122" t="str">
        <f>IF(E122="","",Teams!A6)</f>
        <v>T05</v>
      </c>
      <c r="C122" t="str">
        <f>IF(E122="","",Teams!C6)</f>
        <v>Totani</v>
      </c>
      <c r="D122">
        <f>IF(E122="","",Rosters!M3)</f>
        <v>5</v>
      </c>
      <c r="E122" t="str">
        <f>IF(Rosters!N3="","",Rosters!N3)</f>
        <v>DANIEL TARGA</v>
      </c>
      <c r="F122" t="str">
        <f>IF(E122="","",Rosters!O3)</f>
        <v>No</v>
      </c>
      <c r="G122" t="str">
        <f t="shared" si="3"/>
        <v>5 - DANIEL TARGA</v>
      </c>
    </row>
    <row r="123" spans="1:7" x14ac:dyDescent="0.3">
      <c r="A123" t="str">
        <f t="shared" si="2"/>
        <v>P122</v>
      </c>
      <c r="B123" t="str">
        <f>IF(E123="","",Teams!A6)</f>
        <v>T05</v>
      </c>
      <c r="C123" t="str">
        <f>IF(E123="","",Teams!C6)</f>
        <v>Totani</v>
      </c>
      <c r="D123">
        <f>IF(E123="","",Rosters!M4)</f>
        <v>6</v>
      </c>
      <c r="E123" t="str">
        <f>IF(Rosters!N4="","",Rosters!N4)</f>
        <v>RICCARDO DAVÌ</v>
      </c>
      <c r="F123" t="str">
        <f>IF(E123="","",Rosters!O4)</f>
        <v>No</v>
      </c>
      <c r="G123" t="str">
        <f t="shared" si="3"/>
        <v>6 - RICCARDO DAVÌ</v>
      </c>
    </row>
    <row r="124" spans="1:7" x14ac:dyDescent="0.3">
      <c r="A124" t="str">
        <f t="shared" si="2"/>
        <v>P123</v>
      </c>
      <c r="B124" t="str">
        <f>IF(E124="","",Teams!A6)</f>
        <v>T05</v>
      </c>
      <c r="C124" t="str">
        <f>IF(E124="","",Teams!C6)</f>
        <v>Totani</v>
      </c>
      <c r="D124">
        <f>IF(E124="","",Rosters!M5)</f>
        <v>7</v>
      </c>
      <c r="E124" t="str">
        <f>IF(Rosters!N5="","",Rosters!N5)</f>
        <v>RICCARDO SANTARATO</v>
      </c>
      <c r="F124" t="str">
        <f>IF(E124="","",Rosters!O5)</f>
        <v>No</v>
      </c>
      <c r="G124" t="str">
        <f t="shared" si="3"/>
        <v>7 - RICCARDO SANTARATO</v>
      </c>
    </row>
    <row r="125" spans="1:7" x14ac:dyDescent="0.3">
      <c r="A125" t="str">
        <f t="shared" si="2"/>
        <v>P124</v>
      </c>
      <c r="B125" t="str">
        <f>IF(E125="","",Teams!A6)</f>
        <v>T05</v>
      </c>
      <c r="C125" t="str">
        <f>IF(E125="","",Teams!C6)</f>
        <v>Totani</v>
      </c>
      <c r="D125">
        <f>IF(E125="","",Rosters!M6)</f>
        <v>9</v>
      </c>
      <c r="E125" t="str">
        <f>IF(Rosters!N6="","",Rosters!N6)</f>
        <v>RICCARDO STIEVANO</v>
      </c>
      <c r="F125" t="str">
        <f>IF(E125="","",Rosters!O6)</f>
        <v>No</v>
      </c>
      <c r="G125" t="str">
        <f t="shared" si="3"/>
        <v>9 - RICCARDO STIEVANO</v>
      </c>
    </row>
    <row r="126" spans="1:7" x14ac:dyDescent="0.3">
      <c r="A126" t="str">
        <f t="shared" si="2"/>
        <v>P125</v>
      </c>
      <c r="B126" t="str">
        <f>IF(E126="","",Teams!A6)</f>
        <v>T05</v>
      </c>
      <c r="C126" t="str">
        <f>IF(E126="","",Teams!C6)</f>
        <v>Totani</v>
      </c>
      <c r="D126">
        <f>IF(E126="","",Rosters!M7)</f>
        <v>10</v>
      </c>
      <c r="E126" t="str">
        <f>IF(Rosters!N7="","",Rosters!N7)</f>
        <v>LUCA CHERUBIN</v>
      </c>
      <c r="F126" t="str">
        <f>IF(E126="","",Rosters!O7)</f>
        <v>Yes</v>
      </c>
      <c r="G126" t="str">
        <f t="shared" si="3"/>
        <v>10 - LUCA CHERUBIN (C)</v>
      </c>
    </row>
    <row r="127" spans="1:7" x14ac:dyDescent="0.3">
      <c r="A127" t="str">
        <f t="shared" si="2"/>
        <v>P126</v>
      </c>
      <c r="B127" t="str">
        <f>IF(E127="","",Teams!A6)</f>
        <v>T05</v>
      </c>
      <c r="C127" t="str">
        <f>IF(E127="","",Teams!C6)</f>
        <v>Totani</v>
      </c>
      <c r="D127">
        <f>IF(E127="","",Rosters!M8)</f>
        <v>12</v>
      </c>
      <c r="E127" t="str">
        <f>IF(Rosters!N8="","",Rosters!N8)</f>
        <v>FILIPPO CREPALDI</v>
      </c>
      <c r="F127" t="str">
        <f>IF(E127="","",Rosters!O8)</f>
        <v>No</v>
      </c>
      <c r="G127" t="str">
        <f t="shared" si="3"/>
        <v>12 - FILIPPO CREPALDI</v>
      </c>
    </row>
    <row r="128" spans="1:7" x14ac:dyDescent="0.3">
      <c r="A128" t="str">
        <f t="shared" si="2"/>
        <v>P127</v>
      </c>
      <c r="B128" t="str">
        <f>IF(E128="","",Teams!A6)</f>
        <v>T05</v>
      </c>
      <c r="C128" t="str">
        <f>IF(E128="","",Teams!C6)</f>
        <v>Totani</v>
      </c>
      <c r="D128">
        <f>IF(E128="","",Rosters!M9)</f>
        <v>15</v>
      </c>
      <c r="E128" t="str">
        <f>IF(Rosters!N9="","",Rosters!N9)</f>
        <v>LUCA PAPARELLA</v>
      </c>
      <c r="F128" t="str">
        <f>IF(E128="","",Rosters!O9)</f>
        <v>No</v>
      </c>
      <c r="G128" t="str">
        <f t="shared" si="3"/>
        <v>15 - LUCA PAPARELLA</v>
      </c>
    </row>
    <row r="129" spans="1:7" x14ac:dyDescent="0.3">
      <c r="A129" t="str">
        <f t="shared" si="2"/>
        <v>P128</v>
      </c>
      <c r="B129" t="str">
        <f>IF(E129="","",Teams!A6)</f>
        <v>T05</v>
      </c>
      <c r="C129" t="str">
        <f>IF(E129="","",Teams!C6)</f>
        <v>Totani</v>
      </c>
      <c r="D129">
        <f>IF(E129="","",Rosters!M10)</f>
        <v>18</v>
      </c>
      <c r="E129" t="str">
        <f>IF(Rosters!N10="","",Rosters!N10)</f>
        <v>LUCA POLATO</v>
      </c>
      <c r="F129" t="str">
        <f>IF(E129="","",Rosters!O10)</f>
        <v>No</v>
      </c>
      <c r="G129" t="str">
        <f t="shared" si="3"/>
        <v>18 - LUCA POLATO</v>
      </c>
    </row>
    <row r="130" spans="1:7" x14ac:dyDescent="0.3">
      <c r="A130" t="str">
        <f t="shared" ref="A130:A193" si="4">IF(E130="","","P"&amp;TEXT(ROW()-1,"000"))</f>
        <v>P129</v>
      </c>
      <c r="B130" t="str">
        <f>IF(E130="","",Teams!A6)</f>
        <v>T05</v>
      </c>
      <c r="C130" t="str">
        <f>IF(E130="","",Teams!C6)</f>
        <v>Totani</v>
      </c>
      <c r="D130">
        <f>IF(E130="","",Rosters!M11)</f>
        <v>71</v>
      </c>
      <c r="E130" t="str">
        <f>IF(Rosters!N11="","",Rosters!N11)</f>
        <v>DANIELE SECCO</v>
      </c>
      <c r="F130" t="str">
        <f>IF(E130="","",Rosters!O11)</f>
        <v>No</v>
      </c>
      <c r="G130" t="str">
        <f t="shared" ref="G130:G193" si="5">IF(E130="","",IF(D130="","",D130&amp;" - ")&amp;E130&amp;IF(F130="Yes"," (C)",""))</f>
        <v>71 - DANIELE SECCO</v>
      </c>
    </row>
    <row r="131" spans="1:7" x14ac:dyDescent="0.3">
      <c r="A131" t="str">
        <f t="shared" si="4"/>
        <v/>
      </c>
      <c r="B131" t="str">
        <f>IF(E131="","",Teams!A6)</f>
        <v/>
      </c>
      <c r="C131" t="str">
        <f>IF(E131="","",Teams!C6)</f>
        <v/>
      </c>
      <c r="D131" t="str">
        <f>IF(E131="","",Rosters!M12)</f>
        <v/>
      </c>
      <c r="E131" t="str">
        <f>IF(Rosters!N12="","",Rosters!N12)</f>
        <v/>
      </c>
      <c r="F131" t="str">
        <f>IF(E131="","",Rosters!O12)</f>
        <v/>
      </c>
      <c r="G131" t="str">
        <f t="shared" si="5"/>
        <v/>
      </c>
    </row>
    <row r="132" spans="1:7" x14ac:dyDescent="0.3">
      <c r="A132" t="str">
        <f t="shared" si="4"/>
        <v/>
      </c>
      <c r="B132" t="str">
        <f>IF(E132="","",Teams!A6)</f>
        <v/>
      </c>
      <c r="C132" t="str">
        <f>IF(E132="","",Teams!C6)</f>
        <v/>
      </c>
      <c r="D132" t="str">
        <f>IF(E132="","",Rosters!M13)</f>
        <v/>
      </c>
      <c r="E132" t="str">
        <f>IF(Rosters!N13="","",Rosters!N13)</f>
        <v/>
      </c>
      <c r="F132" t="str">
        <f>IF(E132="","",Rosters!O13)</f>
        <v/>
      </c>
      <c r="G132" t="str">
        <f t="shared" si="5"/>
        <v/>
      </c>
    </row>
    <row r="133" spans="1:7" x14ac:dyDescent="0.3">
      <c r="A133" t="str">
        <f t="shared" si="4"/>
        <v/>
      </c>
      <c r="B133" t="str">
        <f>IF(E133="","",Teams!A6)</f>
        <v/>
      </c>
      <c r="C133" t="str">
        <f>IF(E133="","",Teams!C6)</f>
        <v/>
      </c>
      <c r="D133" t="str">
        <f>IF(E133="","",Rosters!M14)</f>
        <v/>
      </c>
      <c r="E133" t="str">
        <f>IF(Rosters!N14="","",Rosters!N14)</f>
        <v/>
      </c>
      <c r="F133" t="str">
        <f>IF(E133="","",Rosters!O14)</f>
        <v/>
      </c>
      <c r="G133" t="str">
        <f t="shared" si="5"/>
        <v/>
      </c>
    </row>
    <row r="134" spans="1:7" x14ac:dyDescent="0.3">
      <c r="A134" t="str">
        <f t="shared" si="4"/>
        <v/>
      </c>
      <c r="B134" t="str">
        <f>IF(E134="","",Teams!A6)</f>
        <v/>
      </c>
      <c r="C134" t="str">
        <f>IF(E134="","",Teams!C6)</f>
        <v/>
      </c>
      <c r="D134" t="str">
        <f>IF(E134="","",Rosters!M15)</f>
        <v/>
      </c>
      <c r="E134" t="str">
        <f>IF(Rosters!N15="","",Rosters!N15)</f>
        <v/>
      </c>
      <c r="F134" t="str">
        <f>IF(E134="","",Rosters!O15)</f>
        <v/>
      </c>
      <c r="G134" t="str">
        <f t="shared" si="5"/>
        <v/>
      </c>
    </row>
    <row r="135" spans="1:7" x14ac:dyDescent="0.3">
      <c r="A135" t="str">
        <f t="shared" si="4"/>
        <v/>
      </c>
      <c r="B135" t="str">
        <f>IF(E135="","",Teams!A6)</f>
        <v/>
      </c>
      <c r="C135" t="str">
        <f>IF(E135="","",Teams!C6)</f>
        <v/>
      </c>
      <c r="D135" t="str">
        <f>IF(E135="","",Rosters!M16)</f>
        <v/>
      </c>
      <c r="E135" t="str">
        <f>IF(Rosters!N16="","",Rosters!N16)</f>
        <v/>
      </c>
      <c r="F135" t="str">
        <f>IF(E135="","",Rosters!O16)</f>
        <v/>
      </c>
      <c r="G135" t="str">
        <f t="shared" si="5"/>
        <v/>
      </c>
    </row>
    <row r="136" spans="1:7" x14ac:dyDescent="0.3">
      <c r="A136" t="str">
        <f t="shared" si="4"/>
        <v/>
      </c>
      <c r="B136" t="str">
        <f>IF(E136="","",Teams!A6)</f>
        <v/>
      </c>
      <c r="C136" t="str">
        <f>IF(E136="","",Teams!C6)</f>
        <v/>
      </c>
      <c r="D136" t="str">
        <f>IF(E136="","",Rosters!M17)</f>
        <v/>
      </c>
      <c r="E136" t="str">
        <f>IF(Rosters!N17="","",Rosters!N17)</f>
        <v/>
      </c>
      <c r="F136" t="str">
        <f>IF(E136="","",Rosters!O17)</f>
        <v/>
      </c>
      <c r="G136" t="str">
        <f t="shared" si="5"/>
        <v/>
      </c>
    </row>
    <row r="137" spans="1:7" x14ac:dyDescent="0.3">
      <c r="A137" t="str">
        <f t="shared" si="4"/>
        <v/>
      </c>
      <c r="B137" t="str">
        <f>IF(E137="","",Teams!A6)</f>
        <v/>
      </c>
      <c r="C137" t="str">
        <f>IF(E137="","",Teams!C6)</f>
        <v/>
      </c>
      <c r="D137" t="str">
        <f>IF(E137="","",Rosters!M18)</f>
        <v/>
      </c>
      <c r="E137" t="str">
        <f>IF(Rosters!N18="","",Rosters!N18)</f>
        <v/>
      </c>
      <c r="F137" t="str">
        <f>IF(E137="","",Rosters!O18)</f>
        <v/>
      </c>
      <c r="G137" t="str">
        <f t="shared" si="5"/>
        <v/>
      </c>
    </row>
    <row r="138" spans="1:7" x14ac:dyDescent="0.3">
      <c r="A138" t="str">
        <f t="shared" si="4"/>
        <v/>
      </c>
      <c r="B138" t="str">
        <f>IF(E138="","",Teams!A6)</f>
        <v/>
      </c>
      <c r="C138" t="str">
        <f>IF(E138="","",Teams!C6)</f>
        <v/>
      </c>
      <c r="D138" t="str">
        <f>IF(E138="","",Rosters!M19)</f>
        <v/>
      </c>
      <c r="E138" t="str">
        <f>IF(Rosters!N19="","",Rosters!N19)</f>
        <v/>
      </c>
      <c r="F138" t="str">
        <f>IF(E138="","",Rosters!O19)</f>
        <v/>
      </c>
      <c r="G138" t="str">
        <f t="shared" si="5"/>
        <v/>
      </c>
    </row>
    <row r="139" spans="1:7" x14ac:dyDescent="0.3">
      <c r="A139" t="str">
        <f t="shared" si="4"/>
        <v/>
      </c>
      <c r="B139" t="str">
        <f>IF(E139="","",Teams!A6)</f>
        <v/>
      </c>
      <c r="C139" t="str">
        <f>IF(E139="","",Teams!C6)</f>
        <v/>
      </c>
      <c r="D139" t="str">
        <f>IF(E139="","",Rosters!M20)</f>
        <v/>
      </c>
      <c r="E139" t="str">
        <f>IF(Rosters!N20="","",Rosters!N20)</f>
        <v/>
      </c>
      <c r="F139" t="str">
        <f>IF(E139="","",Rosters!O20)</f>
        <v/>
      </c>
      <c r="G139" t="str">
        <f t="shared" si="5"/>
        <v/>
      </c>
    </row>
    <row r="140" spans="1:7" x14ac:dyDescent="0.3">
      <c r="A140" t="str">
        <f t="shared" si="4"/>
        <v/>
      </c>
      <c r="B140" t="str">
        <f>IF(E140="","",Teams!A6)</f>
        <v/>
      </c>
      <c r="C140" t="str">
        <f>IF(E140="","",Teams!C6)</f>
        <v/>
      </c>
      <c r="D140" t="str">
        <f>IF(E140="","",Rosters!M21)</f>
        <v/>
      </c>
      <c r="E140" t="str">
        <f>IF(Rosters!N21="","",Rosters!N21)</f>
        <v/>
      </c>
      <c r="F140" t="str">
        <f>IF(E140="","",Rosters!O21)</f>
        <v/>
      </c>
      <c r="G140" t="str">
        <f t="shared" si="5"/>
        <v/>
      </c>
    </row>
    <row r="141" spans="1:7" x14ac:dyDescent="0.3">
      <c r="A141" t="str">
        <f t="shared" si="4"/>
        <v/>
      </c>
      <c r="B141" t="str">
        <f>IF(E141="","",Teams!A6)</f>
        <v/>
      </c>
      <c r="C141" t="str">
        <f>IF(E141="","",Teams!C6)</f>
        <v/>
      </c>
      <c r="D141" t="str">
        <f>IF(E141="","",Rosters!M22)</f>
        <v/>
      </c>
      <c r="E141" t="str">
        <f>IF(Rosters!N22="","",Rosters!N22)</f>
        <v/>
      </c>
      <c r="F141" t="str">
        <f>IF(E141="","",Rosters!O22)</f>
        <v/>
      </c>
      <c r="G141" t="str">
        <f t="shared" si="5"/>
        <v/>
      </c>
    </row>
    <row r="142" spans="1:7" x14ac:dyDescent="0.3">
      <c r="A142" t="str">
        <f t="shared" si="4"/>
        <v/>
      </c>
      <c r="B142" t="str">
        <f>IF(E142="","",Teams!A6)</f>
        <v/>
      </c>
      <c r="C142" t="str">
        <f>IF(E142="","",Teams!C6)</f>
        <v/>
      </c>
      <c r="D142" t="str">
        <f>IF(E142="","",Rosters!M23)</f>
        <v/>
      </c>
      <c r="E142" t="str">
        <f>IF(Rosters!N23="","",Rosters!N23)</f>
        <v/>
      </c>
      <c r="F142" t="str">
        <f>IF(E142="","",Rosters!O23)</f>
        <v/>
      </c>
      <c r="G142" t="str">
        <f t="shared" si="5"/>
        <v/>
      </c>
    </row>
    <row r="143" spans="1:7" x14ac:dyDescent="0.3">
      <c r="A143" t="str">
        <f t="shared" si="4"/>
        <v/>
      </c>
      <c r="B143" t="str">
        <f>IF(E143="","",Teams!A6)</f>
        <v/>
      </c>
      <c r="C143" t="str">
        <f>IF(E143="","",Teams!C6)</f>
        <v/>
      </c>
      <c r="D143" t="str">
        <f>IF(E143="","",Rosters!M24)</f>
        <v/>
      </c>
      <c r="E143" t="str">
        <f>IF(Rosters!N24="","",Rosters!N24)</f>
        <v/>
      </c>
      <c r="F143" t="str">
        <f>IF(E143="","",Rosters!O24)</f>
        <v/>
      </c>
      <c r="G143" t="str">
        <f t="shared" si="5"/>
        <v/>
      </c>
    </row>
    <row r="144" spans="1:7" x14ac:dyDescent="0.3">
      <c r="A144" t="str">
        <f t="shared" si="4"/>
        <v/>
      </c>
      <c r="B144" t="str">
        <f>IF(E144="","",Teams!A6)</f>
        <v/>
      </c>
      <c r="C144" t="str">
        <f>IF(E144="","",Teams!C6)</f>
        <v/>
      </c>
      <c r="D144" t="str">
        <f>IF(E144="","",Rosters!M25)</f>
        <v/>
      </c>
      <c r="E144" t="str">
        <f>IF(Rosters!N25="","",Rosters!N25)</f>
        <v/>
      </c>
      <c r="F144" t="str">
        <f>IF(E144="","",Rosters!O25)</f>
        <v/>
      </c>
      <c r="G144" t="str">
        <f t="shared" si="5"/>
        <v/>
      </c>
    </row>
    <row r="145" spans="1:7" x14ac:dyDescent="0.3">
      <c r="A145" t="str">
        <f t="shared" si="4"/>
        <v/>
      </c>
      <c r="B145" t="str">
        <f>IF(E145="","",Teams!A6)</f>
        <v/>
      </c>
      <c r="C145" t="str">
        <f>IF(E145="","",Teams!C6)</f>
        <v/>
      </c>
      <c r="D145" t="str">
        <f>IF(E145="","",Rosters!M26)</f>
        <v/>
      </c>
      <c r="E145" t="str">
        <f>IF(Rosters!N26="","",Rosters!N26)</f>
        <v/>
      </c>
      <c r="F145" t="str">
        <f>IF(E145="","",Rosters!O26)</f>
        <v/>
      </c>
      <c r="G145" t="str">
        <f t="shared" si="5"/>
        <v/>
      </c>
    </row>
    <row r="146" spans="1:7" x14ac:dyDescent="0.3">
      <c r="A146" t="str">
        <f t="shared" si="4"/>
        <v/>
      </c>
      <c r="B146" t="str">
        <f>IF(E146="","",Teams!A6)</f>
        <v/>
      </c>
      <c r="C146" t="str">
        <f>IF(E146="","",Teams!C6)</f>
        <v/>
      </c>
      <c r="D146" t="str">
        <f>IF(E146="","",Rosters!M27)</f>
        <v/>
      </c>
      <c r="E146" t="str">
        <f>IF(Rosters!N27="","",Rosters!N27)</f>
        <v/>
      </c>
      <c r="F146" t="str">
        <f>IF(E146="","",Rosters!O27)</f>
        <v/>
      </c>
      <c r="G146" t="str">
        <f t="shared" si="5"/>
        <v/>
      </c>
    </row>
    <row r="147" spans="1:7" x14ac:dyDescent="0.3">
      <c r="A147" t="str">
        <f t="shared" si="4"/>
        <v/>
      </c>
      <c r="B147" t="str">
        <f>IF(E147="","",Teams!A6)</f>
        <v/>
      </c>
      <c r="C147" t="str">
        <f>IF(E147="","",Teams!C6)</f>
        <v/>
      </c>
      <c r="D147" t="str">
        <f>IF(E147="","",Rosters!M28)</f>
        <v/>
      </c>
      <c r="E147" t="str">
        <f>IF(Rosters!N28="","",Rosters!N28)</f>
        <v/>
      </c>
      <c r="F147" t="str">
        <f>IF(E147="","",Rosters!O28)</f>
        <v/>
      </c>
      <c r="G147" t="str">
        <f t="shared" si="5"/>
        <v/>
      </c>
    </row>
    <row r="148" spans="1:7" x14ac:dyDescent="0.3">
      <c r="A148" t="str">
        <f t="shared" si="4"/>
        <v/>
      </c>
      <c r="B148" t="str">
        <f>IF(E148="","",Teams!A6)</f>
        <v/>
      </c>
      <c r="C148" t="str">
        <f>IF(E148="","",Teams!C6)</f>
        <v/>
      </c>
      <c r="D148" t="str">
        <f>IF(E148="","",Rosters!M29)</f>
        <v/>
      </c>
      <c r="E148" t="str">
        <f>IF(Rosters!N29="","",Rosters!N29)</f>
        <v/>
      </c>
      <c r="F148" t="str">
        <f>IF(E148="","",Rosters!O29)</f>
        <v/>
      </c>
      <c r="G148" t="str">
        <f t="shared" si="5"/>
        <v/>
      </c>
    </row>
    <row r="149" spans="1:7" x14ac:dyDescent="0.3">
      <c r="A149" t="str">
        <f t="shared" si="4"/>
        <v/>
      </c>
      <c r="B149" t="str">
        <f>IF(E149="","",Teams!A6)</f>
        <v/>
      </c>
      <c r="C149" t="str">
        <f>IF(E149="","",Teams!C6)</f>
        <v/>
      </c>
      <c r="D149" t="str">
        <f>IF(E149="","",Rosters!M30)</f>
        <v/>
      </c>
      <c r="E149" t="str">
        <f>IF(Rosters!N30="","",Rosters!N30)</f>
        <v/>
      </c>
      <c r="F149" t="str">
        <f>IF(E149="","",Rosters!O30)</f>
        <v/>
      </c>
      <c r="G149" t="str">
        <f t="shared" si="5"/>
        <v/>
      </c>
    </row>
    <row r="150" spans="1:7" x14ac:dyDescent="0.3">
      <c r="A150" t="str">
        <f t="shared" si="4"/>
        <v/>
      </c>
      <c r="B150" t="str">
        <f>IF(E150="","",Teams!A6)</f>
        <v/>
      </c>
      <c r="C150" t="str">
        <f>IF(E150="","",Teams!C6)</f>
        <v/>
      </c>
      <c r="D150" t="str">
        <f>IF(E150="","",Rosters!M31)</f>
        <v/>
      </c>
      <c r="E150" t="str">
        <f>IF(Rosters!N31="","",Rosters!N31)</f>
        <v/>
      </c>
      <c r="F150" t="str">
        <f>IF(E150="","",Rosters!O31)</f>
        <v/>
      </c>
      <c r="G150" t="str">
        <f t="shared" si="5"/>
        <v/>
      </c>
    </row>
    <row r="151" spans="1:7" x14ac:dyDescent="0.3">
      <c r="A151" t="str">
        <f t="shared" si="4"/>
        <v/>
      </c>
      <c r="B151" t="str">
        <f>IF(E151="","",Teams!A6)</f>
        <v/>
      </c>
      <c r="C151" t="str">
        <f>IF(E151="","",Teams!C6)</f>
        <v/>
      </c>
      <c r="D151" t="str">
        <f>IF(E151="","",Rosters!M32)</f>
        <v/>
      </c>
      <c r="E151" t="str">
        <f>IF(Rosters!N32="","",Rosters!N32)</f>
        <v/>
      </c>
      <c r="F151" t="str">
        <f>IF(E151="","",Rosters!O32)</f>
        <v/>
      </c>
      <c r="G151" t="str">
        <f t="shared" si="5"/>
        <v/>
      </c>
    </row>
    <row r="152" spans="1:7" x14ac:dyDescent="0.3">
      <c r="A152" t="str">
        <f t="shared" si="4"/>
        <v>P151</v>
      </c>
      <c r="B152" t="str">
        <f>IF(E152="","",Teams!A7)</f>
        <v>T06</v>
      </c>
      <c r="C152" t="str">
        <f>IF(E152="","",Teams!C7)</f>
        <v>Vecchie Glorie Rovigo</v>
      </c>
      <c r="D152">
        <f>IF(E152="","",Rosters!P3)</f>
        <v>10</v>
      </c>
      <c r="E152" t="str">
        <f>IF(Rosters!Q3="","",Rosters!Q3)</f>
        <v>DAVIDE ZAGHI</v>
      </c>
      <c r="F152" t="str">
        <f>IF(E152="","",Rosters!R3)</f>
        <v>Yes</v>
      </c>
      <c r="G152" t="str">
        <f t="shared" si="5"/>
        <v>10 - DAVIDE ZAGHI (C)</v>
      </c>
    </row>
    <row r="153" spans="1:7" x14ac:dyDescent="0.3">
      <c r="A153" t="str">
        <f t="shared" si="4"/>
        <v>P152</v>
      </c>
      <c r="B153" t="str">
        <f>IF(E153="","",Teams!A7)</f>
        <v>T06</v>
      </c>
      <c r="C153" t="str">
        <f>IF(E153="","",Teams!C7)</f>
        <v>Vecchie Glorie Rovigo</v>
      </c>
      <c r="D153">
        <f>IF(E153="","",Rosters!P4)</f>
        <v>5</v>
      </c>
      <c r="E153" t="str">
        <f>IF(Rosters!Q4="","",Rosters!Q4)</f>
        <v>JACOPO VOLTOLINA</v>
      </c>
      <c r="F153" t="str">
        <f>IF(E153="","",Rosters!R4)</f>
        <v>No</v>
      </c>
      <c r="G153" t="str">
        <f t="shared" si="5"/>
        <v>5 - JACOPO VOLTOLINA</v>
      </c>
    </row>
    <row r="154" spans="1:7" x14ac:dyDescent="0.3">
      <c r="A154" t="str">
        <f t="shared" si="4"/>
        <v>P153</v>
      </c>
      <c r="B154" t="str">
        <f>IF(E154="","",Teams!A7)</f>
        <v>T06</v>
      </c>
      <c r="C154" t="str">
        <f>IF(E154="","",Teams!C7)</f>
        <v>Vecchie Glorie Rovigo</v>
      </c>
      <c r="D154">
        <f>IF(E154="","",Rosters!P5)</f>
        <v>3</v>
      </c>
      <c r="E154" t="str">
        <f>IF(Rosters!Q5="","",Rosters!Q5)</f>
        <v>MATTEO ZAMBERLAN</v>
      </c>
      <c r="F154" t="str">
        <f>IF(E154="","",Rosters!R5)</f>
        <v>No</v>
      </c>
      <c r="G154" t="str">
        <f t="shared" si="5"/>
        <v>3 - MATTEO ZAMBERLAN</v>
      </c>
    </row>
    <row r="155" spans="1:7" x14ac:dyDescent="0.3">
      <c r="A155" t="str">
        <f t="shared" si="4"/>
        <v>P154</v>
      </c>
      <c r="B155" t="str">
        <f>IF(E155="","",Teams!A7)</f>
        <v>T06</v>
      </c>
      <c r="C155" t="str">
        <f>IF(E155="","",Teams!C7)</f>
        <v>Vecchie Glorie Rovigo</v>
      </c>
      <c r="D155">
        <f>IF(E155="","",Rosters!P6)</f>
        <v>20</v>
      </c>
      <c r="E155" t="str">
        <f>IF(Rosters!Q6="","",Rosters!Q6)</f>
        <v>MATTEO DALL'ARA</v>
      </c>
      <c r="F155" t="str">
        <f>IF(E155="","",Rosters!R6)</f>
        <v>No</v>
      </c>
      <c r="G155" t="str">
        <f t="shared" si="5"/>
        <v>20 - MATTEO DALL'ARA</v>
      </c>
    </row>
    <row r="156" spans="1:7" x14ac:dyDescent="0.3">
      <c r="A156" t="str">
        <f t="shared" si="4"/>
        <v>P155</v>
      </c>
      <c r="B156" t="str">
        <f>IF(E156="","",Teams!A7)</f>
        <v>T06</v>
      </c>
      <c r="C156" t="str">
        <f>IF(E156="","",Teams!C7)</f>
        <v>Vecchie Glorie Rovigo</v>
      </c>
      <c r="D156">
        <f>IF(E156="","",Rosters!P7)</f>
        <v>8</v>
      </c>
      <c r="E156" t="str">
        <f>IF(Rosters!Q7="","",Rosters!Q7)</f>
        <v>LEONARDO FUSCO</v>
      </c>
      <c r="F156" t="str">
        <f>IF(E156="","",Rosters!R7)</f>
        <v>No</v>
      </c>
      <c r="G156" t="str">
        <f t="shared" si="5"/>
        <v>8 - LEONARDO FUSCO</v>
      </c>
    </row>
    <row r="157" spans="1:7" x14ac:dyDescent="0.3">
      <c r="A157" t="str">
        <f t="shared" si="4"/>
        <v>P156</v>
      </c>
      <c r="B157" t="str">
        <f>IF(E157="","",Teams!A7)</f>
        <v>T06</v>
      </c>
      <c r="C157" t="str">
        <f>IF(E157="","",Teams!C7)</f>
        <v>Vecchie Glorie Rovigo</v>
      </c>
      <c r="D157">
        <f>IF(E157="","",Rosters!P8)</f>
        <v>7</v>
      </c>
      <c r="E157" t="str">
        <f>IF(Rosters!Q8="","",Rosters!Q8)</f>
        <v>DENIS TIMPANARO</v>
      </c>
      <c r="F157" t="str">
        <f>IF(E157="","",Rosters!R8)</f>
        <v>No</v>
      </c>
      <c r="G157" t="str">
        <f t="shared" si="5"/>
        <v>7 - DENIS TIMPANARO</v>
      </c>
    </row>
    <row r="158" spans="1:7" x14ac:dyDescent="0.3">
      <c r="A158" t="str">
        <f t="shared" si="4"/>
        <v>P157</v>
      </c>
      <c r="B158" t="str">
        <f>IF(E158="","",Teams!A7)</f>
        <v>T06</v>
      </c>
      <c r="C158" t="str">
        <f>IF(E158="","",Teams!C7)</f>
        <v>Vecchie Glorie Rovigo</v>
      </c>
      <c r="D158">
        <f>IF(E158="","",Rosters!P9)</f>
        <v>1</v>
      </c>
      <c r="E158" t="str">
        <f>IF(Rosters!Q9="","",Rosters!Q9)</f>
        <v>MATTEO TOSETTI</v>
      </c>
      <c r="F158" t="str">
        <f>IF(E158="","",Rosters!R9)</f>
        <v>No</v>
      </c>
      <c r="G158" t="str">
        <f t="shared" si="5"/>
        <v>1 - MATTEO TOSETTI</v>
      </c>
    </row>
    <row r="159" spans="1:7" x14ac:dyDescent="0.3">
      <c r="A159" t="str">
        <f t="shared" si="4"/>
        <v>P158</v>
      </c>
      <c r="B159" t="str">
        <f>IF(E159="","",Teams!A7)</f>
        <v>T06</v>
      </c>
      <c r="C159" t="str">
        <f>IF(E159="","",Teams!C7)</f>
        <v>Vecchie Glorie Rovigo</v>
      </c>
      <c r="D159">
        <f>IF(E159="","",Rosters!P10)</f>
        <v>4</v>
      </c>
      <c r="E159" t="str">
        <f>IF(Rosters!Q10="","",Rosters!Q10)</f>
        <v>MATTEO AMBROSINI</v>
      </c>
      <c r="F159" t="str">
        <f>IF(E159="","",Rosters!R10)</f>
        <v>No</v>
      </c>
      <c r="G159" t="str">
        <f t="shared" si="5"/>
        <v>4 - MATTEO AMBROSINI</v>
      </c>
    </row>
    <row r="160" spans="1:7" x14ac:dyDescent="0.3">
      <c r="A160" t="str">
        <f t="shared" si="4"/>
        <v>P159</v>
      </c>
      <c r="B160" t="str">
        <f>IF(E160="","",Teams!A7)</f>
        <v>T06</v>
      </c>
      <c r="C160" t="str">
        <f>IF(E160="","",Teams!C7)</f>
        <v>Vecchie Glorie Rovigo</v>
      </c>
      <c r="D160">
        <f>IF(E160="","",Rosters!P11)</f>
        <v>6</v>
      </c>
      <c r="E160" t="str">
        <f>IF(Rosters!Q11="","",Rosters!Q11)</f>
        <v>ANDREA BONIN</v>
      </c>
      <c r="F160" t="str">
        <f>IF(E160="","",Rosters!R11)</f>
        <v>No</v>
      </c>
      <c r="G160" t="str">
        <f t="shared" si="5"/>
        <v>6 - ANDREA BONIN</v>
      </c>
    </row>
    <row r="161" spans="1:7" x14ac:dyDescent="0.3">
      <c r="A161" t="str">
        <f t="shared" si="4"/>
        <v>P160</v>
      </c>
      <c r="B161" t="str">
        <f>IF(E161="","",Teams!A7)</f>
        <v>T06</v>
      </c>
      <c r="C161" t="str">
        <f>IF(E161="","",Teams!C7)</f>
        <v>Vecchie Glorie Rovigo</v>
      </c>
      <c r="D161">
        <f>IF(E161="","",Rosters!P12)</f>
        <v>17</v>
      </c>
      <c r="E161" t="str">
        <f>IF(Rosters!Q12="","",Rosters!Q12)</f>
        <v>DOMENICO IACOVINO</v>
      </c>
      <c r="F161" t="str">
        <f>IF(E161="","",Rosters!R12)</f>
        <v>No</v>
      </c>
      <c r="G161" t="str">
        <f t="shared" si="5"/>
        <v>17 - DOMENICO IACOVINO</v>
      </c>
    </row>
    <row r="162" spans="1:7" x14ac:dyDescent="0.3">
      <c r="A162" t="str">
        <f t="shared" si="4"/>
        <v>P161</v>
      </c>
      <c r="B162" t="str">
        <f>IF(E162="","",Teams!A7)</f>
        <v>T06</v>
      </c>
      <c r="C162" t="str">
        <f>IF(E162="","",Teams!C7)</f>
        <v>Vecchie Glorie Rovigo</v>
      </c>
      <c r="D162">
        <f>IF(E162="","",Rosters!P13)</f>
        <v>16</v>
      </c>
      <c r="E162" t="str">
        <f>IF(Rosters!Q13="","",Rosters!Q13)</f>
        <v>GIACOMO PROTTI</v>
      </c>
      <c r="F162" t="str">
        <f>IF(E162="","",Rosters!R13)</f>
        <v>No</v>
      </c>
      <c r="G162" t="str">
        <f t="shared" si="5"/>
        <v>16 - GIACOMO PROTTI</v>
      </c>
    </row>
    <row r="163" spans="1:7" x14ac:dyDescent="0.3">
      <c r="A163" t="str">
        <f t="shared" si="4"/>
        <v/>
      </c>
      <c r="B163" t="str">
        <f>IF(E163="","",Teams!A7)</f>
        <v/>
      </c>
      <c r="C163" t="str">
        <f>IF(E163="","",Teams!C7)</f>
        <v/>
      </c>
      <c r="D163" t="str">
        <f>IF(E163="","",Rosters!P14)</f>
        <v/>
      </c>
      <c r="E163" t="str">
        <f>IF(Rosters!Q14="","",Rosters!Q14)</f>
        <v/>
      </c>
      <c r="F163" t="str">
        <f>IF(E163="","",Rosters!R14)</f>
        <v/>
      </c>
      <c r="G163" t="str">
        <f t="shared" si="5"/>
        <v/>
      </c>
    </row>
    <row r="164" spans="1:7" x14ac:dyDescent="0.3">
      <c r="A164" t="str">
        <f t="shared" si="4"/>
        <v/>
      </c>
      <c r="B164" t="str">
        <f>IF(E164="","",Teams!A7)</f>
        <v/>
      </c>
      <c r="C164" t="str">
        <f>IF(E164="","",Teams!C7)</f>
        <v/>
      </c>
      <c r="D164" t="str">
        <f>IF(E164="","",Rosters!P15)</f>
        <v/>
      </c>
      <c r="E164" t="str">
        <f>IF(Rosters!Q15="","",Rosters!Q15)</f>
        <v/>
      </c>
      <c r="F164" t="str">
        <f>IF(E164="","",Rosters!R15)</f>
        <v/>
      </c>
      <c r="G164" t="str">
        <f t="shared" si="5"/>
        <v/>
      </c>
    </row>
    <row r="165" spans="1:7" x14ac:dyDescent="0.3">
      <c r="A165" t="str">
        <f t="shared" si="4"/>
        <v/>
      </c>
      <c r="B165" t="str">
        <f>IF(E165="","",Teams!A7)</f>
        <v/>
      </c>
      <c r="C165" t="str">
        <f>IF(E165="","",Teams!C7)</f>
        <v/>
      </c>
      <c r="D165" t="str">
        <f>IF(E165="","",Rosters!P16)</f>
        <v/>
      </c>
      <c r="E165" t="str">
        <f>IF(Rosters!Q16="","",Rosters!Q16)</f>
        <v/>
      </c>
      <c r="F165" t="str">
        <f>IF(E165="","",Rosters!R16)</f>
        <v/>
      </c>
      <c r="G165" t="str">
        <f t="shared" si="5"/>
        <v/>
      </c>
    </row>
    <row r="166" spans="1:7" x14ac:dyDescent="0.3">
      <c r="A166" t="str">
        <f t="shared" si="4"/>
        <v/>
      </c>
      <c r="B166" t="str">
        <f>IF(E166="","",Teams!A7)</f>
        <v/>
      </c>
      <c r="C166" t="str">
        <f>IF(E166="","",Teams!C7)</f>
        <v/>
      </c>
      <c r="D166" t="str">
        <f>IF(E166="","",Rosters!P17)</f>
        <v/>
      </c>
      <c r="E166" t="str">
        <f>IF(Rosters!Q17="","",Rosters!Q17)</f>
        <v/>
      </c>
      <c r="F166" t="str">
        <f>IF(E166="","",Rosters!R17)</f>
        <v/>
      </c>
      <c r="G166" t="str">
        <f t="shared" si="5"/>
        <v/>
      </c>
    </row>
    <row r="167" spans="1:7" x14ac:dyDescent="0.3">
      <c r="A167" t="str">
        <f t="shared" si="4"/>
        <v/>
      </c>
      <c r="B167" t="str">
        <f>IF(E167="","",Teams!A7)</f>
        <v/>
      </c>
      <c r="C167" t="str">
        <f>IF(E167="","",Teams!C7)</f>
        <v/>
      </c>
      <c r="D167" t="str">
        <f>IF(E167="","",Rosters!P18)</f>
        <v/>
      </c>
      <c r="E167" t="str">
        <f>IF(Rosters!Q18="","",Rosters!Q18)</f>
        <v/>
      </c>
      <c r="F167" t="str">
        <f>IF(E167="","",Rosters!R18)</f>
        <v/>
      </c>
      <c r="G167" t="str">
        <f t="shared" si="5"/>
        <v/>
      </c>
    </row>
    <row r="168" spans="1:7" x14ac:dyDescent="0.3">
      <c r="A168" t="str">
        <f t="shared" si="4"/>
        <v/>
      </c>
      <c r="B168" t="str">
        <f>IF(E168="","",Teams!A7)</f>
        <v/>
      </c>
      <c r="C168" t="str">
        <f>IF(E168="","",Teams!C7)</f>
        <v/>
      </c>
      <c r="D168" t="str">
        <f>IF(E168="","",Rosters!P19)</f>
        <v/>
      </c>
      <c r="E168" t="str">
        <f>IF(Rosters!Q19="","",Rosters!Q19)</f>
        <v/>
      </c>
      <c r="F168" t="str">
        <f>IF(E168="","",Rosters!R19)</f>
        <v/>
      </c>
      <c r="G168" t="str">
        <f t="shared" si="5"/>
        <v/>
      </c>
    </row>
    <row r="169" spans="1:7" x14ac:dyDescent="0.3">
      <c r="A169" t="str">
        <f t="shared" si="4"/>
        <v/>
      </c>
      <c r="B169" t="str">
        <f>IF(E169="","",Teams!A7)</f>
        <v/>
      </c>
      <c r="C169" t="str">
        <f>IF(E169="","",Teams!C7)</f>
        <v/>
      </c>
      <c r="D169" t="str">
        <f>IF(E169="","",Rosters!P20)</f>
        <v/>
      </c>
      <c r="E169" t="str">
        <f>IF(Rosters!Q20="","",Rosters!Q20)</f>
        <v/>
      </c>
      <c r="F169" t="str">
        <f>IF(E169="","",Rosters!R20)</f>
        <v/>
      </c>
      <c r="G169" t="str">
        <f t="shared" si="5"/>
        <v/>
      </c>
    </row>
    <row r="170" spans="1:7" x14ac:dyDescent="0.3">
      <c r="A170" t="str">
        <f t="shared" si="4"/>
        <v/>
      </c>
      <c r="B170" t="str">
        <f>IF(E170="","",Teams!A7)</f>
        <v/>
      </c>
      <c r="C170" t="str">
        <f>IF(E170="","",Teams!C7)</f>
        <v/>
      </c>
      <c r="D170" t="str">
        <f>IF(E170="","",Rosters!P21)</f>
        <v/>
      </c>
      <c r="E170" t="str">
        <f>IF(Rosters!Q21="","",Rosters!Q21)</f>
        <v/>
      </c>
      <c r="F170" t="str">
        <f>IF(E170="","",Rosters!R21)</f>
        <v/>
      </c>
      <c r="G170" t="str">
        <f t="shared" si="5"/>
        <v/>
      </c>
    </row>
    <row r="171" spans="1:7" x14ac:dyDescent="0.3">
      <c r="A171" t="str">
        <f t="shared" si="4"/>
        <v/>
      </c>
      <c r="B171" t="str">
        <f>IF(E171="","",Teams!A7)</f>
        <v/>
      </c>
      <c r="C171" t="str">
        <f>IF(E171="","",Teams!C7)</f>
        <v/>
      </c>
      <c r="D171" t="str">
        <f>IF(E171="","",Rosters!P22)</f>
        <v/>
      </c>
      <c r="E171" t="str">
        <f>IF(Rosters!Q22="","",Rosters!Q22)</f>
        <v/>
      </c>
      <c r="F171" t="str">
        <f>IF(E171="","",Rosters!R22)</f>
        <v/>
      </c>
      <c r="G171" t="str">
        <f t="shared" si="5"/>
        <v/>
      </c>
    </row>
    <row r="172" spans="1:7" x14ac:dyDescent="0.3">
      <c r="A172" t="str">
        <f t="shared" si="4"/>
        <v/>
      </c>
      <c r="B172" t="str">
        <f>IF(E172="","",Teams!A7)</f>
        <v/>
      </c>
      <c r="C172" t="str">
        <f>IF(E172="","",Teams!C7)</f>
        <v/>
      </c>
      <c r="D172" t="str">
        <f>IF(E172="","",Rosters!P23)</f>
        <v/>
      </c>
      <c r="E172" t="str">
        <f>IF(Rosters!Q23="","",Rosters!Q23)</f>
        <v/>
      </c>
      <c r="F172" t="str">
        <f>IF(E172="","",Rosters!R23)</f>
        <v/>
      </c>
      <c r="G172" t="str">
        <f t="shared" si="5"/>
        <v/>
      </c>
    </row>
    <row r="173" spans="1:7" x14ac:dyDescent="0.3">
      <c r="A173" t="str">
        <f t="shared" si="4"/>
        <v/>
      </c>
      <c r="B173" t="str">
        <f>IF(E173="","",Teams!A7)</f>
        <v/>
      </c>
      <c r="C173" t="str">
        <f>IF(E173="","",Teams!C7)</f>
        <v/>
      </c>
      <c r="D173" t="str">
        <f>IF(E173="","",Rosters!P24)</f>
        <v/>
      </c>
      <c r="E173" t="str">
        <f>IF(Rosters!Q24="","",Rosters!Q24)</f>
        <v/>
      </c>
      <c r="F173" t="str">
        <f>IF(E173="","",Rosters!R24)</f>
        <v/>
      </c>
      <c r="G173" t="str">
        <f t="shared" si="5"/>
        <v/>
      </c>
    </row>
    <row r="174" spans="1:7" x14ac:dyDescent="0.3">
      <c r="A174" t="str">
        <f t="shared" si="4"/>
        <v/>
      </c>
      <c r="B174" t="str">
        <f>IF(E174="","",Teams!A7)</f>
        <v/>
      </c>
      <c r="C174" t="str">
        <f>IF(E174="","",Teams!C7)</f>
        <v/>
      </c>
      <c r="D174" t="str">
        <f>IF(E174="","",Rosters!P25)</f>
        <v/>
      </c>
      <c r="E174" t="str">
        <f>IF(Rosters!Q25="","",Rosters!Q25)</f>
        <v/>
      </c>
      <c r="F174" t="str">
        <f>IF(E174="","",Rosters!R25)</f>
        <v/>
      </c>
      <c r="G174" t="str">
        <f t="shared" si="5"/>
        <v/>
      </c>
    </row>
    <row r="175" spans="1:7" x14ac:dyDescent="0.3">
      <c r="A175" t="str">
        <f t="shared" si="4"/>
        <v/>
      </c>
      <c r="B175" t="str">
        <f>IF(E175="","",Teams!A7)</f>
        <v/>
      </c>
      <c r="C175" t="str">
        <f>IF(E175="","",Teams!C7)</f>
        <v/>
      </c>
      <c r="D175" t="str">
        <f>IF(E175="","",Rosters!P26)</f>
        <v/>
      </c>
      <c r="E175" t="str">
        <f>IF(Rosters!Q26="","",Rosters!Q26)</f>
        <v/>
      </c>
      <c r="F175" t="str">
        <f>IF(E175="","",Rosters!R26)</f>
        <v/>
      </c>
      <c r="G175" t="str">
        <f t="shared" si="5"/>
        <v/>
      </c>
    </row>
    <row r="176" spans="1:7" x14ac:dyDescent="0.3">
      <c r="A176" t="str">
        <f t="shared" si="4"/>
        <v/>
      </c>
      <c r="B176" t="str">
        <f>IF(E176="","",Teams!A7)</f>
        <v/>
      </c>
      <c r="C176" t="str">
        <f>IF(E176="","",Teams!C7)</f>
        <v/>
      </c>
      <c r="D176" t="str">
        <f>IF(E176="","",Rosters!P27)</f>
        <v/>
      </c>
      <c r="E176" t="str">
        <f>IF(Rosters!Q27="","",Rosters!Q27)</f>
        <v/>
      </c>
      <c r="F176" t="str">
        <f>IF(E176="","",Rosters!R27)</f>
        <v/>
      </c>
      <c r="G176" t="str">
        <f t="shared" si="5"/>
        <v/>
      </c>
    </row>
    <row r="177" spans="1:7" x14ac:dyDescent="0.3">
      <c r="A177" t="str">
        <f t="shared" si="4"/>
        <v/>
      </c>
      <c r="B177" t="str">
        <f>IF(E177="","",Teams!A7)</f>
        <v/>
      </c>
      <c r="C177" t="str">
        <f>IF(E177="","",Teams!C7)</f>
        <v/>
      </c>
      <c r="D177" t="str">
        <f>IF(E177="","",Rosters!P28)</f>
        <v/>
      </c>
      <c r="E177" t="str">
        <f>IF(Rosters!Q28="","",Rosters!Q28)</f>
        <v/>
      </c>
      <c r="F177" t="str">
        <f>IF(E177="","",Rosters!R28)</f>
        <v/>
      </c>
      <c r="G177" t="str">
        <f t="shared" si="5"/>
        <v/>
      </c>
    </row>
    <row r="178" spans="1:7" x14ac:dyDescent="0.3">
      <c r="A178" t="str">
        <f t="shared" si="4"/>
        <v/>
      </c>
      <c r="B178" t="str">
        <f>IF(E178="","",Teams!A7)</f>
        <v/>
      </c>
      <c r="C178" t="str">
        <f>IF(E178="","",Teams!C7)</f>
        <v/>
      </c>
      <c r="D178" t="str">
        <f>IF(E178="","",Rosters!P29)</f>
        <v/>
      </c>
      <c r="E178" t="str">
        <f>IF(Rosters!Q29="","",Rosters!Q29)</f>
        <v/>
      </c>
      <c r="F178" t="str">
        <f>IF(E178="","",Rosters!R29)</f>
        <v/>
      </c>
      <c r="G178" t="str">
        <f t="shared" si="5"/>
        <v/>
      </c>
    </row>
    <row r="179" spans="1:7" x14ac:dyDescent="0.3">
      <c r="A179" t="str">
        <f t="shared" si="4"/>
        <v/>
      </c>
      <c r="B179" t="str">
        <f>IF(E179="","",Teams!A7)</f>
        <v/>
      </c>
      <c r="C179" t="str">
        <f>IF(E179="","",Teams!C7)</f>
        <v/>
      </c>
      <c r="D179" t="str">
        <f>IF(E179="","",Rosters!P30)</f>
        <v/>
      </c>
      <c r="E179" t="str">
        <f>IF(Rosters!Q30="","",Rosters!Q30)</f>
        <v/>
      </c>
      <c r="F179" t="str">
        <f>IF(E179="","",Rosters!R30)</f>
        <v/>
      </c>
      <c r="G179" t="str">
        <f t="shared" si="5"/>
        <v/>
      </c>
    </row>
    <row r="180" spans="1:7" x14ac:dyDescent="0.3">
      <c r="A180" t="str">
        <f t="shared" si="4"/>
        <v/>
      </c>
      <c r="B180" t="str">
        <f>IF(E180="","",Teams!A7)</f>
        <v/>
      </c>
      <c r="C180" t="str">
        <f>IF(E180="","",Teams!C7)</f>
        <v/>
      </c>
      <c r="D180" t="str">
        <f>IF(E180="","",Rosters!P31)</f>
        <v/>
      </c>
      <c r="E180" t="str">
        <f>IF(Rosters!Q31="","",Rosters!Q31)</f>
        <v/>
      </c>
      <c r="F180" t="str">
        <f>IF(E180="","",Rosters!R31)</f>
        <v/>
      </c>
      <c r="G180" t="str">
        <f t="shared" si="5"/>
        <v/>
      </c>
    </row>
    <row r="181" spans="1:7" x14ac:dyDescent="0.3">
      <c r="A181" t="str">
        <f t="shared" si="4"/>
        <v/>
      </c>
      <c r="B181" t="str">
        <f>IF(E181="","",Teams!A7)</f>
        <v/>
      </c>
      <c r="C181" t="str">
        <f>IF(E181="","",Teams!C7)</f>
        <v/>
      </c>
      <c r="D181" t="str">
        <f>IF(E181="","",Rosters!P32)</f>
        <v/>
      </c>
      <c r="E181" t="str">
        <f>IF(Rosters!Q32="","",Rosters!Q32)</f>
        <v/>
      </c>
      <c r="F181" t="str">
        <f>IF(E181="","",Rosters!R32)</f>
        <v/>
      </c>
      <c r="G181" t="str">
        <f t="shared" si="5"/>
        <v/>
      </c>
    </row>
    <row r="182" spans="1:7" x14ac:dyDescent="0.3">
      <c r="A182" t="str">
        <f t="shared" si="4"/>
        <v>P181</v>
      </c>
      <c r="B182" t="str">
        <f>IF(E182="","",Teams!A8)</f>
        <v>T07</v>
      </c>
      <c r="C182" t="str">
        <f>IF(E182="","",Teams!C8)</f>
        <v>AS Bancatore</v>
      </c>
      <c r="D182">
        <f>IF(E182="","",Rosters!S3)</f>
        <v>1</v>
      </c>
      <c r="E182" t="str">
        <f>IF(Rosters!T3="","",Rosters!T3)</f>
        <v>RICCARDO BROGLIO</v>
      </c>
      <c r="F182" t="str">
        <f>IF(E182="","",Rosters!U3)</f>
        <v>No</v>
      </c>
      <c r="G182" t="str">
        <f t="shared" si="5"/>
        <v>1 - RICCARDO BROGLIO</v>
      </c>
    </row>
    <row r="183" spans="1:7" x14ac:dyDescent="0.3">
      <c r="A183" t="str">
        <f t="shared" si="4"/>
        <v>P182</v>
      </c>
      <c r="B183" t="str">
        <f>IF(E183="","",Teams!A8)</f>
        <v>T07</v>
      </c>
      <c r="C183" t="str">
        <f>IF(E183="","",Teams!C8)</f>
        <v>AS Bancatore</v>
      </c>
      <c r="D183">
        <f>IF(E183="","",Rosters!S4)</f>
        <v>2</v>
      </c>
      <c r="E183" t="str">
        <f>IF(Rosters!T4="","",Rosters!T4)</f>
        <v>NICOLÒ MARANGONI</v>
      </c>
      <c r="F183" t="str">
        <f>IF(E183="","",Rosters!U4)</f>
        <v>No</v>
      </c>
      <c r="G183" t="str">
        <f t="shared" si="5"/>
        <v>2 - NICOLÒ MARANGONI</v>
      </c>
    </row>
    <row r="184" spans="1:7" x14ac:dyDescent="0.3">
      <c r="A184" t="str">
        <f t="shared" si="4"/>
        <v>P183</v>
      </c>
      <c r="B184" t="str">
        <f>IF(E184="","",Teams!A8)</f>
        <v>T07</v>
      </c>
      <c r="C184" t="str">
        <f>IF(E184="","",Teams!C8)</f>
        <v>AS Bancatore</v>
      </c>
      <c r="D184">
        <f>IF(E184="","",Rosters!S5)</f>
        <v>5</v>
      </c>
      <c r="E184" t="str">
        <f>IF(Rosters!T5="","",Rosters!T5)</f>
        <v>MATTEO LONGO</v>
      </c>
      <c r="F184" t="str">
        <f>IF(E184="","",Rosters!U5)</f>
        <v>No</v>
      </c>
      <c r="G184" t="str">
        <f t="shared" si="5"/>
        <v>5 - MATTEO LONGO</v>
      </c>
    </row>
    <row r="185" spans="1:7" x14ac:dyDescent="0.3">
      <c r="A185" t="str">
        <f t="shared" si="4"/>
        <v>P184</v>
      </c>
      <c r="B185" t="str">
        <f>IF(E185="","",Teams!A8)</f>
        <v>T07</v>
      </c>
      <c r="C185" t="str">
        <f>IF(E185="","",Teams!C8)</f>
        <v>AS Bancatore</v>
      </c>
      <c r="D185">
        <f>IF(E185="","",Rosters!S6)</f>
        <v>7</v>
      </c>
      <c r="E185" t="str">
        <f>IF(Rosters!T6="","",Rosters!T6)</f>
        <v>MATTIA ZAGO</v>
      </c>
      <c r="F185" t="str">
        <f>IF(E185="","",Rosters!U6)</f>
        <v>No</v>
      </c>
      <c r="G185" t="str">
        <f t="shared" si="5"/>
        <v>7 - MATTIA ZAGO</v>
      </c>
    </row>
    <row r="186" spans="1:7" x14ac:dyDescent="0.3">
      <c r="A186" t="str">
        <f t="shared" si="4"/>
        <v>P185</v>
      </c>
      <c r="B186" t="str">
        <f>IF(E186="","",Teams!A8)</f>
        <v>T07</v>
      </c>
      <c r="C186" t="str">
        <f>IF(E186="","",Teams!C8)</f>
        <v>AS Bancatore</v>
      </c>
      <c r="D186">
        <f>IF(E186="","",Rosters!S7)</f>
        <v>8</v>
      </c>
      <c r="E186" t="str">
        <f>IF(Rosters!T7="","",Rosters!T7)</f>
        <v>MATTEO SAVIOLI</v>
      </c>
      <c r="F186" t="str">
        <f>IF(E186="","",Rosters!U7)</f>
        <v>Yes</v>
      </c>
      <c r="G186" t="str">
        <f t="shared" si="5"/>
        <v>8 - MATTEO SAVIOLI (C)</v>
      </c>
    </row>
    <row r="187" spans="1:7" x14ac:dyDescent="0.3">
      <c r="A187" t="str">
        <f t="shared" si="4"/>
        <v>P186</v>
      </c>
      <c r="B187" t="str">
        <f>IF(E187="","",Teams!A8)</f>
        <v>T07</v>
      </c>
      <c r="C187" t="str">
        <f>IF(E187="","",Teams!C8)</f>
        <v>AS Bancatore</v>
      </c>
      <c r="D187">
        <f>IF(E187="","",Rosters!S8)</f>
        <v>9</v>
      </c>
      <c r="E187" t="str">
        <f>IF(Rosters!T8="","",Rosters!T8)</f>
        <v>IGNAZIO BADALÌ</v>
      </c>
      <c r="F187" t="str">
        <f>IF(E187="","",Rosters!U8)</f>
        <v>No</v>
      </c>
      <c r="G187" t="str">
        <f t="shared" si="5"/>
        <v>9 - IGNAZIO BADALÌ</v>
      </c>
    </row>
    <row r="188" spans="1:7" x14ac:dyDescent="0.3">
      <c r="A188" t="str">
        <f t="shared" si="4"/>
        <v>P187</v>
      </c>
      <c r="B188" t="str">
        <f>IF(E188="","",Teams!A8)</f>
        <v>T07</v>
      </c>
      <c r="C188" t="str">
        <f>IF(E188="","",Teams!C8)</f>
        <v>AS Bancatore</v>
      </c>
      <c r="D188">
        <f>IF(E188="","",Rosters!S9)</f>
        <v>10</v>
      </c>
      <c r="E188" t="str">
        <f>IF(Rosters!T9="","",Rosters!T9)</f>
        <v>GIANLUCA FREZZATI</v>
      </c>
      <c r="F188" t="str">
        <f>IF(E188="","",Rosters!U9)</f>
        <v>No</v>
      </c>
      <c r="G188" t="str">
        <f t="shared" si="5"/>
        <v>10 - GIANLUCA FREZZATI</v>
      </c>
    </row>
    <row r="189" spans="1:7" x14ac:dyDescent="0.3">
      <c r="A189" t="str">
        <f t="shared" si="4"/>
        <v>P188</v>
      </c>
      <c r="B189" t="str">
        <f>IF(E189="","",Teams!A8)</f>
        <v>T07</v>
      </c>
      <c r="C189" t="str">
        <f>IF(E189="","",Teams!C8)</f>
        <v>AS Bancatore</v>
      </c>
      <c r="D189">
        <f>IF(E189="","",Rosters!S10)</f>
        <v>11</v>
      </c>
      <c r="E189" t="str">
        <f>IF(Rosters!T10="","",Rosters!T10)</f>
        <v>FEDERICO MASCELLANI</v>
      </c>
      <c r="F189" t="str">
        <f>IF(E189="","",Rosters!U10)</f>
        <v>No</v>
      </c>
      <c r="G189" t="str">
        <f t="shared" si="5"/>
        <v>11 - FEDERICO MASCELLANI</v>
      </c>
    </row>
    <row r="190" spans="1:7" x14ac:dyDescent="0.3">
      <c r="A190" t="str">
        <f t="shared" si="4"/>
        <v>P189</v>
      </c>
      <c r="B190" t="str">
        <f>IF(E190="","",Teams!A8)</f>
        <v>T07</v>
      </c>
      <c r="C190" t="str">
        <f>IF(E190="","",Teams!C8)</f>
        <v>AS Bancatore</v>
      </c>
      <c r="D190">
        <f>IF(E190="","",Rosters!S11)</f>
        <v>13</v>
      </c>
      <c r="E190" t="str">
        <f>IF(Rosters!T11="","",Rosters!T11)</f>
        <v>ALBERTO OSTI</v>
      </c>
      <c r="F190" t="str">
        <f>IF(E190="","",Rosters!U11)</f>
        <v>No</v>
      </c>
      <c r="G190" t="str">
        <f t="shared" si="5"/>
        <v>13 - ALBERTO OSTI</v>
      </c>
    </row>
    <row r="191" spans="1:7" x14ac:dyDescent="0.3">
      <c r="A191" t="str">
        <f t="shared" si="4"/>
        <v>P190</v>
      </c>
      <c r="B191" t="str">
        <f>IF(E191="","",Teams!A8)</f>
        <v>T07</v>
      </c>
      <c r="C191" t="str">
        <f>IF(E191="","",Teams!C8)</f>
        <v>AS Bancatore</v>
      </c>
      <c r="D191">
        <f>IF(E191="","",Rosters!S12)</f>
        <v>14</v>
      </c>
      <c r="E191" t="str">
        <f>IF(Rosters!T12="","",Rosters!T12)</f>
        <v>LUCA ROSSI</v>
      </c>
      <c r="F191" t="str">
        <f>IF(E191="","",Rosters!U12)</f>
        <v>No</v>
      </c>
      <c r="G191" t="str">
        <f t="shared" si="5"/>
        <v>14 - LUCA ROSSI</v>
      </c>
    </row>
    <row r="192" spans="1:7" x14ac:dyDescent="0.3">
      <c r="A192" t="str">
        <f t="shared" si="4"/>
        <v>P191</v>
      </c>
      <c r="B192" t="str">
        <f>IF(E192="","",Teams!A8)</f>
        <v>T07</v>
      </c>
      <c r="C192" t="str">
        <f>IF(E192="","",Teams!C8)</f>
        <v>AS Bancatore</v>
      </c>
      <c r="D192">
        <f>IF(E192="","",Rosters!S13)</f>
        <v>17</v>
      </c>
      <c r="E192" t="str">
        <f>IF(Rosters!T13="","",Rosters!T13)</f>
        <v>NICOLA BARONI</v>
      </c>
      <c r="F192" t="str">
        <f>IF(E192="","",Rosters!U13)</f>
        <v>No</v>
      </c>
      <c r="G192" t="str">
        <f t="shared" si="5"/>
        <v>17 - NICOLA BARONI</v>
      </c>
    </row>
    <row r="193" spans="1:7" x14ac:dyDescent="0.3">
      <c r="A193" t="str">
        <f t="shared" si="4"/>
        <v/>
      </c>
      <c r="B193" t="str">
        <f>IF(E193="","",Teams!A8)</f>
        <v/>
      </c>
      <c r="C193" t="str">
        <f>IF(E193="","",Teams!C8)</f>
        <v/>
      </c>
      <c r="D193" t="str">
        <f>IF(E193="","",Rosters!S14)</f>
        <v/>
      </c>
      <c r="E193" t="str">
        <f>IF(Rosters!T14="","",Rosters!T14)</f>
        <v/>
      </c>
      <c r="F193" t="str">
        <f>IF(E193="","",Rosters!U14)</f>
        <v/>
      </c>
      <c r="G193" t="str">
        <f t="shared" si="5"/>
        <v/>
      </c>
    </row>
    <row r="194" spans="1:7" x14ac:dyDescent="0.3">
      <c r="A194" t="str">
        <f t="shared" ref="A194:A257" si="6">IF(E194="","","P"&amp;TEXT(ROW()-1,"000"))</f>
        <v/>
      </c>
      <c r="B194" t="str">
        <f>IF(E194="","",Teams!A8)</f>
        <v/>
      </c>
      <c r="C194" t="str">
        <f>IF(E194="","",Teams!C8)</f>
        <v/>
      </c>
      <c r="D194" t="str">
        <f>IF(E194="","",Rosters!S15)</f>
        <v/>
      </c>
      <c r="E194" t="str">
        <f>IF(Rosters!T15="","",Rosters!T15)</f>
        <v/>
      </c>
      <c r="F194" t="str">
        <f>IF(E194="","",Rosters!U15)</f>
        <v/>
      </c>
      <c r="G194" t="str">
        <f t="shared" ref="G194:G257" si="7">IF(E194="","",IF(D194="","",D194&amp;" - ")&amp;E194&amp;IF(F194="Yes"," (C)",""))</f>
        <v/>
      </c>
    </row>
    <row r="195" spans="1:7" x14ac:dyDescent="0.3">
      <c r="A195" t="str">
        <f t="shared" si="6"/>
        <v/>
      </c>
      <c r="B195" t="str">
        <f>IF(E195="","",Teams!A8)</f>
        <v/>
      </c>
      <c r="C195" t="str">
        <f>IF(E195="","",Teams!C8)</f>
        <v/>
      </c>
      <c r="D195" t="str">
        <f>IF(E195="","",Rosters!S16)</f>
        <v/>
      </c>
      <c r="E195" t="str">
        <f>IF(Rosters!T16="","",Rosters!T16)</f>
        <v/>
      </c>
      <c r="F195" t="str">
        <f>IF(E195="","",Rosters!U16)</f>
        <v/>
      </c>
      <c r="G195" t="str">
        <f t="shared" si="7"/>
        <v/>
      </c>
    </row>
    <row r="196" spans="1:7" x14ac:dyDescent="0.3">
      <c r="A196" t="str">
        <f t="shared" si="6"/>
        <v/>
      </c>
      <c r="B196" t="str">
        <f>IF(E196="","",Teams!A8)</f>
        <v/>
      </c>
      <c r="C196" t="str">
        <f>IF(E196="","",Teams!C8)</f>
        <v/>
      </c>
      <c r="D196" t="str">
        <f>IF(E196="","",Rosters!S17)</f>
        <v/>
      </c>
      <c r="E196" t="str">
        <f>IF(Rosters!T17="","",Rosters!T17)</f>
        <v/>
      </c>
      <c r="F196" t="str">
        <f>IF(E196="","",Rosters!U17)</f>
        <v/>
      </c>
      <c r="G196" t="str">
        <f t="shared" si="7"/>
        <v/>
      </c>
    </row>
    <row r="197" spans="1:7" x14ac:dyDescent="0.3">
      <c r="A197" t="str">
        <f t="shared" si="6"/>
        <v/>
      </c>
      <c r="B197" t="str">
        <f>IF(E197="","",Teams!A8)</f>
        <v/>
      </c>
      <c r="C197" t="str">
        <f>IF(E197="","",Teams!C8)</f>
        <v/>
      </c>
      <c r="D197" t="str">
        <f>IF(E197="","",Rosters!S18)</f>
        <v/>
      </c>
      <c r="E197" t="str">
        <f>IF(Rosters!T18="","",Rosters!T18)</f>
        <v/>
      </c>
      <c r="F197" t="str">
        <f>IF(E197="","",Rosters!U18)</f>
        <v/>
      </c>
      <c r="G197" t="str">
        <f t="shared" si="7"/>
        <v/>
      </c>
    </row>
    <row r="198" spans="1:7" x14ac:dyDescent="0.3">
      <c r="A198" t="str">
        <f t="shared" si="6"/>
        <v/>
      </c>
      <c r="B198" t="str">
        <f>IF(E198="","",Teams!A8)</f>
        <v/>
      </c>
      <c r="C198" t="str">
        <f>IF(E198="","",Teams!C8)</f>
        <v/>
      </c>
      <c r="D198" t="str">
        <f>IF(E198="","",Rosters!S19)</f>
        <v/>
      </c>
      <c r="E198" t="str">
        <f>IF(Rosters!T19="","",Rosters!T19)</f>
        <v/>
      </c>
      <c r="F198" t="str">
        <f>IF(E198="","",Rosters!U19)</f>
        <v/>
      </c>
      <c r="G198" t="str">
        <f t="shared" si="7"/>
        <v/>
      </c>
    </row>
    <row r="199" spans="1:7" x14ac:dyDescent="0.3">
      <c r="A199" t="str">
        <f t="shared" si="6"/>
        <v/>
      </c>
      <c r="B199" t="str">
        <f>IF(E199="","",Teams!A8)</f>
        <v/>
      </c>
      <c r="C199" t="str">
        <f>IF(E199="","",Teams!C8)</f>
        <v/>
      </c>
      <c r="D199" t="str">
        <f>IF(E199="","",Rosters!S20)</f>
        <v/>
      </c>
      <c r="E199" t="str">
        <f>IF(Rosters!T20="","",Rosters!T20)</f>
        <v/>
      </c>
      <c r="F199" t="str">
        <f>IF(E199="","",Rosters!U20)</f>
        <v/>
      </c>
      <c r="G199" t="str">
        <f t="shared" si="7"/>
        <v/>
      </c>
    </row>
    <row r="200" spans="1:7" x14ac:dyDescent="0.3">
      <c r="A200" t="str">
        <f t="shared" si="6"/>
        <v/>
      </c>
      <c r="B200" t="str">
        <f>IF(E200="","",Teams!A8)</f>
        <v/>
      </c>
      <c r="C200" t="str">
        <f>IF(E200="","",Teams!C8)</f>
        <v/>
      </c>
      <c r="D200" t="str">
        <f>IF(E200="","",Rosters!S21)</f>
        <v/>
      </c>
      <c r="E200" t="str">
        <f>IF(Rosters!T21="","",Rosters!T21)</f>
        <v/>
      </c>
      <c r="F200" t="str">
        <f>IF(E200="","",Rosters!U21)</f>
        <v/>
      </c>
      <c r="G200" t="str">
        <f t="shared" si="7"/>
        <v/>
      </c>
    </row>
    <row r="201" spans="1:7" x14ac:dyDescent="0.3">
      <c r="A201" t="str">
        <f t="shared" si="6"/>
        <v/>
      </c>
      <c r="B201" t="str">
        <f>IF(E201="","",Teams!A8)</f>
        <v/>
      </c>
      <c r="C201" t="str">
        <f>IF(E201="","",Teams!C8)</f>
        <v/>
      </c>
      <c r="D201" t="str">
        <f>IF(E201="","",Rosters!S22)</f>
        <v/>
      </c>
      <c r="E201" t="str">
        <f>IF(Rosters!T22="","",Rosters!T22)</f>
        <v/>
      </c>
      <c r="F201" t="str">
        <f>IF(E201="","",Rosters!U22)</f>
        <v/>
      </c>
      <c r="G201" t="str">
        <f t="shared" si="7"/>
        <v/>
      </c>
    </row>
    <row r="202" spans="1:7" x14ac:dyDescent="0.3">
      <c r="A202" t="str">
        <f t="shared" si="6"/>
        <v/>
      </c>
      <c r="B202" t="str">
        <f>IF(E202="","",Teams!A8)</f>
        <v/>
      </c>
      <c r="C202" t="str">
        <f>IF(E202="","",Teams!C8)</f>
        <v/>
      </c>
      <c r="D202" t="str">
        <f>IF(E202="","",Rosters!S23)</f>
        <v/>
      </c>
      <c r="E202" t="str">
        <f>IF(Rosters!T23="","",Rosters!T23)</f>
        <v/>
      </c>
      <c r="F202" t="str">
        <f>IF(E202="","",Rosters!U23)</f>
        <v/>
      </c>
      <c r="G202" t="str">
        <f t="shared" si="7"/>
        <v/>
      </c>
    </row>
    <row r="203" spans="1:7" x14ac:dyDescent="0.3">
      <c r="A203" t="str">
        <f t="shared" si="6"/>
        <v/>
      </c>
      <c r="B203" t="str">
        <f>IF(E203="","",Teams!A8)</f>
        <v/>
      </c>
      <c r="C203" t="str">
        <f>IF(E203="","",Teams!C8)</f>
        <v/>
      </c>
      <c r="D203" t="str">
        <f>IF(E203="","",Rosters!S24)</f>
        <v/>
      </c>
      <c r="E203" t="str">
        <f>IF(Rosters!T24="","",Rosters!T24)</f>
        <v/>
      </c>
      <c r="F203" t="str">
        <f>IF(E203="","",Rosters!U24)</f>
        <v/>
      </c>
      <c r="G203" t="str">
        <f t="shared" si="7"/>
        <v/>
      </c>
    </row>
    <row r="204" spans="1:7" x14ac:dyDescent="0.3">
      <c r="A204" t="str">
        <f t="shared" si="6"/>
        <v/>
      </c>
      <c r="B204" t="str">
        <f>IF(E204="","",Teams!A8)</f>
        <v/>
      </c>
      <c r="C204" t="str">
        <f>IF(E204="","",Teams!C8)</f>
        <v/>
      </c>
      <c r="D204" t="str">
        <f>IF(E204="","",Rosters!S25)</f>
        <v/>
      </c>
      <c r="E204" t="str">
        <f>IF(Rosters!T25="","",Rosters!T25)</f>
        <v/>
      </c>
      <c r="F204" t="str">
        <f>IF(E204="","",Rosters!U25)</f>
        <v/>
      </c>
      <c r="G204" t="str">
        <f t="shared" si="7"/>
        <v/>
      </c>
    </row>
    <row r="205" spans="1:7" x14ac:dyDescent="0.3">
      <c r="A205" t="str">
        <f t="shared" si="6"/>
        <v/>
      </c>
      <c r="B205" t="str">
        <f>IF(E205="","",Teams!A8)</f>
        <v/>
      </c>
      <c r="C205" t="str">
        <f>IF(E205="","",Teams!C8)</f>
        <v/>
      </c>
      <c r="D205" t="str">
        <f>IF(E205="","",Rosters!S26)</f>
        <v/>
      </c>
      <c r="E205" t="str">
        <f>IF(Rosters!T26="","",Rosters!T26)</f>
        <v/>
      </c>
      <c r="F205" t="str">
        <f>IF(E205="","",Rosters!U26)</f>
        <v/>
      </c>
      <c r="G205" t="str">
        <f t="shared" si="7"/>
        <v/>
      </c>
    </row>
    <row r="206" spans="1:7" x14ac:dyDescent="0.3">
      <c r="A206" t="str">
        <f t="shared" si="6"/>
        <v/>
      </c>
      <c r="B206" t="str">
        <f>IF(E206="","",Teams!A8)</f>
        <v/>
      </c>
      <c r="C206" t="str">
        <f>IF(E206="","",Teams!C8)</f>
        <v/>
      </c>
      <c r="D206" t="str">
        <f>IF(E206="","",Rosters!S27)</f>
        <v/>
      </c>
      <c r="E206" t="str">
        <f>IF(Rosters!T27="","",Rosters!T27)</f>
        <v/>
      </c>
      <c r="F206" t="str">
        <f>IF(E206="","",Rosters!U27)</f>
        <v/>
      </c>
      <c r="G206" t="str">
        <f t="shared" si="7"/>
        <v/>
      </c>
    </row>
    <row r="207" spans="1:7" x14ac:dyDescent="0.3">
      <c r="A207" t="str">
        <f t="shared" si="6"/>
        <v/>
      </c>
      <c r="B207" t="str">
        <f>IF(E207="","",Teams!A8)</f>
        <v/>
      </c>
      <c r="C207" t="str">
        <f>IF(E207="","",Teams!C8)</f>
        <v/>
      </c>
      <c r="D207" t="str">
        <f>IF(E207="","",Rosters!S28)</f>
        <v/>
      </c>
      <c r="E207" t="str">
        <f>IF(Rosters!T28="","",Rosters!T28)</f>
        <v/>
      </c>
      <c r="F207" t="str">
        <f>IF(E207="","",Rosters!U28)</f>
        <v/>
      </c>
      <c r="G207" t="str">
        <f t="shared" si="7"/>
        <v/>
      </c>
    </row>
    <row r="208" spans="1:7" x14ac:dyDescent="0.3">
      <c r="A208" t="str">
        <f t="shared" si="6"/>
        <v/>
      </c>
      <c r="B208" t="str">
        <f>IF(E208="","",Teams!A8)</f>
        <v/>
      </c>
      <c r="C208" t="str">
        <f>IF(E208="","",Teams!C8)</f>
        <v/>
      </c>
      <c r="D208" t="str">
        <f>IF(E208="","",Rosters!S29)</f>
        <v/>
      </c>
      <c r="E208" t="str">
        <f>IF(Rosters!T29="","",Rosters!T29)</f>
        <v/>
      </c>
      <c r="F208" t="str">
        <f>IF(E208="","",Rosters!U29)</f>
        <v/>
      </c>
      <c r="G208" t="str">
        <f t="shared" si="7"/>
        <v/>
      </c>
    </row>
    <row r="209" spans="1:7" x14ac:dyDescent="0.3">
      <c r="A209" t="str">
        <f t="shared" si="6"/>
        <v/>
      </c>
      <c r="B209" t="str">
        <f>IF(E209="","",Teams!A8)</f>
        <v/>
      </c>
      <c r="C209" t="str">
        <f>IF(E209="","",Teams!C8)</f>
        <v/>
      </c>
      <c r="D209" t="str">
        <f>IF(E209="","",Rosters!S30)</f>
        <v/>
      </c>
      <c r="E209" t="str">
        <f>IF(Rosters!T30="","",Rosters!T30)</f>
        <v/>
      </c>
      <c r="F209" t="str">
        <f>IF(E209="","",Rosters!U30)</f>
        <v/>
      </c>
      <c r="G209" t="str">
        <f t="shared" si="7"/>
        <v/>
      </c>
    </row>
    <row r="210" spans="1:7" x14ac:dyDescent="0.3">
      <c r="A210" t="str">
        <f t="shared" si="6"/>
        <v/>
      </c>
      <c r="B210" t="str">
        <f>IF(E210="","",Teams!A8)</f>
        <v/>
      </c>
      <c r="C210" t="str">
        <f>IF(E210="","",Teams!C8)</f>
        <v/>
      </c>
      <c r="D210" t="str">
        <f>IF(E210="","",Rosters!S31)</f>
        <v/>
      </c>
      <c r="E210" t="str">
        <f>IF(Rosters!T31="","",Rosters!T31)</f>
        <v/>
      </c>
      <c r="F210" t="str">
        <f>IF(E210="","",Rosters!U31)</f>
        <v/>
      </c>
      <c r="G210" t="str">
        <f t="shared" si="7"/>
        <v/>
      </c>
    </row>
    <row r="211" spans="1:7" x14ac:dyDescent="0.3">
      <c r="A211" t="str">
        <f t="shared" si="6"/>
        <v/>
      </c>
      <c r="B211" t="str">
        <f>IF(E211="","",Teams!A8)</f>
        <v/>
      </c>
      <c r="C211" t="str">
        <f>IF(E211="","",Teams!C8)</f>
        <v/>
      </c>
      <c r="D211" t="str">
        <f>IF(E211="","",Rosters!S32)</f>
        <v/>
      </c>
      <c r="E211" t="str">
        <f>IF(Rosters!T32="","",Rosters!T32)</f>
        <v/>
      </c>
      <c r="F211" t="str">
        <f>IF(E211="","",Rosters!U32)</f>
        <v/>
      </c>
      <c r="G211" t="str">
        <f t="shared" si="7"/>
        <v/>
      </c>
    </row>
    <row r="212" spans="1:7" x14ac:dyDescent="0.3">
      <c r="A212" t="str">
        <f t="shared" si="6"/>
        <v>P211</v>
      </c>
      <c r="B212" t="str">
        <f>IF(E212="","",Teams!A9)</f>
        <v>T08</v>
      </c>
      <c r="C212" t="str">
        <f>IF(E212="","",Teams!C9)</f>
        <v>Beverton</v>
      </c>
      <c r="D212">
        <f>IF(E212="","",Rosters!V3)</f>
        <v>4</v>
      </c>
      <c r="E212" t="str">
        <f>IF(Rosters!W3="","",Rosters!W3)</f>
        <v>SAMUEL MATTIELLO</v>
      </c>
      <c r="F212" t="str">
        <f>IF(E212="","",Rosters!X3)</f>
        <v>No</v>
      </c>
      <c r="G212" t="str">
        <f t="shared" si="7"/>
        <v>4 - SAMUEL MATTIELLO</v>
      </c>
    </row>
    <row r="213" spans="1:7" x14ac:dyDescent="0.3">
      <c r="A213" t="str">
        <f t="shared" si="6"/>
        <v>P212</v>
      </c>
      <c r="B213" t="str">
        <f>IF(E213="","",Teams!A9)</f>
        <v>T08</v>
      </c>
      <c r="C213" t="str">
        <f>IF(E213="","",Teams!C9)</f>
        <v>Beverton</v>
      </c>
      <c r="D213">
        <f>IF(E213="","",Rosters!V4)</f>
        <v>10</v>
      </c>
      <c r="E213" t="str">
        <f>IF(Rosters!W4="","",Rosters!W4)</f>
        <v>SAMUEL BONSU</v>
      </c>
      <c r="F213" t="str">
        <f>IF(E213="","",Rosters!X4)</f>
        <v>Yes</v>
      </c>
      <c r="G213" t="str">
        <f t="shared" si="7"/>
        <v>10 - SAMUEL BONSU (C)</v>
      </c>
    </row>
    <row r="214" spans="1:7" x14ac:dyDescent="0.3">
      <c r="A214" t="str">
        <f t="shared" si="6"/>
        <v>P213</v>
      </c>
      <c r="B214" t="str">
        <f>IF(E214="","",Teams!A9)</f>
        <v>T08</v>
      </c>
      <c r="C214" t="str">
        <f>IF(E214="","",Teams!C9)</f>
        <v>Beverton</v>
      </c>
      <c r="D214">
        <f>IF(E214="","",Rosters!V5)</f>
        <v>11</v>
      </c>
      <c r="E214" t="str">
        <f>IF(Rosters!W5="","",Rosters!W5)</f>
        <v>FILIPPO VENDRAMIN</v>
      </c>
      <c r="F214" t="str">
        <f>IF(E214="","",Rosters!X5)</f>
        <v>No</v>
      </c>
      <c r="G214" t="str">
        <f t="shared" si="7"/>
        <v>11 - FILIPPO VENDRAMIN</v>
      </c>
    </row>
    <row r="215" spans="1:7" x14ac:dyDescent="0.3">
      <c r="A215" t="str">
        <f t="shared" si="6"/>
        <v>P214</v>
      </c>
      <c r="B215" t="str">
        <f>IF(E215="","",Teams!A9)</f>
        <v>T08</v>
      </c>
      <c r="C215" t="str">
        <f>IF(E215="","",Teams!C9)</f>
        <v>Beverton</v>
      </c>
      <c r="D215">
        <f>IF(E215="","",Rosters!V6)</f>
        <v>14</v>
      </c>
      <c r="E215" t="str">
        <f>IF(Rosters!W6="","",Rosters!W6)</f>
        <v>MARCO GREGGIO</v>
      </c>
      <c r="F215" t="str">
        <f>IF(E215="","",Rosters!X6)</f>
        <v>No</v>
      </c>
      <c r="G215" t="str">
        <f t="shared" si="7"/>
        <v>14 - MARCO GREGGIO</v>
      </c>
    </row>
    <row r="216" spans="1:7" x14ac:dyDescent="0.3">
      <c r="A216" t="str">
        <f t="shared" si="6"/>
        <v>P215</v>
      </c>
      <c r="B216" t="str">
        <f>IF(E216="","",Teams!A9)</f>
        <v>T08</v>
      </c>
      <c r="C216" t="str">
        <f>IF(E216="","",Teams!C9)</f>
        <v>Beverton</v>
      </c>
      <c r="D216">
        <f>IF(E216="","",Rosters!V7)</f>
        <v>19</v>
      </c>
      <c r="E216" t="str">
        <f>IF(Rosters!W7="","",Rosters!W7)</f>
        <v>CHRISTIAN ZUCCATO</v>
      </c>
      <c r="F216" t="str">
        <f>IF(E216="","",Rosters!X7)</f>
        <v>No</v>
      </c>
      <c r="G216" t="str">
        <f t="shared" si="7"/>
        <v>19 - CHRISTIAN ZUCCATO</v>
      </c>
    </row>
    <row r="217" spans="1:7" x14ac:dyDescent="0.3">
      <c r="A217" t="str">
        <f t="shared" si="6"/>
        <v>P216</v>
      </c>
      <c r="B217" t="str">
        <f>IF(E217="","",Teams!A9)</f>
        <v>T08</v>
      </c>
      <c r="C217" t="str">
        <f>IF(E217="","",Teams!C9)</f>
        <v>Beverton</v>
      </c>
      <c r="D217">
        <f>IF(E217="","",Rosters!V8)</f>
        <v>21</v>
      </c>
      <c r="E217" t="str">
        <f>IF(Rosters!W8="","",Rosters!W8)</f>
        <v>MATTEO BARTOLOMEI</v>
      </c>
      <c r="F217" t="str">
        <f>IF(E217="","",Rosters!X8)</f>
        <v>No</v>
      </c>
      <c r="G217" t="str">
        <f t="shared" si="7"/>
        <v>21 - MATTEO BARTOLOMEI</v>
      </c>
    </row>
    <row r="218" spans="1:7" x14ac:dyDescent="0.3">
      <c r="A218" t="str">
        <f t="shared" si="6"/>
        <v/>
      </c>
      <c r="B218" t="str">
        <f>IF(E218="","",Teams!A9)</f>
        <v/>
      </c>
      <c r="C218" t="str">
        <f>IF(E218="","",Teams!C9)</f>
        <v/>
      </c>
      <c r="D218" t="str">
        <f>IF(E218="","",Rosters!V9)</f>
        <v/>
      </c>
      <c r="E218" t="str">
        <f>IF(Rosters!W9="","",Rosters!W9)</f>
        <v/>
      </c>
      <c r="F218" t="str">
        <f>IF(E218="","",Rosters!X9)</f>
        <v/>
      </c>
      <c r="G218" t="str">
        <f t="shared" si="7"/>
        <v/>
      </c>
    </row>
    <row r="219" spans="1:7" x14ac:dyDescent="0.3">
      <c r="A219" t="str">
        <f t="shared" si="6"/>
        <v/>
      </c>
      <c r="B219" t="str">
        <f>IF(E219="","",Teams!A9)</f>
        <v/>
      </c>
      <c r="C219" t="str">
        <f>IF(E219="","",Teams!C9)</f>
        <v/>
      </c>
      <c r="D219" t="str">
        <f>IF(E219="","",Rosters!V10)</f>
        <v/>
      </c>
      <c r="E219" t="str">
        <f>IF(Rosters!W10="","",Rosters!W10)</f>
        <v/>
      </c>
      <c r="F219" t="str">
        <f>IF(E219="","",Rosters!X10)</f>
        <v/>
      </c>
      <c r="G219" t="str">
        <f t="shared" si="7"/>
        <v/>
      </c>
    </row>
    <row r="220" spans="1:7" x14ac:dyDescent="0.3">
      <c r="A220" t="str">
        <f t="shared" si="6"/>
        <v/>
      </c>
      <c r="B220" t="str">
        <f>IF(E220="","",Teams!A9)</f>
        <v/>
      </c>
      <c r="C220" t="str">
        <f>IF(E220="","",Teams!C9)</f>
        <v/>
      </c>
      <c r="D220" t="str">
        <f>IF(E220="","",Rosters!V11)</f>
        <v/>
      </c>
      <c r="E220" t="str">
        <f>IF(Rosters!W11="","",Rosters!W11)</f>
        <v/>
      </c>
      <c r="F220" t="str">
        <f>IF(E220="","",Rosters!X11)</f>
        <v/>
      </c>
      <c r="G220" t="str">
        <f t="shared" si="7"/>
        <v/>
      </c>
    </row>
    <row r="221" spans="1:7" x14ac:dyDescent="0.3">
      <c r="A221" t="str">
        <f t="shared" si="6"/>
        <v/>
      </c>
      <c r="B221" t="str">
        <f>IF(E221="","",Teams!A9)</f>
        <v/>
      </c>
      <c r="C221" t="str">
        <f>IF(E221="","",Teams!C9)</f>
        <v/>
      </c>
      <c r="D221" t="str">
        <f>IF(E221="","",Rosters!V12)</f>
        <v/>
      </c>
      <c r="E221" t="str">
        <f>IF(Rosters!W12="","",Rosters!W12)</f>
        <v/>
      </c>
      <c r="F221" t="str">
        <f>IF(E221="","",Rosters!X12)</f>
        <v/>
      </c>
      <c r="G221" t="str">
        <f t="shared" si="7"/>
        <v/>
      </c>
    </row>
    <row r="222" spans="1:7" x14ac:dyDescent="0.3">
      <c r="A222" t="str">
        <f t="shared" si="6"/>
        <v/>
      </c>
      <c r="B222" t="str">
        <f>IF(E222="","",Teams!A9)</f>
        <v/>
      </c>
      <c r="C222" t="str">
        <f>IF(E222="","",Teams!C9)</f>
        <v/>
      </c>
      <c r="D222" t="str">
        <f>IF(E222="","",Rosters!V13)</f>
        <v/>
      </c>
      <c r="E222" t="str">
        <f>IF(Rosters!W13="","",Rosters!W13)</f>
        <v/>
      </c>
      <c r="F222" t="str">
        <f>IF(E222="","",Rosters!X13)</f>
        <v/>
      </c>
      <c r="G222" t="str">
        <f t="shared" si="7"/>
        <v/>
      </c>
    </row>
    <row r="223" spans="1:7" x14ac:dyDescent="0.3">
      <c r="A223" t="str">
        <f t="shared" si="6"/>
        <v/>
      </c>
      <c r="B223" t="str">
        <f>IF(E223="","",Teams!A9)</f>
        <v/>
      </c>
      <c r="C223" t="str">
        <f>IF(E223="","",Teams!C9)</f>
        <v/>
      </c>
      <c r="D223" t="str">
        <f>IF(E223="","",Rosters!V14)</f>
        <v/>
      </c>
      <c r="E223" t="str">
        <f>IF(Rosters!W14="","",Rosters!W14)</f>
        <v/>
      </c>
      <c r="F223" t="str">
        <f>IF(E223="","",Rosters!X14)</f>
        <v/>
      </c>
      <c r="G223" t="str">
        <f t="shared" si="7"/>
        <v/>
      </c>
    </row>
    <row r="224" spans="1:7" x14ac:dyDescent="0.3">
      <c r="A224" t="str">
        <f t="shared" si="6"/>
        <v/>
      </c>
      <c r="B224" t="str">
        <f>IF(E224="","",Teams!A9)</f>
        <v/>
      </c>
      <c r="C224" t="str">
        <f>IF(E224="","",Teams!C9)</f>
        <v/>
      </c>
      <c r="D224" t="str">
        <f>IF(E224="","",Rosters!V15)</f>
        <v/>
      </c>
      <c r="E224" t="str">
        <f>IF(Rosters!W15="","",Rosters!W15)</f>
        <v/>
      </c>
      <c r="F224" t="str">
        <f>IF(E224="","",Rosters!X15)</f>
        <v/>
      </c>
      <c r="G224" t="str">
        <f t="shared" si="7"/>
        <v/>
      </c>
    </row>
    <row r="225" spans="1:7" x14ac:dyDescent="0.3">
      <c r="A225" t="str">
        <f t="shared" si="6"/>
        <v/>
      </c>
      <c r="B225" t="str">
        <f>IF(E225="","",Teams!A9)</f>
        <v/>
      </c>
      <c r="C225" t="str">
        <f>IF(E225="","",Teams!C9)</f>
        <v/>
      </c>
      <c r="D225" t="str">
        <f>IF(E225="","",Rosters!V16)</f>
        <v/>
      </c>
      <c r="E225" t="str">
        <f>IF(Rosters!W16="","",Rosters!W16)</f>
        <v/>
      </c>
      <c r="F225" t="str">
        <f>IF(E225="","",Rosters!X16)</f>
        <v/>
      </c>
      <c r="G225" t="str">
        <f t="shared" si="7"/>
        <v/>
      </c>
    </row>
    <row r="226" spans="1:7" x14ac:dyDescent="0.3">
      <c r="A226" t="str">
        <f t="shared" si="6"/>
        <v/>
      </c>
      <c r="B226" t="str">
        <f>IF(E226="","",Teams!A9)</f>
        <v/>
      </c>
      <c r="C226" t="str">
        <f>IF(E226="","",Teams!C9)</f>
        <v/>
      </c>
      <c r="D226" t="str">
        <f>IF(E226="","",Rosters!V17)</f>
        <v/>
      </c>
      <c r="E226" t="str">
        <f>IF(Rosters!W17="","",Rosters!W17)</f>
        <v/>
      </c>
      <c r="F226" t="str">
        <f>IF(E226="","",Rosters!X17)</f>
        <v/>
      </c>
      <c r="G226" t="str">
        <f t="shared" si="7"/>
        <v/>
      </c>
    </row>
    <row r="227" spans="1:7" x14ac:dyDescent="0.3">
      <c r="A227" t="str">
        <f t="shared" si="6"/>
        <v/>
      </c>
      <c r="B227" t="str">
        <f>IF(E227="","",Teams!A9)</f>
        <v/>
      </c>
      <c r="C227" t="str">
        <f>IF(E227="","",Teams!C9)</f>
        <v/>
      </c>
      <c r="D227" t="str">
        <f>IF(E227="","",Rosters!V18)</f>
        <v/>
      </c>
      <c r="E227" t="str">
        <f>IF(Rosters!W18="","",Rosters!W18)</f>
        <v/>
      </c>
      <c r="F227" t="str">
        <f>IF(E227="","",Rosters!X18)</f>
        <v/>
      </c>
      <c r="G227" t="str">
        <f t="shared" si="7"/>
        <v/>
      </c>
    </row>
    <row r="228" spans="1:7" x14ac:dyDescent="0.3">
      <c r="A228" t="str">
        <f t="shared" si="6"/>
        <v/>
      </c>
      <c r="B228" t="str">
        <f>IF(E228="","",Teams!A9)</f>
        <v/>
      </c>
      <c r="C228" t="str">
        <f>IF(E228="","",Teams!C9)</f>
        <v/>
      </c>
      <c r="D228" t="str">
        <f>IF(E228="","",Rosters!V19)</f>
        <v/>
      </c>
      <c r="E228" t="str">
        <f>IF(Rosters!W19="","",Rosters!W19)</f>
        <v/>
      </c>
      <c r="F228" t="str">
        <f>IF(E228="","",Rosters!X19)</f>
        <v/>
      </c>
      <c r="G228" t="str">
        <f t="shared" si="7"/>
        <v/>
      </c>
    </row>
    <row r="229" spans="1:7" x14ac:dyDescent="0.3">
      <c r="A229" t="str">
        <f t="shared" si="6"/>
        <v/>
      </c>
      <c r="B229" t="str">
        <f>IF(E229="","",Teams!A9)</f>
        <v/>
      </c>
      <c r="C229" t="str">
        <f>IF(E229="","",Teams!C9)</f>
        <v/>
      </c>
      <c r="D229" t="str">
        <f>IF(E229="","",Rosters!V20)</f>
        <v/>
      </c>
      <c r="E229" t="str">
        <f>IF(Rosters!W20="","",Rosters!W20)</f>
        <v/>
      </c>
      <c r="F229" t="str">
        <f>IF(E229="","",Rosters!X20)</f>
        <v/>
      </c>
      <c r="G229" t="str">
        <f t="shared" si="7"/>
        <v/>
      </c>
    </row>
    <row r="230" spans="1:7" x14ac:dyDescent="0.3">
      <c r="A230" t="str">
        <f t="shared" si="6"/>
        <v/>
      </c>
      <c r="B230" t="str">
        <f>IF(E230="","",Teams!A9)</f>
        <v/>
      </c>
      <c r="C230" t="str">
        <f>IF(E230="","",Teams!C9)</f>
        <v/>
      </c>
      <c r="D230" t="str">
        <f>IF(E230="","",Rosters!V21)</f>
        <v/>
      </c>
      <c r="E230" t="str">
        <f>IF(Rosters!W21="","",Rosters!W21)</f>
        <v/>
      </c>
      <c r="F230" t="str">
        <f>IF(E230="","",Rosters!X21)</f>
        <v/>
      </c>
      <c r="G230" t="str">
        <f t="shared" si="7"/>
        <v/>
      </c>
    </row>
    <row r="231" spans="1:7" x14ac:dyDescent="0.3">
      <c r="A231" t="str">
        <f t="shared" si="6"/>
        <v/>
      </c>
      <c r="B231" t="str">
        <f>IF(E231="","",Teams!A9)</f>
        <v/>
      </c>
      <c r="C231" t="str">
        <f>IF(E231="","",Teams!C9)</f>
        <v/>
      </c>
      <c r="D231" t="str">
        <f>IF(E231="","",Rosters!V22)</f>
        <v/>
      </c>
      <c r="E231" t="str">
        <f>IF(Rosters!W22="","",Rosters!W22)</f>
        <v/>
      </c>
      <c r="F231" t="str">
        <f>IF(E231="","",Rosters!X22)</f>
        <v/>
      </c>
      <c r="G231" t="str">
        <f t="shared" si="7"/>
        <v/>
      </c>
    </row>
    <row r="232" spans="1:7" x14ac:dyDescent="0.3">
      <c r="A232" t="str">
        <f t="shared" si="6"/>
        <v/>
      </c>
      <c r="B232" t="str">
        <f>IF(E232="","",Teams!A9)</f>
        <v/>
      </c>
      <c r="C232" t="str">
        <f>IF(E232="","",Teams!C9)</f>
        <v/>
      </c>
      <c r="D232" t="str">
        <f>IF(E232="","",Rosters!V23)</f>
        <v/>
      </c>
      <c r="E232" t="str">
        <f>IF(Rosters!W23="","",Rosters!W23)</f>
        <v/>
      </c>
      <c r="F232" t="str">
        <f>IF(E232="","",Rosters!X23)</f>
        <v/>
      </c>
      <c r="G232" t="str">
        <f t="shared" si="7"/>
        <v/>
      </c>
    </row>
    <row r="233" spans="1:7" x14ac:dyDescent="0.3">
      <c r="A233" t="str">
        <f t="shared" si="6"/>
        <v/>
      </c>
      <c r="B233" t="str">
        <f>IF(E233="","",Teams!A9)</f>
        <v/>
      </c>
      <c r="C233" t="str">
        <f>IF(E233="","",Teams!C9)</f>
        <v/>
      </c>
      <c r="D233" t="str">
        <f>IF(E233="","",Rosters!V24)</f>
        <v/>
      </c>
      <c r="E233" t="str">
        <f>IF(Rosters!W24="","",Rosters!W24)</f>
        <v/>
      </c>
      <c r="F233" t="str">
        <f>IF(E233="","",Rosters!X24)</f>
        <v/>
      </c>
      <c r="G233" t="str">
        <f t="shared" si="7"/>
        <v/>
      </c>
    </row>
    <row r="234" spans="1:7" x14ac:dyDescent="0.3">
      <c r="A234" t="str">
        <f t="shared" si="6"/>
        <v/>
      </c>
      <c r="B234" t="str">
        <f>IF(E234="","",Teams!A9)</f>
        <v/>
      </c>
      <c r="C234" t="str">
        <f>IF(E234="","",Teams!C9)</f>
        <v/>
      </c>
      <c r="D234" t="str">
        <f>IF(E234="","",Rosters!V25)</f>
        <v/>
      </c>
      <c r="E234" t="str">
        <f>IF(Rosters!W25="","",Rosters!W25)</f>
        <v/>
      </c>
      <c r="F234" t="str">
        <f>IF(E234="","",Rosters!X25)</f>
        <v/>
      </c>
      <c r="G234" t="str">
        <f t="shared" si="7"/>
        <v/>
      </c>
    </row>
    <row r="235" spans="1:7" x14ac:dyDescent="0.3">
      <c r="A235" t="str">
        <f t="shared" si="6"/>
        <v/>
      </c>
      <c r="B235" t="str">
        <f>IF(E235="","",Teams!A9)</f>
        <v/>
      </c>
      <c r="C235" t="str">
        <f>IF(E235="","",Teams!C9)</f>
        <v/>
      </c>
      <c r="D235" t="str">
        <f>IF(E235="","",Rosters!V26)</f>
        <v/>
      </c>
      <c r="E235" t="str">
        <f>IF(Rosters!W26="","",Rosters!W26)</f>
        <v/>
      </c>
      <c r="F235" t="str">
        <f>IF(E235="","",Rosters!X26)</f>
        <v/>
      </c>
      <c r="G235" t="str">
        <f t="shared" si="7"/>
        <v/>
      </c>
    </row>
    <row r="236" spans="1:7" x14ac:dyDescent="0.3">
      <c r="A236" t="str">
        <f t="shared" si="6"/>
        <v/>
      </c>
      <c r="B236" t="str">
        <f>IF(E236="","",Teams!A9)</f>
        <v/>
      </c>
      <c r="C236" t="str">
        <f>IF(E236="","",Teams!C9)</f>
        <v/>
      </c>
      <c r="D236" t="str">
        <f>IF(E236="","",Rosters!V27)</f>
        <v/>
      </c>
      <c r="E236" t="str">
        <f>IF(Rosters!W27="","",Rosters!W27)</f>
        <v/>
      </c>
      <c r="F236" t="str">
        <f>IF(E236="","",Rosters!X27)</f>
        <v/>
      </c>
      <c r="G236" t="str">
        <f t="shared" si="7"/>
        <v/>
      </c>
    </row>
    <row r="237" spans="1:7" x14ac:dyDescent="0.3">
      <c r="A237" t="str">
        <f t="shared" si="6"/>
        <v/>
      </c>
      <c r="B237" t="str">
        <f>IF(E237="","",Teams!A9)</f>
        <v/>
      </c>
      <c r="C237" t="str">
        <f>IF(E237="","",Teams!C9)</f>
        <v/>
      </c>
      <c r="D237" t="str">
        <f>IF(E237="","",Rosters!V28)</f>
        <v/>
      </c>
      <c r="E237" t="str">
        <f>IF(Rosters!W28="","",Rosters!W28)</f>
        <v/>
      </c>
      <c r="F237" t="str">
        <f>IF(E237="","",Rosters!X28)</f>
        <v/>
      </c>
      <c r="G237" t="str">
        <f t="shared" si="7"/>
        <v/>
      </c>
    </row>
    <row r="238" spans="1:7" x14ac:dyDescent="0.3">
      <c r="A238" t="str">
        <f t="shared" si="6"/>
        <v/>
      </c>
      <c r="B238" t="str">
        <f>IF(E238="","",Teams!A9)</f>
        <v/>
      </c>
      <c r="C238" t="str">
        <f>IF(E238="","",Teams!C9)</f>
        <v/>
      </c>
      <c r="D238" t="str">
        <f>IF(E238="","",Rosters!V29)</f>
        <v/>
      </c>
      <c r="E238" t="str">
        <f>IF(Rosters!W29="","",Rosters!W29)</f>
        <v/>
      </c>
      <c r="F238" t="str">
        <f>IF(E238="","",Rosters!X29)</f>
        <v/>
      </c>
      <c r="G238" t="str">
        <f t="shared" si="7"/>
        <v/>
      </c>
    </row>
    <row r="239" spans="1:7" x14ac:dyDescent="0.3">
      <c r="A239" t="str">
        <f t="shared" si="6"/>
        <v/>
      </c>
      <c r="B239" t="str">
        <f>IF(E239="","",Teams!A9)</f>
        <v/>
      </c>
      <c r="C239" t="str">
        <f>IF(E239="","",Teams!C9)</f>
        <v/>
      </c>
      <c r="D239" t="str">
        <f>IF(E239="","",Rosters!V30)</f>
        <v/>
      </c>
      <c r="E239" t="str">
        <f>IF(Rosters!W30="","",Rosters!W30)</f>
        <v/>
      </c>
      <c r="F239" t="str">
        <f>IF(E239="","",Rosters!X30)</f>
        <v/>
      </c>
      <c r="G239" t="str">
        <f t="shared" si="7"/>
        <v/>
      </c>
    </row>
    <row r="240" spans="1:7" x14ac:dyDescent="0.3">
      <c r="A240" t="str">
        <f t="shared" si="6"/>
        <v/>
      </c>
      <c r="B240" t="str">
        <f>IF(E240="","",Teams!A9)</f>
        <v/>
      </c>
      <c r="C240" t="str">
        <f>IF(E240="","",Teams!C9)</f>
        <v/>
      </c>
      <c r="D240" t="str">
        <f>IF(E240="","",Rosters!V31)</f>
        <v/>
      </c>
      <c r="E240" t="str">
        <f>IF(Rosters!W31="","",Rosters!W31)</f>
        <v/>
      </c>
      <c r="F240" t="str">
        <f>IF(E240="","",Rosters!X31)</f>
        <v/>
      </c>
      <c r="G240" t="str">
        <f t="shared" si="7"/>
        <v/>
      </c>
    </row>
    <row r="241" spans="1:7" x14ac:dyDescent="0.3">
      <c r="A241" t="str">
        <f t="shared" si="6"/>
        <v/>
      </c>
      <c r="B241" t="str">
        <f>IF(E241="","",Teams!A9)</f>
        <v/>
      </c>
      <c r="C241" t="str">
        <f>IF(E241="","",Teams!C9)</f>
        <v/>
      </c>
      <c r="D241" t="str">
        <f>IF(E241="","",Rosters!V32)</f>
        <v/>
      </c>
      <c r="E241" t="str">
        <f>IF(Rosters!W32="","",Rosters!W32)</f>
        <v/>
      </c>
      <c r="F241" t="str">
        <f>IF(E241="","",Rosters!X32)</f>
        <v/>
      </c>
      <c r="G241" t="str">
        <f t="shared" si="7"/>
        <v/>
      </c>
    </row>
    <row r="242" spans="1:7" x14ac:dyDescent="0.3">
      <c r="A242" t="str">
        <f t="shared" si="6"/>
        <v>P241</v>
      </c>
      <c r="B242" t="str">
        <f>IF(E242="","",Teams!A10)</f>
        <v>T09</v>
      </c>
      <c r="C242" t="str">
        <f>IF(E242="","",Teams!C10)</f>
        <v>Leoni di Ricky</v>
      </c>
      <c r="D242">
        <f>IF(E242="","",Rosters!Y3)</f>
        <v>1</v>
      </c>
      <c r="E242" t="str">
        <f>IF(Rosters!Z3="","",Rosters!Z3)</f>
        <v>ANDREA DEGAN</v>
      </c>
      <c r="F242" t="str">
        <f>IF(E242="","",Rosters!AA3)</f>
        <v>No</v>
      </c>
      <c r="G242" t="str">
        <f t="shared" si="7"/>
        <v>1 - ANDREA DEGAN</v>
      </c>
    </row>
    <row r="243" spans="1:7" x14ac:dyDescent="0.3">
      <c r="A243" t="str">
        <f t="shared" si="6"/>
        <v>P242</v>
      </c>
      <c r="B243" t="str">
        <f>IF(E243="","",Teams!A10)</f>
        <v>T09</v>
      </c>
      <c r="C243" t="str">
        <f>IF(E243="","",Teams!C10)</f>
        <v>Leoni di Ricky</v>
      </c>
      <c r="D243">
        <f>IF(E243="","",Rosters!Y4)</f>
        <v>3</v>
      </c>
      <c r="E243" t="str">
        <f>IF(Rosters!Z4="","",Rosters!Z4)</f>
        <v>LEONARDO MAGGIO</v>
      </c>
      <c r="F243" t="str">
        <f>IF(E243="","",Rosters!AA4)</f>
        <v>No</v>
      </c>
      <c r="G243" t="str">
        <f t="shared" si="7"/>
        <v>3 - LEONARDO MAGGIO</v>
      </c>
    </row>
    <row r="244" spans="1:7" x14ac:dyDescent="0.3">
      <c r="A244" t="str">
        <f t="shared" si="6"/>
        <v>P243</v>
      </c>
      <c r="B244" t="str">
        <f>IF(E244="","",Teams!A10)</f>
        <v>T09</v>
      </c>
      <c r="C244" t="str">
        <f>IF(E244="","",Teams!C10)</f>
        <v>Leoni di Ricky</v>
      </c>
      <c r="D244">
        <f>IF(E244="","",Rosters!Y5)</f>
        <v>4</v>
      </c>
      <c r="E244" t="str">
        <f>IF(Rosters!Z5="","",Rosters!Z5)</f>
        <v>AMIN MASSAGHRI</v>
      </c>
      <c r="F244" t="str">
        <f>IF(E244="","",Rosters!AA5)</f>
        <v>Yes</v>
      </c>
      <c r="G244" t="str">
        <f t="shared" si="7"/>
        <v>4 - AMIN MASSAGHRI (C)</v>
      </c>
    </row>
    <row r="245" spans="1:7" x14ac:dyDescent="0.3">
      <c r="A245" t="str">
        <f t="shared" si="6"/>
        <v>P244</v>
      </c>
      <c r="B245" t="str">
        <f>IF(E245="","",Teams!A10)</f>
        <v>T09</v>
      </c>
      <c r="C245" t="str">
        <f>IF(E245="","",Teams!C10)</f>
        <v>Leoni di Ricky</v>
      </c>
      <c r="D245">
        <f>IF(E245="","",Rosters!Y6)</f>
        <v>5</v>
      </c>
      <c r="E245" t="str">
        <f>IF(Rosters!Z6="","",Rosters!Z6)</f>
        <v>PIETRO VIOLATO</v>
      </c>
      <c r="F245" t="str">
        <f>IF(E245="","",Rosters!AA6)</f>
        <v>No</v>
      </c>
      <c r="G245" t="str">
        <f t="shared" si="7"/>
        <v>5 - PIETRO VIOLATO</v>
      </c>
    </row>
    <row r="246" spans="1:7" x14ac:dyDescent="0.3">
      <c r="A246" t="str">
        <f t="shared" si="6"/>
        <v>P245</v>
      </c>
      <c r="B246" t="str">
        <f>IF(E246="","",Teams!A10)</f>
        <v>T09</v>
      </c>
      <c r="C246" t="str">
        <f>IF(E246="","",Teams!C10)</f>
        <v>Leoni di Ricky</v>
      </c>
      <c r="D246">
        <f>IF(E246="","",Rosters!Y7)</f>
        <v>6</v>
      </c>
      <c r="E246" t="str">
        <f>IF(Rosters!Z7="","",Rosters!Z7)</f>
        <v>MARCO THOMPSON</v>
      </c>
      <c r="F246" t="str">
        <f>IF(E246="","",Rosters!AA7)</f>
        <v>No</v>
      </c>
      <c r="G246" t="str">
        <f t="shared" si="7"/>
        <v>6 - MARCO THOMPSON</v>
      </c>
    </row>
    <row r="247" spans="1:7" x14ac:dyDescent="0.3">
      <c r="A247" t="str">
        <f t="shared" si="6"/>
        <v>P246</v>
      </c>
      <c r="B247" t="str">
        <f>IF(E247="","",Teams!A10)</f>
        <v>T09</v>
      </c>
      <c r="C247" t="str">
        <f>IF(E247="","",Teams!C10)</f>
        <v>Leoni di Ricky</v>
      </c>
      <c r="D247">
        <f>IF(E247="","",Rosters!Y8)</f>
        <v>8</v>
      </c>
      <c r="E247" t="str">
        <f>IF(Rosters!Z8="","",Rosters!Z8)</f>
        <v>GIACOMO BORTOLIERO</v>
      </c>
      <c r="F247" t="str">
        <f>IF(E247="","",Rosters!AA8)</f>
        <v>No</v>
      </c>
      <c r="G247" t="str">
        <f t="shared" si="7"/>
        <v>8 - GIACOMO BORTOLIERO</v>
      </c>
    </row>
    <row r="248" spans="1:7" x14ac:dyDescent="0.3">
      <c r="A248" t="str">
        <f t="shared" si="6"/>
        <v>P247</v>
      </c>
      <c r="B248" t="str">
        <f>IF(E248="","",Teams!A10)</f>
        <v>T09</v>
      </c>
      <c r="C248" t="str">
        <f>IF(E248="","",Teams!C10)</f>
        <v>Leoni di Ricky</v>
      </c>
      <c r="D248">
        <f>IF(E248="","",Rosters!Y9)</f>
        <v>10</v>
      </c>
      <c r="E248" t="str">
        <f>IF(Rosters!Z9="","",Rosters!Z9)</f>
        <v>ANDREI BARZAGHIDEANU</v>
      </c>
      <c r="F248" t="str">
        <f>IF(E248="","",Rosters!AA9)</f>
        <v>No</v>
      </c>
      <c r="G248" t="str">
        <f t="shared" si="7"/>
        <v>10 - ANDREI BARZAGHIDEANU</v>
      </c>
    </row>
    <row r="249" spans="1:7" x14ac:dyDescent="0.3">
      <c r="A249" t="str">
        <f t="shared" si="6"/>
        <v>P248</v>
      </c>
      <c r="B249" t="str">
        <f>IF(E249="","",Teams!A10)</f>
        <v>T09</v>
      </c>
      <c r="C249" t="str">
        <f>IF(E249="","",Teams!C10)</f>
        <v>Leoni di Ricky</v>
      </c>
      <c r="D249">
        <f>IF(E249="","",Rosters!Y10)</f>
        <v>14</v>
      </c>
      <c r="E249" t="str">
        <f>IF(Rosters!Z10="","",Rosters!Z10)</f>
        <v>VLAD GABRIEL DUMINICA</v>
      </c>
      <c r="F249" t="str">
        <f>IF(E249="","",Rosters!AA10)</f>
        <v>No</v>
      </c>
      <c r="G249" t="str">
        <f t="shared" si="7"/>
        <v>14 - VLAD GABRIEL DUMINICA</v>
      </c>
    </row>
    <row r="250" spans="1:7" x14ac:dyDescent="0.3">
      <c r="A250" t="str">
        <f t="shared" si="6"/>
        <v>P249</v>
      </c>
      <c r="B250" t="str">
        <f>IF(E250="","",Teams!A10)</f>
        <v>T09</v>
      </c>
      <c r="C250" t="str">
        <f>IF(E250="","",Teams!C10)</f>
        <v>Leoni di Ricky</v>
      </c>
      <c r="D250">
        <f>IF(E250="","",Rosters!Y11)</f>
        <v>20</v>
      </c>
      <c r="E250" t="str">
        <f>IF(Rosters!Z11="","",Rosters!Z11)</f>
        <v>TOMMASO ZANGIROLAMI</v>
      </c>
      <c r="F250" t="str">
        <f>IF(E250="","",Rosters!AA11)</f>
        <v>No</v>
      </c>
      <c r="G250" t="str">
        <f t="shared" si="7"/>
        <v>20 - TOMMASO ZANGIROLAMI</v>
      </c>
    </row>
    <row r="251" spans="1:7" x14ac:dyDescent="0.3">
      <c r="A251" t="str">
        <f t="shared" si="6"/>
        <v/>
      </c>
      <c r="B251" t="str">
        <f>IF(E251="","",Teams!A10)</f>
        <v/>
      </c>
      <c r="C251" t="str">
        <f>IF(E251="","",Teams!C10)</f>
        <v/>
      </c>
      <c r="D251" t="str">
        <f>IF(E251="","",Rosters!Y12)</f>
        <v/>
      </c>
      <c r="E251" t="str">
        <f>IF(Rosters!Z12="","",Rosters!Z12)</f>
        <v/>
      </c>
      <c r="F251" t="str">
        <f>IF(E251="","",Rosters!AA12)</f>
        <v/>
      </c>
      <c r="G251" t="str">
        <f t="shared" si="7"/>
        <v/>
      </c>
    </row>
    <row r="252" spans="1:7" x14ac:dyDescent="0.3">
      <c r="A252" t="str">
        <f t="shared" si="6"/>
        <v/>
      </c>
      <c r="B252" t="str">
        <f>IF(E252="","",Teams!A10)</f>
        <v/>
      </c>
      <c r="C252" t="str">
        <f>IF(E252="","",Teams!C10)</f>
        <v/>
      </c>
      <c r="D252" t="str">
        <f>IF(E252="","",Rosters!Y13)</f>
        <v/>
      </c>
      <c r="E252" t="str">
        <f>IF(Rosters!Z13="","",Rosters!Z13)</f>
        <v/>
      </c>
      <c r="F252" t="str">
        <f>IF(E252="","",Rosters!AA13)</f>
        <v/>
      </c>
      <c r="G252" t="str">
        <f t="shared" si="7"/>
        <v/>
      </c>
    </row>
    <row r="253" spans="1:7" x14ac:dyDescent="0.3">
      <c r="A253" t="str">
        <f t="shared" si="6"/>
        <v/>
      </c>
      <c r="B253" t="str">
        <f>IF(E253="","",Teams!A10)</f>
        <v/>
      </c>
      <c r="C253" t="str">
        <f>IF(E253="","",Teams!C10)</f>
        <v/>
      </c>
      <c r="D253" t="str">
        <f>IF(E253="","",Rosters!Y14)</f>
        <v/>
      </c>
      <c r="E253" t="str">
        <f>IF(Rosters!Z14="","",Rosters!Z14)</f>
        <v/>
      </c>
      <c r="F253" t="str">
        <f>IF(E253="","",Rosters!AA14)</f>
        <v/>
      </c>
      <c r="G253" t="str">
        <f t="shared" si="7"/>
        <v/>
      </c>
    </row>
    <row r="254" spans="1:7" x14ac:dyDescent="0.3">
      <c r="A254" t="str">
        <f t="shared" si="6"/>
        <v/>
      </c>
      <c r="B254" t="str">
        <f>IF(E254="","",Teams!A10)</f>
        <v/>
      </c>
      <c r="C254" t="str">
        <f>IF(E254="","",Teams!C10)</f>
        <v/>
      </c>
      <c r="D254" t="str">
        <f>IF(E254="","",Rosters!Y15)</f>
        <v/>
      </c>
      <c r="E254" t="str">
        <f>IF(Rosters!Z15="","",Rosters!Z15)</f>
        <v/>
      </c>
      <c r="F254" t="str">
        <f>IF(E254="","",Rosters!AA15)</f>
        <v/>
      </c>
      <c r="G254" t="str">
        <f t="shared" si="7"/>
        <v/>
      </c>
    </row>
    <row r="255" spans="1:7" x14ac:dyDescent="0.3">
      <c r="A255" t="str">
        <f t="shared" si="6"/>
        <v/>
      </c>
      <c r="B255" t="str">
        <f>IF(E255="","",Teams!A10)</f>
        <v/>
      </c>
      <c r="C255" t="str">
        <f>IF(E255="","",Teams!C10)</f>
        <v/>
      </c>
      <c r="D255" t="str">
        <f>IF(E255="","",Rosters!Y16)</f>
        <v/>
      </c>
      <c r="E255" t="str">
        <f>IF(Rosters!Z16="","",Rosters!Z16)</f>
        <v/>
      </c>
      <c r="F255" t="str">
        <f>IF(E255="","",Rosters!AA16)</f>
        <v/>
      </c>
      <c r="G255" t="str">
        <f t="shared" si="7"/>
        <v/>
      </c>
    </row>
    <row r="256" spans="1:7" x14ac:dyDescent="0.3">
      <c r="A256" t="str">
        <f t="shared" si="6"/>
        <v/>
      </c>
      <c r="B256" t="str">
        <f>IF(E256="","",Teams!A10)</f>
        <v/>
      </c>
      <c r="C256" t="str">
        <f>IF(E256="","",Teams!C10)</f>
        <v/>
      </c>
      <c r="D256" t="str">
        <f>IF(E256="","",Rosters!Y17)</f>
        <v/>
      </c>
      <c r="E256" t="str">
        <f>IF(Rosters!Z17="","",Rosters!Z17)</f>
        <v/>
      </c>
      <c r="F256" t="str">
        <f>IF(E256="","",Rosters!AA17)</f>
        <v/>
      </c>
      <c r="G256" t="str">
        <f t="shared" si="7"/>
        <v/>
      </c>
    </row>
    <row r="257" spans="1:7" x14ac:dyDescent="0.3">
      <c r="A257" t="str">
        <f t="shared" si="6"/>
        <v/>
      </c>
      <c r="B257" t="str">
        <f>IF(E257="","",Teams!A10)</f>
        <v/>
      </c>
      <c r="C257" t="str">
        <f>IF(E257="","",Teams!C10)</f>
        <v/>
      </c>
      <c r="D257" t="str">
        <f>IF(E257="","",Rosters!Y18)</f>
        <v/>
      </c>
      <c r="E257" t="str">
        <f>IF(Rosters!Z18="","",Rosters!Z18)</f>
        <v/>
      </c>
      <c r="F257" t="str">
        <f>IF(E257="","",Rosters!AA18)</f>
        <v/>
      </c>
      <c r="G257" t="str">
        <f t="shared" si="7"/>
        <v/>
      </c>
    </row>
    <row r="258" spans="1:7" x14ac:dyDescent="0.3">
      <c r="A258" t="str">
        <f t="shared" ref="A258:A321" si="8">IF(E258="","","P"&amp;TEXT(ROW()-1,"000"))</f>
        <v/>
      </c>
      <c r="B258" t="str">
        <f>IF(E258="","",Teams!A10)</f>
        <v/>
      </c>
      <c r="C258" t="str">
        <f>IF(E258="","",Teams!C10)</f>
        <v/>
      </c>
      <c r="D258" t="str">
        <f>IF(E258="","",Rosters!Y19)</f>
        <v/>
      </c>
      <c r="E258" t="str">
        <f>IF(Rosters!Z19="","",Rosters!Z19)</f>
        <v/>
      </c>
      <c r="F258" t="str">
        <f>IF(E258="","",Rosters!AA19)</f>
        <v/>
      </c>
      <c r="G258" t="str">
        <f t="shared" ref="G258:G321" si="9">IF(E258="","",IF(D258="","",D258&amp;" - ")&amp;E258&amp;IF(F258="Yes"," (C)",""))</f>
        <v/>
      </c>
    </row>
    <row r="259" spans="1:7" x14ac:dyDescent="0.3">
      <c r="A259" t="str">
        <f t="shared" si="8"/>
        <v/>
      </c>
      <c r="B259" t="str">
        <f>IF(E259="","",Teams!A10)</f>
        <v/>
      </c>
      <c r="C259" t="str">
        <f>IF(E259="","",Teams!C10)</f>
        <v/>
      </c>
      <c r="D259" t="str">
        <f>IF(E259="","",Rosters!Y20)</f>
        <v/>
      </c>
      <c r="E259" t="str">
        <f>IF(Rosters!Z20="","",Rosters!Z20)</f>
        <v/>
      </c>
      <c r="F259" t="str">
        <f>IF(E259="","",Rosters!AA20)</f>
        <v/>
      </c>
      <c r="G259" t="str">
        <f t="shared" si="9"/>
        <v/>
      </c>
    </row>
    <row r="260" spans="1:7" x14ac:dyDescent="0.3">
      <c r="A260" t="str">
        <f t="shared" si="8"/>
        <v/>
      </c>
      <c r="B260" t="str">
        <f>IF(E260="","",Teams!A10)</f>
        <v/>
      </c>
      <c r="C260" t="str">
        <f>IF(E260="","",Teams!C10)</f>
        <v/>
      </c>
      <c r="D260" t="str">
        <f>IF(E260="","",Rosters!Y21)</f>
        <v/>
      </c>
      <c r="E260" t="str">
        <f>IF(Rosters!Z21="","",Rosters!Z21)</f>
        <v/>
      </c>
      <c r="F260" t="str">
        <f>IF(E260="","",Rosters!AA21)</f>
        <v/>
      </c>
      <c r="G260" t="str">
        <f t="shared" si="9"/>
        <v/>
      </c>
    </row>
    <row r="261" spans="1:7" x14ac:dyDescent="0.3">
      <c r="A261" t="str">
        <f t="shared" si="8"/>
        <v/>
      </c>
      <c r="B261" t="str">
        <f>IF(E261="","",Teams!A10)</f>
        <v/>
      </c>
      <c r="C261" t="str">
        <f>IF(E261="","",Teams!C10)</f>
        <v/>
      </c>
      <c r="D261" t="str">
        <f>IF(E261="","",Rosters!Y22)</f>
        <v/>
      </c>
      <c r="E261" t="str">
        <f>IF(Rosters!Z22="","",Rosters!Z22)</f>
        <v/>
      </c>
      <c r="F261" t="str">
        <f>IF(E261="","",Rosters!AA22)</f>
        <v/>
      </c>
      <c r="G261" t="str">
        <f t="shared" si="9"/>
        <v/>
      </c>
    </row>
    <row r="262" spans="1:7" x14ac:dyDescent="0.3">
      <c r="A262" t="str">
        <f t="shared" si="8"/>
        <v/>
      </c>
      <c r="B262" t="str">
        <f>IF(E262="","",Teams!A10)</f>
        <v/>
      </c>
      <c r="C262" t="str">
        <f>IF(E262="","",Teams!C10)</f>
        <v/>
      </c>
      <c r="D262" t="str">
        <f>IF(E262="","",Rosters!Y23)</f>
        <v/>
      </c>
      <c r="E262" t="str">
        <f>IF(Rosters!Z23="","",Rosters!Z23)</f>
        <v/>
      </c>
      <c r="F262" t="str">
        <f>IF(E262="","",Rosters!AA23)</f>
        <v/>
      </c>
      <c r="G262" t="str">
        <f t="shared" si="9"/>
        <v/>
      </c>
    </row>
    <row r="263" spans="1:7" x14ac:dyDescent="0.3">
      <c r="A263" t="str">
        <f t="shared" si="8"/>
        <v/>
      </c>
      <c r="B263" t="str">
        <f>IF(E263="","",Teams!A10)</f>
        <v/>
      </c>
      <c r="C263" t="str">
        <f>IF(E263="","",Teams!C10)</f>
        <v/>
      </c>
      <c r="D263" t="str">
        <f>IF(E263="","",Rosters!Y24)</f>
        <v/>
      </c>
      <c r="E263" t="str">
        <f>IF(Rosters!Z24="","",Rosters!Z24)</f>
        <v/>
      </c>
      <c r="F263" t="str">
        <f>IF(E263="","",Rosters!AA24)</f>
        <v/>
      </c>
      <c r="G263" t="str">
        <f t="shared" si="9"/>
        <v/>
      </c>
    </row>
    <row r="264" spans="1:7" x14ac:dyDescent="0.3">
      <c r="A264" t="str">
        <f t="shared" si="8"/>
        <v/>
      </c>
      <c r="B264" t="str">
        <f>IF(E264="","",Teams!A10)</f>
        <v/>
      </c>
      <c r="C264" t="str">
        <f>IF(E264="","",Teams!C10)</f>
        <v/>
      </c>
      <c r="D264" t="str">
        <f>IF(E264="","",Rosters!Y25)</f>
        <v/>
      </c>
      <c r="E264" t="str">
        <f>IF(Rosters!Z25="","",Rosters!Z25)</f>
        <v/>
      </c>
      <c r="F264" t="str">
        <f>IF(E264="","",Rosters!AA25)</f>
        <v/>
      </c>
      <c r="G264" t="str">
        <f t="shared" si="9"/>
        <v/>
      </c>
    </row>
    <row r="265" spans="1:7" x14ac:dyDescent="0.3">
      <c r="A265" t="str">
        <f t="shared" si="8"/>
        <v/>
      </c>
      <c r="B265" t="str">
        <f>IF(E265="","",Teams!A10)</f>
        <v/>
      </c>
      <c r="C265" t="str">
        <f>IF(E265="","",Teams!C10)</f>
        <v/>
      </c>
      <c r="D265" t="str">
        <f>IF(E265="","",Rosters!Y26)</f>
        <v/>
      </c>
      <c r="E265" t="str">
        <f>IF(Rosters!Z26="","",Rosters!Z26)</f>
        <v/>
      </c>
      <c r="F265" t="str">
        <f>IF(E265="","",Rosters!AA26)</f>
        <v/>
      </c>
      <c r="G265" t="str">
        <f t="shared" si="9"/>
        <v/>
      </c>
    </row>
    <row r="266" spans="1:7" x14ac:dyDescent="0.3">
      <c r="A266" t="str">
        <f t="shared" si="8"/>
        <v/>
      </c>
      <c r="B266" t="str">
        <f>IF(E266="","",Teams!A10)</f>
        <v/>
      </c>
      <c r="C266" t="str">
        <f>IF(E266="","",Teams!C10)</f>
        <v/>
      </c>
      <c r="D266" t="str">
        <f>IF(E266="","",Rosters!Y27)</f>
        <v/>
      </c>
      <c r="E266" t="str">
        <f>IF(Rosters!Z27="","",Rosters!Z27)</f>
        <v/>
      </c>
      <c r="F266" t="str">
        <f>IF(E266="","",Rosters!AA27)</f>
        <v/>
      </c>
      <c r="G266" t="str">
        <f t="shared" si="9"/>
        <v/>
      </c>
    </row>
    <row r="267" spans="1:7" x14ac:dyDescent="0.3">
      <c r="A267" t="str">
        <f t="shared" si="8"/>
        <v/>
      </c>
      <c r="B267" t="str">
        <f>IF(E267="","",Teams!A10)</f>
        <v/>
      </c>
      <c r="C267" t="str">
        <f>IF(E267="","",Teams!C10)</f>
        <v/>
      </c>
      <c r="D267" t="str">
        <f>IF(E267="","",Rosters!Y28)</f>
        <v/>
      </c>
      <c r="E267" t="str">
        <f>IF(Rosters!Z28="","",Rosters!Z28)</f>
        <v/>
      </c>
      <c r="F267" t="str">
        <f>IF(E267="","",Rosters!AA28)</f>
        <v/>
      </c>
      <c r="G267" t="str">
        <f t="shared" si="9"/>
        <v/>
      </c>
    </row>
    <row r="268" spans="1:7" x14ac:dyDescent="0.3">
      <c r="A268" t="str">
        <f t="shared" si="8"/>
        <v/>
      </c>
      <c r="B268" t="str">
        <f>IF(E268="","",Teams!A10)</f>
        <v/>
      </c>
      <c r="C268" t="str">
        <f>IF(E268="","",Teams!C10)</f>
        <v/>
      </c>
      <c r="D268" t="str">
        <f>IF(E268="","",Rosters!Y29)</f>
        <v/>
      </c>
      <c r="E268" t="str">
        <f>IF(Rosters!Z29="","",Rosters!Z29)</f>
        <v/>
      </c>
      <c r="F268" t="str">
        <f>IF(E268="","",Rosters!AA29)</f>
        <v/>
      </c>
      <c r="G268" t="str">
        <f t="shared" si="9"/>
        <v/>
      </c>
    </row>
    <row r="269" spans="1:7" x14ac:dyDescent="0.3">
      <c r="A269" t="str">
        <f t="shared" si="8"/>
        <v/>
      </c>
      <c r="B269" t="str">
        <f>IF(E269="","",Teams!A10)</f>
        <v/>
      </c>
      <c r="C269" t="str">
        <f>IF(E269="","",Teams!C10)</f>
        <v/>
      </c>
      <c r="D269" t="str">
        <f>IF(E269="","",Rosters!Y30)</f>
        <v/>
      </c>
      <c r="E269" t="str">
        <f>IF(Rosters!Z30="","",Rosters!Z30)</f>
        <v/>
      </c>
      <c r="F269" t="str">
        <f>IF(E269="","",Rosters!AA30)</f>
        <v/>
      </c>
      <c r="G269" t="str">
        <f t="shared" si="9"/>
        <v/>
      </c>
    </row>
    <row r="270" spans="1:7" x14ac:dyDescent="0.3">
      <c r="A270" t="str">
        <f t="shared" si="8"/>
        <v/>
      </c>
      <c r="B270" t="str">
        <f>IF(E270="","",Teams!A10)</f>
        <v/>
      </c>
      <c r="C270" t="str">
        <f>IF(E270="","",Teams!C10)</f>
        <v/>
      </c>
      <c r="D270" t="str">
        <f>IF(E270="","",Rosters!Y31)</f>
        <v/>
      </c>
      <c r="E270" t="str">
        <f>IF(Rosters!Z31="","",Rosters!Z31)</f>
        <v/>
      </c>
      <c r="F270" t="str">
        <f>IF(E270="","",Rosters!AA31)</f>
        <v/>
      </c>
      <c r="G270" t="str">
        <f t="shared" si="9"/>
        <v/>
      </c>
    </row>
    <row r="271" spans="1:7" x14ac:dyDescent="0.3">
      <c r="A271" t="str">
        <f t="shared" si="8"/>
        <v/>
      </c>
      <c r="B271" t="str">
        <f>IF(E271="","",Teams!A10)</f>
        <v/>
      </c>
      <c r="C271" t="str">
        <f>IF(E271="","",Teams!C10)</f>
        <v/>
      </c>
      <c r="D271" t="str">
        <f>IF(E271="","",Rosters!Y32)</f>
        <v/>
      </c>
      <c r="E271" t="str">
        <f>IF(Rosters!Z32="","",Rosters!Z32)</f>
        <v/>
      </c>
      <c r="F271" t="str">
        <f>IF(E271="","",Rosters!AA32)</f>
        <v/>
      </c>
      <c r="G271" t="str">
        <f t="shared" si="9"/>
        <v/>
      </c>
    </row>
    <row r="272" spans="1:7" x14ac:dyDescent="0.3">
      <c r="A272" t="str">
        <f t="shared" si="8"/>
        <v>P271</v>
      </c>
      <c r="B272" t="str">
        <f>IF(E272="","",Teams!A11)</f>
        <v>T10</v>
      </c>
      <c r="C272" t="str">
        <f>IF(E272="","",Teams!C11)</f>
        <v>Pink 5ive</v>
      </c>
      <c r="D272">
        <f>IF(E272="","",Rosters!AB3)</f>
        <v>4</v>
      </c>
      <c r="E272" t="str">
        <f>IF(Rosters!AC3="","",Rosters!AC3)</f>
        <v>LORENZO BOSCOLO</v>
      </c>
      <c r="F272" t="str">
        <f>IF(E272="","",Rosters!AD3)</f>
        <v>No</v>
      </c>
      <c r="G272" t="str">
        <f t="shared" si="9"/>
        <v>4 - LORENZO BOSCOLO</v>
      </c>
    </row>
    <row r="273" spans="1:7" x14ac:dyDescent="0.3">
      <c r="A273" t="str">
        <f t="shared" si="8"/>
        <v>P272</v>
      </c>
      <c r="B273" t="str">
        <f>IF(E273="","",Teams!A11)</f>
        <v>T10</v>
      </c>
      <c r="C273" t="str">
        <f>IF(E273="","",Teams!C11)</f>
        <v>Pink 5ive</v>
      </c>
      <c r="D273">
        <f>IF(E273="","",Rosters!AB4)</f>
        <v>7</v>
      </c>
      <c r="E273" t="str">
        <f>IF(Rosters!AC4="","",Rosters!AC4)</f>
        <v>ELIA SICCHIERO</v>
      </c>
      <c r="F273" t="str">
        <f>IF(E273="","",Rosters!AD4)</f>
        <v>No</v>
      </c>
      <c r="G273" t="str">
        <f t="shared" si="9"/>
        <v>7 - ELIA SICCHIERO</v>
      </c>
    </row>
    <row r="274" spans="1:7" x14ac:dyDescent="0.3">
      <c r="A274" t="str">
        <f t="shared" si="8"/>
        <v>P273</v>
      </c>
      <c r="B274" t="str">
        <f>IF(E274="","",Teams!A11)</f>
        <v>T10</v>
      </c>
      <c r="C274" t="str">
        <f>IF(E274="","",Teams!C11)</f>
        <v>Pink 5ive</v>
      </c>
      <c r="D274">
        <f>IF(E274="","",Rosters!AB5)</f>
        <v>9</v>
      </c>
      <c r="E274" t="str">
        <f>IF(Rosters!AC5="","",Rosters!AC5)</f>
        <v>GIOVANNI VERONESE</v>
      </c>
      <c r="F274" t="str">
        <f>IF(E274="","",Rosters!AD5)</f>
        <v>No</v>
      </c>
      <c r="G274" t="str">
        <f t="shared" si="9"/>
        <v>9 - GIOVANNI VERONESE</v>
      </c>
    </row>
    <row r="275" spans="1:7" x14ac:dyDescent="0.3">
      <c r="A275" t="str">
        <f t="shared" si="8"/>
        <v>P274</v>
      </c>
      <c r="B275" t="str">
        <f>IF(E275="","",Teams!A11)</f>
        <v>T10</v>
      </c>
      <c r="C275" t="str">
        <f>IF(E275="","",Teams!C11)</f>
        <v>Pink 5ive</v>
      </c>
      <c r="D275">
        <f>IF(E275="","",Rosters!AB6)</f>
        <v>10</v>
      </c>
      <c r="E275" t="str">
        <f>IF(Rosters!AC6="","",Rosters!AC6)</f>
        <v>NICCOLO' PALTANIN</v>
      </c>
      <c r="F275" t="str">
        <f>IF(E275="","",Rosters!AD6)</f>
        <v>No</v>
      </c>
      <c r="G275" t="str">
        <f t="shared" si="9"/>
        <v>10 - NICCOLO' PALTANIN</v>
      </c>
    </row>
    <row r="276" spans="1:7" x14ac:dyDescent="0.3">
      <c r="A276" t="str">
        <f t="shared" si="8"/>
        <v>P275</v>
      </c>
      <c r="B276" t="str">
        <f>IF(E276="","",Teams!A11)</f>
        <v>T10</v>
      </c>
      <c r="C276" t="str">
        <f>IF(E276="","",Teams!C11)</f>
        <v>Pink 5ive</v>
      </c>
      <c r="D276">
        <f>IF(E276="","",Rosters!AB7)</f>
        <v>15</v>
      </c>
      <c r="E276" t="str">
        <f>IF(Rosters!AC7="","",Rosters!AC7)</f>
        <v>LUCA CAVALLARO</v>
      </c>
      <c r="F276" t="str">
        <f>IF(E276="","",Rosters!AD7)</f>
        <v>No</v>
      </c>
      <c r="G276" t="str">
        <f t="shared" si="9"/>
        <v>15 - LUCA CAVALLARO</v>
      </c>
    </row>
    <row r="277" spans="1:7" x14ac:dyDescent="0.3">
      <c r="A277" t="str">
        <f t="shared" si="8"/>
        <v>P276</v>
      </c>
      <c r="B277" t="str">
        <f>IF(E277="","",Teams!A11)</f>
        <v>T10</v>
      </c>
      <c r="C277" t="str">
        <f>IF(E277="","",Teams!C11)</f>
        <v>Pink 5ive</v>
      </c>
      <c r="D277">
        <f>IF(E277="","",Rosters!AB8)</f>
        <v>19</v>
      </c>
      <c r="E277" t="str">
        <f>IF(Rosters!AC8="","",Rosters!AC8)</f>
        <v>MATTEO CAMPION</v>
      </c>
      <c r="F277" t="str">
        <f>IF(E277="","",Rosters!AD8)</f>
        <v>No</v>
      </c>
      <c r="G277" t="str">
        <f t="shared" si="9"/>
        <v>19 - MATTEO CAMPION</v>
      </c>
    </row>
    <row r="278" spans="1:7" x14ac:dyDescent="0.3">
      <c r="A278" t="str">
        <f t="shared" si="8"/>
        <v>P277</v>
      </c>
      <c r="B278" t="str">
        <f>IF(E278="","",Teams!A11)</f>
        <v>T10</v>
      </c>
      <c r="C278" t="str">
        <f>IF(E278="","",Teams!C11)</f>
        <v>Pink 5ive</v>
      </c>
      <c r="D278">
        <f>IF(E278="","",Rosters!AB9)</f>
        <v>21</v>
      </c>
      <c r="E278" t="str">
        <f>IF(Rosters!AC9="","",Rosters!AC9)</f>
        <v>LEONARDO BEDENDO</v>
      </c>
      <c r="F278" t="str">
        <f>IF(E278="","",Rosters!AD9)</f>
        <v>No</v>
      </c>
      <c r="G278" t="str">
        <f t="shared" si="9"/>
        <v>21 - LEONARDO BEDENDO</v>
      </c>
    </row>
    <row r="279" spans="1:7" x14ac:dyDescent="0.3">
      <c r="A279" t="str">
        <f t="shared" si="8"/>
        <v>P278</v>
      </c>
      <c r="B279" t="str">
        <f>IF(E279="","",Teams!A11)</f>
        <v>T10</v>
      </c>
      <c r="C279" t="str">
        <f>IF(E279="","",Teams!C11)</f>
        <v>Pink 5ive</v>
      </c>
      <c r="D279">
        <f>IF(E279="","",Rosters!AB10)</f>
        <v>29</v>
      </c>
      <c r="E279" t="str">
        <f>IF(Rosters!AC10="","",Rosters!AC10)</f>
        <v>LUCA BERNARDINELLO</v>
      </c>
      <c r="F279" t="str">
        <f>IF(E279="","",Rosters!AD10)</f>
        <v>No</v>
      </c>
      <c r="G279" t="str">
        <f t="shared" si="9"/>
        <v>29 - LUCA BERNARDINELLO</v>
      </c>
    </row>
    <row r="280" spans="1:7" x14ac:dyDescent="0.3">
      <c r="A280" t="str">
        <f t="shared" si="8"/>
        <v>P279</v>
      </c>
      <c r="B280" t="str">
        <f>IF(E280="","",Teams!A11)</f>
        <v>T10</v>
      </c>
      <c r="C280" t="str">
        <f>IF(E280="","",Teams!C11)</f>
        <v>Pink 5ive</v>
      </c>
      <c r="D280">
        <f>IF(E280="","",Rosters!AB11)</f>
        <v>63</v>
      </c>
      <c r="E280" t="str">
        <f>IF(Rosters!AC11="","",Rosters!AC11)</f>
        <v>LEONARDO VERONESE</v>
      </c>
      <c r="F280" t="str">
        <f>IF(E280="","",Rosters!AD11)</f>
        <v>Yes</v>
      </c>
      <c r="G280" t="str">
        <f t="shared" si="9"/>
        <v>63 - LEONARDO VERONESE (C)</v>
      </c>
    </row>
    <row r="281" spans="1:7" x14ac:dyDescent="0.3">
      <c r="A281" t="str">
        <f t="shared" si="8"/>
        <v>P280</v>
      </c>
      <c r="B281" t="str">
        <f>IF(E281="","",Teams!A11)</f>
        <v>T10</v>
      </c>
      <c r="C281" t="str">
        <f>IF(E281="","",Teams!C11)</f>
        <v>Pink 5ive</v>
      </c>
      <c r="D281">
        <f>IF(E281="","",Rosters!AB12)</f>
        <v>95</v>
      </c>
      <c r="E281" t="str">
        <f>IF(Rosters!AC12="","",Rosters!AC12)</f>
        <v>MATTIA COLTRO</v>
      </c>
      <c r="F281" t="str">
        <f>IF(E281="","",Rosters!AD12)</f>
        <v>No</v>
      </c>
      <c r="G281" t="str">
        <f t="shared" si="9"/>
        <v>95 - MATTIA COLTRO</v>
      </c>
    </row>
    <row r="282" spans="1:7" x14ac:dyDescent="0.3">
      <c r="A282" t="str">
        <f t="shared" si="8"/>
        <v/>
      </c>
      <c r="B282" t="str">
        <f>IF(E282="","",Teams!A11)</f>
        <v/>
      </c>
      <c r="C282" t="str">
        <f>IF(E282="","",Teams!C11)</f>
        <v/>
      </c>
      <c r="D282" t="str">
        <f>IF(E282="","",Rosters!AB13)</f>
        <v/>
      </c>
      <c r="E282" t="str">
        <f>IF(Rosters!AC13="","",Rosters!AC13)</f>
        <v/>
      </c>
      <c r="F282" t="str">
        <f>IF(E282="","",Rosters!AD13)</f>
        <v/>
      </c>
      <c r="G282" t="str">
        <f t="shared" si="9"/>
        <v/>
      </c>
    </row>
    <row r="283" spans="1:7" x14ac:dyDescent="0.3">
      <c r="A283" t="str">
        <f t="shared" si="8"/>
        <v/>
      </c>
      <c r="B283" t="str">
        <f>IF(E283="","",Teams!A11)</f>
        <v/>
      </c>
      <c r="C283" t="str">
        <f>IF(E283="","",Teams!C11)</f>
        <v/>
      </c>
      <c r="D283" t="str">
        <f>IF(E283="","",Rosters!AB14)</f>
        <v/>
      </c>
      <c r="E283" t="str">
        <f>IF(Rosters!AC14="","",Rosters!AC14)</f>
        <v/>
      </c>
      <c r="F283" t="str">
        <f>IF(E283="","",Rosters!AD14)</f>
        <v/>
      </c>
      <c r="G283" t="str">
        <f t="shared" si="9"/>
        <v/>
      </c>
    </row>
    <row r="284" spans="1:7" x14ac:dyDescent="0.3">
      <c r="A284" t="str">
        <f t="shared" si="8"/>
        <v/>
      </c>
      <c r="B284" t="str">
        <f>IF(E284="","",Teams!A11)</f>
        <v/>
      </c>
      <c r="C284" t="str">
        <f>IF(E284="","",Teams!C11)</f>
        <v/>
      </c>
      <c r="D284" t="str">
        <f>IF(E284="","",Rosters!AB15)</f>
        <v/>
      </c>
      <c r="E284" t="str">
        <f>IF(Rosters!AC15="","",Rosters!AC15)</f>
        <v/>
      </c>
      <c r="F284" t="str">
        <f>IF(E284="","",Rosters!AD15)</f>
        <v/>
      </c>
      <c r="G284" t="str">
        <f t="shared" si="9"/>
        <v/>
      </c>
    </row>
    <row r="285" spans="1:7" x14ac:dyDescent="0.3">
      <c r="A285" t="str">
        <f t="shared" si="8"/>
        <v/>
      </c>
      <c r="B285" t="str">
        <f>IF(E285="","",Teams!A11)</f>
        <v/>
      </c>
      <c r="C285" t="str">
        <f>IF(E285="","",Teams!C11)</f>
        <v/>
      </c>
      <c r="D285" t="str">
        <f>IF(E285="","",Rosters!AB16)</f>
        <v/>
      </c>
      <c r="E285" t="str">
        <f>IF(Rosters!AC16="","",Rosters!AC16)</f>
        <v/>
      </c>
      <c r="F285" t="str">
        <f>IF(E285="","",Rosters!AD16)</f>
        <v/>
      </c>
      <c r="G285" t="str">
        <f t="shared" si="9"/>
        <v/>
      </c>
    </row>
    <row r="286" spans="1:7" x14ac:dyDescent="0.3">
      <c r="A286" t="str">
        <f t="shared" si="8"/>
        <v/>
      </c>
      <c r="B286" t="str">
        <f>IF(E286="","",Teams!A11)</f>
        <v/>
      </c>
      <c r="C286" t="str">
        <f>IF(E286="","",Teams!C11)</f>
        <v/>
      </c>
      <c r="D286" t="str">
        <f>IF(E286="","",Rosters!AB17)</f>
        <v/>
      </c>
      <c r="E286" t="str">
        <f>IF(Rosters!AC17="","",Rosters!AC17)</f>
        <v/>
      </c>
      <c r="F286" t="str">
        <f>IF(E286="","",Rosters!AD17)</f>
        <v/>
      </c>
      <c r="G286" t="str">
        <f t="shared" si="9"/>
        <v/>
      </c>
    </row>
    <row r="287" spans="1:7" x14ac:dyDescent="0.3">
      <c r="A287" t="str">
        <f t="shared" si="8"/>
        <v/>
      </c>
      <c r="B287" t="str">
        <f>IF(E287="","",Teams!A11)</f>
        <v/>
      </c>
      <c r="C287" t="str">
        <f>IF(E287="","",Teams!C11)</f>
        <v/>
      </c>
      <c r="D287" t="str">
        <f>IF(E287="","",Rosters!AB18)</f>
        <v/>
      </c>
      <c r="E287" t="str">
        <f>IF(Rosters!AC18="","",Rosters!AC18)</f>
        <v/>
      </c>
      <c r="F287" t="str">
        <f>IF(E287="","",Rosters!AD18)</f>
        <v/>
      </c>
      <c r="G287" t="str">
        <f t="shared" si="9"/>
        <v/>
      </c>
    </row>
    <row r="288" spans="1:7" x14ac:dyDescent="0.3">
      <c r="A288" t="str">
        <f t="shared" si="8"/>
        <v/>
      </c>
      <c r="B288" t="str">
        <f>IF(E288="","",Teams!A11)</f>
        <v/>
      </c>
      <c r="C288" t="str">
        <f>IF(E288="","",Teams!C11)</f>
        <v/>
      </c>
      <c r="D288" t="str">
        <f>IF(E288="","",Rosters!AB19)</f>
        <v/>
      </c>
      <c r="E288" t="str">
        <f>IF(Rosters!AC19="","",Rosters!AC19)</f>
        <v/>
      </c>
      <c r="F288" t="str">
        <f>IF(E288="","",Rosters!AD19)</f>
        <v/>
      </c>
      <c r="G288" t="str">
        <f t="shared" si="9"/>
        <v/>
      </c>
    </row>
    <row r="289" spans="1:7" x14ac:dyDescent="0.3">
      <c r="A289" t="str">
        <f t="shared" si="8"/>
        <v/>
      </c>
      <c r="B289" t="str">
        <f>IF(E289="","",Teams!A11)</f>
        <v/>
      </c>
      <c r="C289" t="str">
        <f>IF(E289="","",Teams!C11)</f>
        <v/>
      </c>
      <c r="D289" t="str">
        <f>IF(E289="","",Rosters!AB20)</f>
        <v/>
      </c>
      <c r="E289" t="str">
        <f>IF(Rosters!AC20="","",Rosters!AC20)</f>
        <v/>
      </c>
      <c r="F289" t="str">
        <f>IF(E289="","",Rosters!AD20)</f>
        <v/>
      </c>
      <c r="G289" t="str">
        <f t="shared" si="9"/>
        <v/>
      </c>
    </row>
    <row r="290" spans="1:7" x14ac:dyDescent="0.3">
      <c r="A290" t="str">
        <f t="shared" si="8"/>
        <v/>
      </c>
      <c r="B290" t="str">
        <f>IF(E290="","",Teams!A11)</f>
        <v/>
      </c>
      <c r="C290" t="str">
        <f>IF(E290="","",Teams!C11)</f>
        <v/>
      </c>
      <c r="D290" t="str">
        <f>IF(E290="","",Rosters!AB21)</f>
        <v/>
      </c>
      <c r="E290" t="str">
        <f>IF(Rosters!AC21="","",Rosters!AC21)</f>
        <v/>
      </c>
      <c r="F290" t="str">
        <f>IF(E290="","",Rosters!AD21)</f>
        <v/>
      </c>
      <c r="G290" t="str">
        <f t="shared" si="9"/>
        <v/>
      </c>
    </row>
    <row r="291" spans="1:7" x14ac:dyDescent="0.3">
      <c r="A291" t="str">
        <f t="shared" si="8"/>
        <v/>
      </c>
      <c r="B291" t="str">
        <f>IF(E291="","",Teams!A11)</f>
        <v/>
      </c>
      <c r="C291" t="str">
        <f>IF(E291="","",Teams!C11)</f>
        <v/>
      </c>
      <c r="D291" t="str">
        <f>IF(E291="","",Rosters!AB22)</f>
        <v/>
      </c>
      <c r="E291" t="str">
        <f>IF(Rosters!AC22="","",Rosters!AC22)</f>
        <v/>
      </c>
      <c r="F291" t="str">
        <f>IF(E291="","",Rosters!AD22)</f>
        <v/>
      </c>
      <c r="G291" t="str">
        <f t="shared" si="9"/>
        <v/>
      </c>
    </row>
    <row r="292" spans="1:7" x14ac:dyDescent="0.3">
      <c r="A292" t="str">
        <f t="shared" si="8"/>
        <v/>
      </c>
      <c r="B292" t="str">
        <f>IF(E292="","",Teams!A11)</f>
        <v/>
      </c>
      <c r="C292" t="str">
        <f>IF(E292="","",Teams!C11)</f>
        <v/>
      </c>
      <c r="D292" t="str">
        <f>IF(E292="","",Rosters!AB23)</f>
        <v/>
      </c>
      <c r="E292" t="str">
        <f>IF(Rosters!AC23="","",Rosters!AC23)</f>
        <v/>
      </c>
      <c r="F292" t="str">
        <f>IF(E292="","",Rosters!AD23)</f>
        <v/>
      </c>
      <c r="G292" t="str">
        <f t="shared" si="9"/>
        <v/>
      </c>
    </row>
    <row r="293" spans="1:7" x14ac:dyDescent="0.3">
      <c r="A293" t="str">
        <f t="shared" si="8"/>
        <v/>
      </c>
      <c r="B293" t="str">
        <f>IF(E293="","",Teams!A11)</f>
        <v/>
      </c>
      <c r="C293" t="str">
        <f>IF(E293="","",Teams!C11)</f>
        <v/>
      </c>
      <c r="D293" t="str">
        <f>IF(E293="","",Rosters!AB24)</f>
        <v/>
      </c>
      <c r="E293" t="str">
        <f>IF(Rosters!AC24="","",Rosters!AC24)</f>
        <v/>
      </c>
      <c r="F293" t="str">
        <f>IF(E293="","",Rosters!AD24)</f>
        <v/>
      </c>
      <c r="G293" t="str">
        <f t="shared" si="9"/>
        <v/>
      </c>
    </row>
    <row r="294" spans="1:7" x14ac:dyDescent="0.3">
      <c r="A294" t="str">
        <f t="shared" si="8"/>
        <v/>
      </c>
      <c r="B294" t="str">
        <f>IF(E294="","",Teams!A11)</f>
        <v/>
      </c>
      <c r="C294" t="str">
        <f>IF(E294="","",Teams!C11)</f>
        <v/>
      </c>
      <c r="D294" t="str">
        <f>IF(E294="","",Rosters!AB25)</f>
        <v/>
      </c>
      <c r="E294" t="str">
        <f>IF(Rosters!AC25="","",Rosters!AC25)</f>
        <v/>
      </c>
      <c r="F294" t="str">
        <f>IF(E294="","",Rosters!AD25)</f>
        <v/>
      </c>
      <c r="G294" t="str">
        <f t="shared" si="9"/>
        <v/>
      </c>
    </row>
    <row r="295" spans="1:7" x14ac:dyDescent="0.3">
      <c r="A295" t="str">
        <f t="shared" si="8"/>
        <v/>
      </c>
      <c r="B295" t="str">
        <f>IF(E295="","",Teams!A11)</f>
        <v/>
      </c>
      <c r="C295" t="str">
        <f>IF(E295="","",Teams!C11)</f>
        <v/>
      </c>
      <c r="D295" t="str">
        <f>IF(E295="","",Rosters!AB26)</f>
        <v/>
      </c>
      <c r="E295" t="str">
        <f>IF(Rosters!AC26="","",Rosters!AC26)</f>
        <v/>
      </c>
      <c r="F295" t="str">
        <f>IF(E295="","",Rosters!AD26)</f>
        <v/>
      </c>
      <c r="G295" t="str">
        <f t="shared" si="9"/>
        <v/>
      </c>
    </row>
    <row r="296" spans="1:7" x14ac:dyDescent="0.3">
      <c r="A296" t="str">
        <f t="shared" si="8"/>
        <v/>
      </c>
      <c r="B296" t="str">
        <f>IF(E296="","",Teams!A11)</f>
        <v/>
      </c>
      <c r="C296" t="str">
        <f>IF(E296="","",Teams!C11)</f>
        <v/>
      </c>
      <c r="D296" t="str">
        <f>IF(E296="","",Rosters!AB27)</f>
        <v/>
      </c>
      <c r="E296" t="str">
        <f>IF(Rosters!AC27="","",Rosters!AC27)</f>
        <v/>
      </c>
      <c r="F296" t="str">
        <f>IF(E296="","",Rosters!AD27)</f>
        <v/>
      </c>
      <c r="G296" t="str">
        <f t="shared" si="9"/>
        <v/>
      </c>
    </row>
    <row r="297" spans="1:7" x14ac:dyDescent="0.3">
      <c r="A297" t="str">
        <f t="shared" si="8"/>
        <v/>
      </c>
      <c r="B297" t="str">
        <f>IF(E297="","",Teams!A11)</f>
        <v/>
      </c>
      <c r="C297" t="str">
        <f>IF(E297="","",Teams!C11)</f>
        <v/>
      </c>
      <c r="D297" t="str">
        <f>IF(E297="","",Rosters!AB28)</f>
        <v/>
      </c>
      <c r="E297" t="str">
        <f>IF(Rosters!AC28="","",Rosters!AC28)</f>
        <v/>
      </c>
      <c r="F297" t="str">
        <f>IF(E297="","",Rosters!AD28)</f>
        <v/>
      </c>
      <c r="G297" t="str">
        <f t="shared" si="9"/>
        <v/>
      </c>
    </row>
    <row r="298" spans="1:7" x14ac:dyDescent="0.3">
      <c r="A298" t="str">
        <f t="shared" si="8"/>
        <v/>
      </c>
      <c r="B298" t="str">
        <f>IF(E298="","",Teams!A11)</f>
        <v/>
      </c>
      <c r="C298" t="str">
        <f>IF(E298="","",Teams!C11)</f>
        <v/>
      </c>
      <c r="D298" t="str">
        <f>IF(E298="","",Rosters!AB29)</f>
        <v/>
      </c>
      <c r="E298" t="str">
        <f>IF(Rosters!AC29="","",Rosters!AC29)</f>
        <v/>
      </c>
      <c r="F298" t="str">
        <f>IF(E298="","",Rosters!AD29)</f>
        <v/>
      </c>
      <c r="G298" t="str">
        <f t="shared" si="9"/>
        <v/>
      </c>
    </row>
    <row r="299" spans="1:7" x14ac:dyDescent="0.3">
      <c r="A299" t="str">
        <f t="shared" si="8"/>
        <v/>
      </c>
      <c r="B299" t="str">
        <f>IF(E299="","",Teams!A11)</f>
        <v/>
      </c>
      <c r="C299" t="str">
        <f>IF(E299="","",Teams!C11)</f>
        <v/>
      </c>
      <c r="D299" t="str">
        <f>IF(E299="","",Rosters!AB30)</f>
        <v/>
      </c>
      <c r="E299" t="str">
        <f>IF(Rosters!AC30="","",Rosters!AC30)</f>
        <v/>
      </c>
      <c r="F299" t="str">
        <f>IF(E299="","",Rosters!AD30)</f>
        <v/>
      </c>
      <c r="G299" t="str">
        <f t="shared" si="9"/>
        <v/>
      </c>
    </row>
    <row r="300" spans="1:7" x14ac:dyDescent="0.3">
      <c r="A300" t="str">
        <f t="shared" si="8"/>
        <v/>
      </c>
      <c r="B300" t="str">
        <f>IF(E300="","",Teams!A11)</f>
        <v/>
      </c>
      <c r="C300" t="str">
        <f>IF(E300="","",Teams!C11)</f>
        <v/>
      </c>
      <c r="D300" t="str">
        <f>IF(E300="","",Rosters!AB31)</f>
        <v/>
      </c>
      <c r="E300" t="str">
        <f>IF(Rosters!AC31="","",Rosters!AC31)</f>
        <v/>
      </c>
      <c r="F300" t="str">
        <f>IF(E300="","",Rosters!AD31)</f>
        <v/>
      </c>
      <c r="G300" t="str">
        <f t="shared" si="9"/>
        <v/>
      </c>
    </row>
    <row r="301" spans="1:7" x14ac:dyDescent="0.3">
      <c r="A301" t="str">
        <f t="shared" si="8"/>
        <v/>
      </c>
      <c r="B301" t="str">
        <f>IF(E301="","",Teams!A11)</f>
        <v/>
      </c>
      <c r="C301" t="str">
        <f>IF(E301="","",Teams!C11)</f>
        <v/>
      </c>
      <c r="D301" t="str">
        <f>IF(E301="","",Rosters!AB32)</f>
        <v/>
      </c>
      <c r="E301" t="str">
        <f>IF(Rosters!AC32="","",Rosters!AC32)</f>
        <v/>
      </c>
      <c r="F301" t="str">
        <f>IF(E301="","",Rosters!AD32)</f>
        <v/>
      </c>
      <c r="G301" t="str">
        <f t="shared" si="9"/>
        <v/>
      </c>
    </row>
    <row r="302" spans="1:7" x14ac:dyDescent="0.3">
      <c r="A302" t="str">
        <f t="shared" si="8"/>
        <v>P301</v>
      </c>
      <c r="B302" t="str">
        <f>IF(E302="","",Teams!A12)</f>
        <v>T11</v>
      </c>
      <c r="C302" t="str">
        <f>IF(E302="","",Teams!C12)</f>
        <v>Barrio Boys</v>
      </c>
      <c r="D302">
        <f>IF(E302="","",Rosters!AE3)</f>
        <v>1</v>
      </c>
      <c r="E302" t="str">
        <f>IF(Rosters!AF3="","",Rosters!AF3)</f>
        <v>NICCOLÒ LIMAJ</v>
      </c>
      <c r="F302" t="str">
        <f>IF(E302="","",Rosters!AG3)</f>
        <v>No</v>
      </c>
      <c r="G302" t="str">
        <f t="shared" si="9"/>
        <v>1 - NICCOLÒ LIMAJ</v>
      </c>
    </row>
    <row r="303" spans="1:7" x14ac:dyDescent="0.3">
      <c r="A303" t="str">
        <f t="shared" si="8"/>
        <v>P302</v>
      </c>
      <c r="B303" t="str">
        <f>IF(E303="","",Teams!A12)</f>
        <v>T11</v>
      </c>
      <c r="C303" t="str">
        <f>IF(E303="","",Teams!C12)</f>
        <v>Barrio Boys</v>
      </c>
      <c r="D303">
        <f>IF(E303="","",Rosters!AE4)</f>
        <v>2</v>
      </c>
      <c r="E303" t="str">
        <f>IF(Rosters!AF4="","",Rosters!AF4)</f>
        <v>LUCA NONNATO</v>
      </c>
      <c r="F303" t="str">
        <f>IF(E303="","",Rosters!AG4)</f>
        <v>No</v>
      </c>
      <c r="G303" t="str">
        <f t="shared" si="9"/>
        <v>2 - LUCA NONNATO</v>
      </c>
    </row>
    <row r="304" spans="1:7" x14ac:dyDescent="0.3">
      <c r="A304" t="str">
        <f t="shared" si="8"/>
        <v>P303</v>
      </c>
      <c r="B304" t="str">
        <f>IF(E304="","",Teams!A12)</f>
        <v>T11</v>
      </c>
      <c r="C304" t="str">
        <f>IF(E304="","",Teams!C12)</f>
        <v>Barrio Boys</v>
      </c>
      <c r="D304">
        <f>IF(E304="","",Rosters!AE5)</f>
        <v>7</v>
      </c>
      <c r="E304" t="str">
        <f>IF(Rosters!AF5="","",Rosters!AF5)</f>
        <v>FRANCESCO BERARDI</v>
      </c>
      <c r="F304" t="str">
        <f>IF(E304="","",Rosters!AG5)</f>
        <v>No</v>
      </c>
      <c r="G304" t="str">
        <f t="shared" si="9"/>
        <v>7 - FRANCESCO BERARDI</v>
      </c>
    </row>
    <row r="305" spans="1:7" x14ac:dyDescent="0.3">
      <c r="A305" t="str">
        <f t="shared" si="8"/>
        <v>P304</v>
      </c>
      <c r="B305" t="str">
        <f>IF(E305="","",Teams!A12)</f>
        <v>T11</v>
      </c>
      <c r="C305" t="str">
        <f>IF(E305="","",Teams!C12)</f>
        <v>Barrio Boys</v>
      </c>
      <c r="D305">
        <f>IF(E305="","",Rosters!AE6)</f>
        <v>8</v>
      </c>
      <c r="E305" t="str">
        <f>IF(Rosters!AF6="","",Rosters!AF6)</f>
        <v>FRANCESCO MARANGON</v>
      </c>
      <c r="F305" t="str">
        <f>IF(E305="","",Rosters!AG6)</f>
        <v>No</v>
      </c>
      <c r="G305" t="str">
        <f t="shared" si="9"/>
        <v>8 - FRANCESCO MARANGON</v>
      </c>
    </row>
    <row r="306" spans="1:7" x14ac:dyDescent="0.3">
      <c r="A306" t="str">
        <f t="shared" si="8"/>
        <v>P305</v>
      </c>
      <c r="B306" t="str">
        <f>IF(E306="","",Teams!A12)</f>
        <v>T11</v>
      </c>
      <c r="C306" t="str">
        <f>IF(E306="","",Teams!C12)</f>
        <v>Barrio Boys</v>
      </c>
      <c r="D306">
        <f>IF(E306="","",Rosters!AE7)</f>
        <v>9</v>
      </c>
      <c r="E306" t="str">
        <f>IF(Rosters!AF7="","",Rosters!AF7)</f>
        <v>GIMMY MANARI</v>
      </c>
      <c r="F306" t="str">
        <f>IF(E306="","",Rosters!AG7)</f>
        <v>No</v>
      </c>
      <c r="G306" t="str">
        <f t="shared" si="9"/>
        <v>9 - GIMMY MANARI</v>
      </c>
    </row>
    <row r="307" spans="1:7" x14ac:dyDescent="0.3">
      <c r="A307" t="str">
        <f t="shared" si="8"/>
        <v>P306</v>
      </c>
      <c r="B307" t="str">
        <f>IF(E307="","",Teams!A12)</f>
        <v>T11</v>
      </c>
      <c r="C307" t="str">
        <f>IF(E307="","",Teams!C12)</f>
        <v>Barrio Boys</v>
      </c>
      <c r="D307">
        <f>IF(E307="","",Rosters!AE8)</f>
        <v>10</v>
      </c>
      <c r="E307" t="str">
        <f>IF(Rosters!AF8="","",Rosters!AF8)</f>
        <v>CRISTIAN MICUCCI</v>
      </c>
      <c r="F307" t="str">
        <f>IF(E307="","",Rosters!AG8)</f>
        <v>Yes</v>
      </c>
      <c r="G307" t="str">
        <f t="shared" si="9"/>
        <v>10 - CRISTIAN MICUCCI (C)</v>
      </c>
    </row>
    <row r="308" spans="1:7" x14ac:dyDescent="0.3">
      <c r="A308" t="str">
        <f t="shared" si="8"/>
        <v>P307</v>
      </c>
      <c r="B308" t="str">
        <f>IF(E308="","",Teams!A12)</f>
        <v>T11</v>
      </c>
      <c r="C308" t="str">
        <f>IF(E308="","",Teams!C12)</f>
        <v>Barrio Boys</v>
      </c>
      <c r="D308">
        <f>IF(E308="","",Rosters!AE9)</f>
        <v>11</v>
      </c>
      <c r="E308" t="str">
        <f>IF(Rosters!AF9="","",Rosters!AF9)</f>
        <v>RICCARDO ALESSIO</v>
      </c>
      <c r="F308" t="str">
        <f>IF(E308="","",Rosters!AG9)</f>
        <v>No</v>
      </c>
      <c r="G308" t="str">
        <f t="shared" si="9"/>
        <v>11 - RICCARDO ALESSIO</v>
      </c>
    </row>
    <row r="309" spans="1:7" x14ac:dyDescent="0.3">
      <c r="A309" t="str">
        <f t="shared" si="8"/>
        <v>P308</v>
      </c>
      <c r="B309" t="str">
        <f>IF(E309="","",Teams!A12)</f>
        <v>T11</v>
      </c>
      <c r="C309" t="str">
        <f>IF(E309="","",Teams!C12)</f>
        <v>Barrio Boys</v>
      </c>
      <c r="D309">
        <f>IF(E309="","",Rosters!AE10)</f>
        <v>14</v>
      </c>
      <c r="E309" t="str">
        <f>IF(Rosters!AF10="","",Rosters!AF10)</f>
        <v>EDOARDO CAVALLARI</v>
      </c>
      <c r="F309" t="str">
        <f>IF(E309="","",Rosters!AG10)</f>
        <v>No</v>
      </c>
      <c r="G309" t="str">
        <f t="shared" si="9"/>
        <v>14 - EDOARDO CAVALLARI</v>
      </c>
    </row>
    <row r="310" spans="1:7" x14ac:dyDescent="0.3">
      <c r="A310" t="str">
        <f t="shared" si="8"/>
        <v>P309</v>
      </c>
      <c r="B310" t="str">
        <f>IF(E310="","",Teams!A12)</f>
        <v>T11</v>
      </c>
      <c r="C310" t="str">
        <f>IF(E310="","",Teams!C12)</f>
        <v>Barrio Boys</v>
      </c>
      <c r="D310">
        <f>IF(E310="","",Rosters!AE11)</f>
        <v>18</v>
      </c>
      <c r="E310" t="str">
        <f>IF(Rosters!AF11="","",Rosters!AF11)</f>
        <v>MATTEO FERRO</v>
      </c>
      <c r="F310" t="str">
        <f>IF(E310="","",Rosters!AG11)</f>
        <v>No</v>
      </c>
      <c r="G310" t="str">
        <f t="shared" si="9"/>
        <v>18 - MATTEO FERRO</v>
      </c>
    </row>
    <row r="311" spans="1:7" x14ac:dyDescent="0.3">
      <c r="A311" t="str">
        <f t="shared" si="8"/>
        <v>P310</v>
      </c>
      <c r="B311" t="str">
        <f>IF(E311="","",Teams!A12)</f>
        <v>T11</v>
      </c>
      <c r="C311" t="str">
        <f>IF(E311="","",Teams!C12)</f>
        <v>Barrio Boys</v>
      </c>
      <c r="D311">
        <f>IF(E311="","",Rosters!AE12)</f>
        <v>20</v>
      </c>
      <c r="E311" t="str">
        <f>IF(Rosters!AF12="","",Rosters!AF12)</f>
        <v>ANDREA ANZOLETTI</v>
      </c>
      <c r="F311" t="str">
        <f>IF(E311="","",Rosters!AG12)</f>
        <v>No</v>
      </c>
      <c r="G311" t="str">
        <f t="shared" si="9"/>
        <v>20 - ANDREA ANZOLETTI</v>
      </c>
    </row>
    <row r="312" spans="1:7" x14ac:dyDescent="0.3">
      <c r="A312" t="str">
        <f t="shared" si="8"/>
        <v/>
      </c>
      <c r="B312" t="str">
        <f>IF(E312="","",Teams!A12)</f>
        <v/>
      </c>
      <c r="C312" t="str">
        <f>IF(E312="","",Teams!C12)</f>
        <v/>
      </c>
      <c r="D312" t="str">
        <f>IF(E312="","",Rosters!AE13)</f>
        <v/>
      </c>
      <c r="E312" t="str">
        <f>IF(Rosters!AF13="","",Rosters!AF13)</f>
        <v/>
      </c>
      <c r="F312" t="str">
        <f>IF(E312="","",Rosters!AG13)</f>
        <v/>
      </c>
      <c r="G312" t="str">
        <f t="shared" si="9"/>
        <v/>
      </c>
    </row>
    <row r="313" spans="1:7" x14ac:dyDescent="0.3">
      <c r="A313" t="str">
        <f t="shared" si="8"/>
        <v/>
      </c>
      <c r="B313" t="str">
        <f>IF(E313="","",Teams!A12)</f>
        <v/>
      </c>
      <c r="C313" t="str">
        <f>IF(E313="","",Teams!C12)</f>
        <v/>
      </c>
      <c r="D313" t="str">
        <f>IF(E313="","",Rosters!AE14)</f>
        <v/>
      </c>
      <c r="E313" t="str">
        <f>IF(Rosters!AF14="","",Rosters!AF14)</f>
        <v/>
      </c>
      <c r="F313" t="str">
        <f>IF(E313="","",Rosters!AG14)</f>
        <v/>
      </c>
      <c r="G313" t="str">
        <f t="shared" si="9"/>
        <v/>
      </c>
    </row>
    <row r="314" spans="1:7" x14ac:dyDescent="0.3">
      <c r="A314" t="str">
        <f t="shared" si="8"/>
        <v/>
      </c>
      <c r="B314" t="str">
        <f>IF(E314="","",Teams!A12)</f>
        <v/>
      </c>
      <c r="C314" t="str">
        <f>IF(E314="","",Teams!C12)</f>
        <v/>
      </c>
      <c r="D314" t="str">
        <f>IF(E314="","",Rosters!AE15)</f>
        <v/>
      </c>
      <c r="E314" t="str">
        <f>IF(Rosters!AF15="","",Rosters!AF15)</f>
        <v/>
      </c>
      <c r="F314" t="str">
        <f>IF(E314="","",Rosters!AG15)</f>
        <v/>
      </c>
      <c r="G314" t="str">
        <f t="shared" si="9"/>
        <v/>
      </c>
    </row>
    <row r="315" spans="1:7" x14ac:dyDescent="0.3">
      <c r="A315" t="str">
        <f t="shared" si="8"/>
        <v/>
      </c>
      <c r="B315" t="str">
        <f>IF(E315="","",Teams!A12)</f>
        <v/>
      </c>
      <c r="C315" t="str">
        <f>IF(E315="","",Teams!C12)</f>
        <v/>
      </c>
      <c r="D315" t="str">
        <f>IF(E315="","",Rosters!AE16)</f>
        <v/>
      </c>
      <c r="E315" t="str">
        <f>IF(Rosters!AF16="","",Rosters!AF16)</f>
        <v/>
      </c>
      <c r="F315" t="str">
        <f>IF(E315="","",Rosters!AG16)</f>
        <v/>
      </c>
      <c r="G315" t="str">
        <f t="shared" si="9"/>
        <v/>
      </c>
    </row>
    <row r="316" spans="1:7" x14ac:dyDescent="0.3">
      <c r="A316" t="str">
        <f t="shared" si="8"/>
        <v/>
      </c>
      <c r="B316" t="str">
        <f>IF(E316="","",Teams!A12)</f>
        <v/>
      </c>
      <c r="C316" t="str">
        <f>IF(E316="","",Teams!C12)</f>
        <v/>
      </c>
      <c r="D316" t="str">
        <f>IF(E316="","",Rosters!AE17)</f>
        <v/>
      </c>
      <c r="E316" t="str">
        <f>IF(Rosters!AF17="","",Rosters!AF17)</f>
        <v/>
      </c>
      <c r="F316" t="str">
        <f>IF(E316="","",Rosters!AG17)</f>
        <v/>
      </c>
      <c r="G316" t="str">
        <f t="shared" si="9"/>
        <v/>
      </c>
    </row>
    <row r="317" spans="1:7" x14ac:dyDescent="0.3">
      <c r="A317" t="str">
        <f t="shared" si="8"/>
        <v/>
      </c>
      <c r="B317" t="str">
        <f>IF(E317="","",Teams!A12)</f>
        <v/>
      </c>
      <c r="C317" t="str">
        <f>IF(E317="","",Teams!C12)</f>
        <v/>
      </c>
      <c r="D317" t="str">
        <f>IF(E317="","",Rosters!AE18)</f>
        <v/>
      </c>
      <c r="E317" t="str">
        <f>IF(Rosters!AF18="","",Rosters!AF18)</f>
        <v/>
      </c>
      <c r="F317" t="str">
        <f>IF(E317="","",Rosters!AG18)</f>
        <v/>
      </c>
      <c r="G317" t="str">
        <f t="shared" si="9"/>
        <v/>
      </c>
    </row>
    <row r="318" spans="1:7" x14ac:dyDescent="0.3">
      <c r="A318" t="str">
        <f t="shared" si="8"/>
        <v/>
      </c>
      <c r="B318" t="str">
        <f>IF(E318="","",Teams!A12)</f>
        <v/>
      </c>
      <c r="C318" t="str">
        <f>IF(E318="","",Teams!C12)</f>
        <v/>
      </c>
      <c r="D318" t="str">
        <f>IF(E318="","",Rosters!AE19)</f>
        <v/>
      </c>
      <c r="E318" t="str">
        <f>IF(Rosters!AF19="","",Rosters!AF19)</f>
        <v/>
      </c>
      <c r="F318" t="str">
        <f>IF(E318="","",Rosters!AG19)</f>
        <v/>
      </c>
      <c r="G318" t="str">
        <f t="shared" si="9"/>
        <v/>
      </c>
    </row>
    <row r="319" spans="1:7" x14ac:dyDescent="0.3">
      <c r="A319" t="str">
        <f t="shared" si="8"/>
        <v/>
      </c>
      <c r="B319" t="str">
        <f>IF(E319="","",Teams!A12)</f>
        <v/>
      </c>
      <c r="C319" t="str">
        <f>IF(E319="","",Teams!C12)</f>
        <v/>
      </c>
      <c r="D319" t="str">
        <f>IF(E319="","",Rosters!AE20)</f>
        <v/>
      </c>
      <c r="E319" t="str">
        <f>IF(Rosters!AF20="","",Rosters!AF20)</f>
        <v/>
      </c>
      <c r="F319" t="str">
        <f>IF(E319="","",Rosters!AG20)</f>
        <v/>
      </c>
      <c r="G319" t="str">
        <f t="shared" si="9"/>
        <v/>
      </c>
    </row>
    <row r="320" spans="1:7" x14ac:dyDescent="0.3">
      <c r="A320" t="str">
        <f t="shared" si="8"/>
        <v/>
      </c>
      <c r="B320" t="str">
        <f>IF(E320="","",Teams!A12)</f>
        <v/>
      </c>
      <c r="C320" t="str">
        <f>IF(E320="","",Teams!C12)</f>
        <v/>
      </c>
      <c r="D320" t="str">
        <f>IF(E320="","",Rosters!AE21)</f>
        <v/>
      </c>
      <c r="E320" t="str">
        <f>IF(Rosters!AF21="","",Rosters!AF21)</f>
        <v/>
      </c>
      <c r="F320" t="str">
        <f>IF(E320="","",Rosters!AG21)</f>
        <v/>
      </c>
      <c r="G320" t="str">
        <f t="shared" si="9"/>
        <v/>
      </c>
    </row>
    <row r="321" spans="1:7" x14ac:dyDescent="0.3">
      <c r="A321" t="str">
        <f t="shared" si="8"/>
        <v/>
      </c>
      <c r="B321" t="str">
        <f>IF(E321="","",Teams!A12)</f>
        <v/>
      </c>
      <c r="C321" t="str">
        <f>IF(E321="","",Teams!C12)</f>
        <v/>
      </c>
      <c r="D321" t="str">
        <f>IF(E321="","",Rosters!AE22)</f>
        <v/>
      </c>
      <c r="E321" t="str">
        <f>IF(Rosters!AF22="","",Rosters!AF22)</f>
        <v/>
      </c>
      <c r="F321" t="str">
        <f>IF(E321="","",Rosters!AG22)</f>
        <v/>
      </c>
      <c r="G321" t="str">
        <f t="shared" si="9"/>
        <v/>
      </c>
    </row>
    <row r="322" spans="1:7" x14ac:dyDescent="0.3">
      <c r="A322" t="str">
        <f t="shared" ref="A322:A385" si="10">IF(E322="","","P"&amp;TEXT(ROW()-1,"000"))</f>
        <v/>
      </c>
      <c r="B322" t="str">
        <f>IF(E322="","",Teams!A12)</f>
        <v/>
      </c>
      <c r="C322" t="str">
        <f>IF(E322="","",Teams!C12)</f>
        <v/>
      </c>
      <c r="D322" t="str">
        <f>IF(E322="","",Rosters!AE23)</f>
        <v/>
      </c>
      <c r="E322" t="str">
        <f>IF(Rosters!AF23="","",Rosters!AF23)</f>
        <v/>
      </c>
      <c r="F322" t="str">
        <f>IF(E322="","",Rosters!AG23)</f>
        <v/>
      </c>
      <c r="G322" t="str">
        <f t="shared" ref="G322:G385" si="11">IF(E322="","",IF(D322="","",D322&amp;" - ")&amp;E322&amp;IF(F322="Yes"," (C)",""))</f>
        <v/>
      </c>
    </row>
    <row r="323" spans="1:7" x14ac:dyDescent="0.3">
      <c r="A323" t="str">
        <f t="shared" si="10"/>
        <v/>
      </c>
      <c r="B323" t="str">
        <f>IF(E323="","",Teams!A12)</f>
        <v/>
      </c>
      <c r="C323" t="str">
        <f>IF(E323="","",Teams!C12)</f>
        <v/>
      </c>
      <c r="D323" t="str">
        <f>IF(E323="","",Rosters!AE24)</f>
        <v/>
      </c>
      <c r="E323" t="str">
        <f>IF(Rosters!AF24="","",Rosters!AF24)</f>
        <v/>
      </c>
      <c r="F323" t="str">
        <f>IF(E323="","",Rosters!AG24)</f>
        <v/>
      </c>
      <c r="G323" t="str">
        <f t="shared" si="11"/>
        <v/>
      </c>
    </row>
    <row r="324" spans="1:7" x14ac:dyDescent="0.3">
      <c r="A324" t="str">
        <f t="shared" si="10"/>
        <v/>
      </c>
      <c r="B324" t="str">
        <f>IF(E324="","",Teams!A12)</f>
        <v/>
      </c>
      <c r="C324" t="str">
        <f>IF(E324="","",Teams!C12)</f>
        <v/>
      </c>
      <c r="D324" t="str">
        <f>IF(E324="","",Rosters!AE25)</f>
        <v/>
      </c>
      <c r="E324" t="str">
        <f>IF(Rosters!AF25="","",Rosters!AF25)</f>
        <v/>
      </c>
      <c r="F324" t="str">
        <f>IF(E324="","",Rosters!AG25)</f>
        <v/>
      </c>
      <c r="G324" t="str">
        <f t="shared" si="11"/>
        <v/>
      </c>
    </row>
    <row r="325" spans="1:7" x14ac:dyDescent="0.3">
      <c r="A325" t="str">
        <f t="shared" si="10"/>
        <v/>
      </c>
      <c r="B325" t="str">
        <f>IF(E325="","",Teams!A12)</f>
        <v/>
      </c>
      <c r="C325" t="str">
        <f>IF(E325="","",Teams!C12)</f>
        <v/>
      </c>
      <c r="D325" t="str">
        <f>IF(E325="","",Rosters!AE26)</f>
        <v/>
      </c>
      <c r="E325" t="str">
        <f>IF(Rosters!AF26="","",Rosters!AF26)</f>
        <v/>
      </c>
      <c r="F325" t="str">
        <f>IF(E325="","",Rosters!AG26)</f>
        <v/>
      </c>
      <c r="G325" t="str">
        <f t="shared" si="11"/>
        <v/>
      </c>
    </row>
    <row r="326" spans="1:7" x14ac:dyDescent="0.3">
      <c r="A326" t="str">
        <f t="shared" si="10"/>
        <v/>
      </c>
      <c r="B326" t="str">
        <f>IF(E326="","",Teams!A12)</f>
        <v/>
      </c>
      <c r="C326" t="str">
        <f>IF(E326="","",Teams!C12)</f>
        <v/>
      </c>
      <c r="D326" t="str">
        <f>IF(E326="","",Rosters!AE27)</f>
        <v/>
      </c>
      <c r="E326" t="str">
        <f>IF(Rosters!AF27="","",Rosters!AF27)</f>
        <v/>
      </c>
      <c r="F326" t="str">
        <f>IF(E326="","",Rosters!AG27)</f>
        <v/>
      </c>
      <c r="G326" t="str">
        <f t="shared" si="11"/>
        <v/>
      </c>
    </row>
    <row r="327" spans="1:7" x14ac:dyDescent="0.3">
      <c r="A327" t="str">
        <f t="shared" si="10"/>
        <v/>
      </c>
      <c r="B327" t="str">
        <f>IF(E327="","",Teams!A12)</f>
        <v/>
      </c>
      <c r="C327" t="str">
        <f>IF(E327="","",Teams!C12)</f>
        <v/>
      </c>
      <c r="D327" t="str">
        <f>IF(E327="","",Rosters!AE28)</f>
        <v/>
      </c>
      <c r="E327" t="str">
        <f>IF(Rosters!AF28="","",Rosters!AF28)</f>
        <v/>
      </c>
      <c r="F327" t="str">
        <f>IF(E327="","",Rosters!AG28)</f>
        <v/>
      </c>
      <c r="G327" t="str">
        <f t="shared" si="11"/>
        <v/>
      </c>
    </row>
    <row r="328" spans="1:7" x14ac:dyDescent="0.3">
      <c r="A328" t="str">
        <f t="shared" si="10"/>
        <v/>
      </c>
      <c r="B328" t="str">
        <f>IF(E328="","",Teams!A12)</f>
        <v/>
      </c>
      <c r="C328" t="str">
        <f>IF(E328="","",Teams!C12)</f>
        <v/>
      </c>
      <c r="D328" t="str">
        <f>IF(E328="","",Rosters!AE29)</f>
        <v/>
      </c>
      <c r="E328" t="str">
        <f>IF(Rosters!AF29="","",Rosters!AF29)</f>
        <v/>
      </c>
      <c r="F328" t="str">
        <f>IF(E328="","",Rosters!AG29)</f>
        <v/>
      </c>
      <c r="G328" t="str">
        <f t="shared" si="11"/>
        <v/>
      </c>
    </row>
    <row r="329" spans="1:7" x14ac:dyDescent="0.3">
      <c r="A329" t="str">
        <f t="shared" si="10"/>
        <v/>
      </c>
      <c r="B329" t="str">
        <f>IF(E329="","",Teams!A12)</f>
        <v/>
      </c>
      <c r="C329" t="str">
        <f>IF(E329="","",Teams!C12)</f>
        <v/>
      </c>
      <c r="D329" t="str">
        <f>IF(E329="","",Rosters!AE30)</f>
        <v/>
      </c>
      <c r="E329" t="str">
        <f>IF(Rosters!AF30="","",Rosters!AF30)</f>
        <v/>
      </c>
      <c r="F329" t="str">
        <f>IF(E329="","",Rosters!AG30)</f>
        <v/>
      </c>
      <c r="G329" t="str">
        <f t="shared" si="11"/>
        <v/>
      </c>
    </row>
    <row r="330" spans="1:7" x14ac:dyDescent="0.3">
      <c r="A330" t="str">
        <f t="shared" si="10"/>
        <v/>
      </c>
      <c r="B330" t="str">
        <f>IF(E330="","",Teams!A12)</f>
        <v/>
      </c>
      <c r="C330" t="str">
        <f>IF(E330="","",Teams!C12)</f>
        <v/>
      </c>
      <c r="D330" t="str">
        <f>IF(E330="","",Rosters!AE31)</f>
        <v/>
      </c>
      <c r="E330" t="str">
        <f>IF(Rosters!AF31="","",Rosters!AF31)</f>
        <v/>
      </c>
      <c r="F330" t="str">
        <f>IF(E330="","",Rosters!AG31)</f>
        <v/>
      </c>
      <c r="G330" t="str">
        <f t="shared" si="11"/>
        <v/>
      </c>
    </row>
    <row r="331" spans="1:7" x14ac:dyDescent="0.3">
      <c r="A331" t="str">
        <f t="shared" si="10"/>
        <v/>
      </c>
      <c r="B331" t="str">
        <f>IF(E331="","",Teams!A12)</f>
        <v/>
      </c>
      <c r="C331" t="str">
        <f>IF(E331="","",Teams!C12)</f>
        <v/>
      </c>
      <c r="D331" t="str">
        <f>IF(E331="","",Rosters!AE32)</f>
        <v/>
      </c>
      <c r="E331" t="str">
        <f>IF(Rosters!AF32="","",Rosters!AF32)</f>
        <v/>
      </c>
      <c r="F331" t="str">
        <f>IF(E331="","",Rosters!AG32)</f>
        <v/>
      </c>
      <c r="G331" t="str">
        <f t="shared" si="11"/>
        <v/>
      </c>
    </row>
    <row r="332" spans="1:7" x14ac:dyDescent="0.3">
      <c r="A332" t="str">
        <f t="shared" si="10"/>
        <v>P331</v>
      </c>
      <c r="B332" t="str">
        <f>IF(E332="","",Teams!A13)</f>
        <v>T12</v>
      </c>
      <c r="C332" t="str">
        <f>IF(E332="","",Teams!C13)</f>
        <v>Cani</v>
      </c>
      <c r="D332">
        <f>IF(E332="","",Rosters!AH3)</f>
        <v>4</v>
      </c>
      <c r="E332" t="str">
        <f>IF(Rosters!AI3="","",Rosters!AI3)</f>
        <v>MANUEL IMPELLICCIERI</v>
      </c>
      <c r="F332" t="str">
        <f>IF(E332="","",Rosters!AJ3)</f>
        <v>No</v>
      </c>
      <c r="G332" t="str">
        <f t="shared" si="11"/>
        <v>4 - MANUEL IMPELLICCIERI</v>
      </c>
    </row>
    <row r="333" spans="1:7" x14ac:dyDescent="0.3">
      <c r="A333" t="str">
        <f t="shared" si="10"/>
        <v>P332</v>
      </c>
      <c r="B333" t="str">
        <f>IF(E333="","",Teams!A13)</f>
        <v>T12</v>
      </c>
      <c r="C333" t="str">
        <f>IF(E333="","",Teams!C13)</f>
        <v>Cani</v>
      </c>
      <c r="D333">
        <f>IF(E333="","",Rosters!AH4)</f>
        <v>5</v>
      </c>
      <c r="E333" t="str">
        <f>IF(Rosters!AI4="","",Rosters!AI4)</f>
        <v>MOURAD ECHCHARI</v>
      </c>
      <c r="F333" t="str">
        <f>IF(E333="","",Rosters!AJ4)</f>
        <v>No</v>
      </c>
      <c r="G333" t="str">
        <f t="shared" si="11"/>
        <v>5 - MOURAD ECHCHARI</v>
      </c>
    </row>
    <row r="334" spans="1:7" x14ac:dyDescent="0.3">
      <c r="A334" t="str">
        <f t="shared" si="10"/>
        <v>P333</v>
      </c>
      <c r="B334" t="str">
        <f>IF(E334="","",Teams!A13)</f>
        <v>T12</v>
      </c>
      <c r="C334" t="str">
        <f>IF(E334="","",Teams!C13)</f>
        <v>Cani</v>
      </c>
      <c r="D334">
        <f>IF(E334="","",Rosters!AH5)</f>
        <v>7</v>
      </c>
      <c r="E334" t="str">
        <f>IF(Rosters!AI5="","",Rosters!AI5)</f>
        <v>OTMAN SOUATI</v>
      </c>
      <c r="F334" t="str">
        <f>IF(E334="","",Rosters!AJ5)</f>
        <v>No</v>
      </c>
      <c r="G334" t="str">
        <f t="shared" si="11"/>
        <v>7 - OTMAN SOUATI</v>
      </c>
    </row>
    <row r="335" spans="1:7" x14ac:dyDescent="0.3">
      <c r="A335" t="str">
        <f t="shared" si="10"/>
        <v>P334</v>
      </c>
      <c r="B335" t="str">
        <f>IF(E335="","",Teams!A13)</f>
        <v>T12</v>
      </c>
      <c r="C335" t="str">
        <f>IF(E335="","",Teams!C13)</f>
        <v>Cani</v>
      </c>
      <c r="D335">
        <f>IF(E335="","",Rosters!AH6)</f>
        <v>8</v>
      </c>
      <c r="E335" t="str">
        <f>IF(Rosters!AI6="","",Rosters!AI6)</f>
        <v>ALEX MENEGHELLO</v>
      </c>
      <c r="F335" t="str">
        <f>IF(E335="","",Rosters!AJ6)</f>
        <v>No</v>
      </c>
      <c r="G335" t="str">
        <f t="shared" si="11"/>
        <v>8 - ALEX MENEGHELLO</v>
      </c>
    </row>
    <row r="336" spans="1:7" x14ac:dyDescent="0.3">
      <c r="A336" t="str">
        <f t="shared" si="10"/>
        <v>P335</v>
      </c>
      <c r="B336" t="str">
        <f>IF(E336="","",Teams!A13)</f>
        <v>T12</v>
      </c>
      <c r="C336" t="str">
        <f>IF(E336="","",Teams!C13)</f>
        <v>Cani</v>
      </c>
      <c r="D336">
        <f>IF(E336="","",Rosters!AH7)</f>
        <v>10</v>
      </c>
      <c r="E336" t="str">
        <f>IF(Rosters!AI7="","",Rosters!AI7)</f>
        <v>ALESSIO GHIRARDELLO</v>
      </c>
      <c r="F336" t="str">
        <f>IF(E336="","",Rosters!AJ7)</f>
        <v>Yes</v>
      </c>
      <c r="G336" t="str">
        <f t="shared" si="11"/>
        <v>10 - ALESSIO GHIRARDELLO (C)</v>
      </c>
    </row>
    <row r="337" spans="1:7" x14ac:dyDescent="0.3">
      <c r="A337" t="str">
        <f t="shared" si="10"/>
        <v>P336</v>
      </c>
      <c r="B337" t="str">
        <f>IF(E337="","",Teams!A13)</f>
        <v>T12</v>
      </c>
      <c r="C337" t="str">
        <f>IF(E337="","",Teams!C13)</f>
        <v>Cani</v>
      </c>
      <c r="D337">
        <f>IF(E337="","",Rosters!AH8)</f>
        <v>11</v>
      </c>
      <c r="E337" t="str">
        <f>IF(Rosters!AI8="","",Rosters!AI8)</f>
        <v>ISMAIL ECHCHARI</v>
      </c>
      <c r="F337" t="str">
        <f>IF(E337="","",Rosters!AJ8)</f>
        <v>No</v>
      </c>
      <c r="G337" t="str">
        <f t="shared" si="11"/>
        <v>11 - ISMAIL ECHCHARI</v>
      </c>
    </row>
    <row r="338" spans="1:7" x14ac:dyDescent="0.3">
      <c r="A338" t="str">
        <f t="shared" si="10"/>
        <v>P337</v>
      </c>
      <c r="B338" t="str">
        <f>IF(E338="","",Teams!A13)</f>
        <v>T12</v>
      </c>
      <c r="C338" t="str">
        <f>IF(E338="","",Teams!C13)</f>
        <v>Cani</v>
      </c>
      <c r="D338">
        <f>IF(E338="","",Rosters!AH9)</f>
        <v>19</v>
      </c>
      <c r="E338" t="str">
        <f>IF(Rosters!AI9="","",Rosters!AI9)</f>
        <v>LORENZO REZZAGHI</v>
      </c>
      <c r="F338" t="str">
        <f>IF(E338="","",Rosters!AJ9)</f>
        <v>No</v>
      </c>
      <c r="G338" t="str">
        <f t="shared" si="11"/>
        <v>19 - LORENZO REZZAGHI</v>
      </c>
    </row>
    <row r="339" spans="1:7" x14ac:dyDescent="0.3">
      <c r="A339" t="str">
        <f t="shared" si="10"/>
        <v>P338</v>
      </c>
      <c r="B339" t="str">
        <f>IF(E339="","",Teams!A13)</f>
        <v>T12</v>
      </c>
      <c r="C339" t="str">
        <f>IF(E339="","",Teams!C13)</f>
        <v>Cani</v>
      </c>
      <c r="D339">
        <f>IF(E339="","",Rosters!AH10)</f>
        <v>22</v>
      </c>
      <c r="E339" t="str">
        <f>IF(Rosters!AI10="","",Rosters!AI10)</f>
        <v>TOMMASO CALZAVARINI</v>
      </c>
      <c r="F339" t="str">
        <f>IF(E339="","",Rosters!AJ10)</f>
        <v>No</v>
      </c>
      <c r="G339" t="str">
        <f t="shared" si="11"/>
        <v>22 - TOMMASO CALZAVARINI</v>
      </c>
    </row>
    <row r="340" spans="1:7" x14ac:dyDescent="0.3">
      <c r="A340" t="str">
        <f t="shared" si="10"/>
        <v>P339</v>
      </c>
      <c r="B340" t="str">
        <f>IF(E340="","",Teams!A13)</f>
        <v>T12</v>
      </c>
      <c r="C340" t="str">
        <f>IF(E340="","",Teams!C13)</f>
        <v>Cani</v>
      </c>
      <c r="D340">
        <f>IF(E340="","",Rosters!AH11)</f>
        <v>45</v>
      </c>
      <c r="E340" t="str">
        <f>IF(Rosters!AI11="","",Rosters!AI11)</f>
        <v>LEONARDO BULGARI</v>
      </c>
      <c r="F340" t="str">
        <f>IF(E340="","",Rosters!AJ11)</f>
        <v>No</v>
      </c>
      <c r="G340" t="str">
        <f t="shared" si="11"/>
        <v>45 - LEONARDO BULGARI</v>
      </c>
    </row>
    <row r="341" spans="1:7" x14ac:dyDescent="0.3">
      <c r="A341" t="str">
        <f t="shared" si="10"/>
        <v>P340</v>
      </c>
      <c r="B341" t="str">
        <f>IF(E341="","",Teams!A13)</f>
        <v>T12</v>
      </c>
      <c r="C341" t="str">
        <f>IF(E341="","",Teams!C13)</f>
        <v>Cani</v>
      </c>
      <c r="D341">
        <f>IF(E341="","",Rosters!AH12)</f>
        <v>67</v>
      </c>
      <c r="E341" t="str">
        <f>IF(Rosters!AI12="","",Rosters!AI12)</f>
        <v>RICCARDO TOGNOLO</v>
      </c>
      <c r="F341" t="str">
        <f>IF(E341="","",Rosters!AJ12)</f>
        <v>No</v>
      </c>
      <c r="G341" t="str">
        <f t="shared" si="11"/>
        <v>67 - RICCARDO TOGNOLO</v>
      </c>
    </row>
    <row r="342" spans="1:7" x14ac:dyDescent="0.3">
      <c r="A342" t="str">
        <f t="shared" si="10"/>
        <v/>
      </c>
      <c r="B342" t="str">
        <f>IF(E342="","",Teams!A13)</f>
        <v/>
      </c>
      <c r="C342" t="str">
        <f>IF(E342="","",Teams!C13)</f>
        <v/>
      </c>
      <c r="D342" t="str">
        <f>IF(E342="","",Rosters!AH13)</f>
        <v/>
      </c>
      <c r="E342" t="str">
        <f>IF(Rosters!AI13="","",Rosters!AI13)</f>
        <v/>
      </c>
      <c r="F342" t="str">
        <f>IF(E342="","",Rosters!AJ13)</f>
        <v/>
      </c>
      <c r="G342" t="str">
        <f t="shared" si="11"/>
        <v/>
      </c>
    </row>
    <row r="343" spans="1:7" x14ac:dyDescent="0.3">
      <c r="A343" t="str">
        <f t="shared" si="10"/>
        <v/>
      </c>
      <c r="B343" t="str">
        <f>IF(E343="","",Teams!A13)</f>
        <v/>
      </c>
      <c r="C343" t="str">
        <f>IF(E343="","",Teams!C13)</f>
        <v/>
      </c>
      <c r="D343" t="str">
        <f>IF(E343="","",Rosters!AH14)</f>
        <v/>
      </c>
      <c r="E343" t="str">
        <f>IF(Rosters!AI14="","",Rosters!AI14)</f>
        <v/>
      </c>
      <c r="F343" t="str">
        <f>IF(E343="","",Rosters!AJ14)</f>
        <v/>
      </c>
      <c r="G343" t="str">
        <f t="shared" si="11"/>
        <v/>
      </c>
    </row>
    <row r="344" spans="1:7" x14ac:dyDescent="0.3">
      <c r="A344" t="str">
        <f t="shared" si="10"/>
        <v/>
      </c>
      <c r="B344" t="str">
        <f>IF(E344="","",Teams!A13)</f>
        <v/>
      </c>
      <c r="C344" t="str">
        <f>IF(E344="","",Teams!C13)</f>
        <v/>
      </c>
      <c r="D344" t="str">
        <f>IF(E344="","",Rosters!AH15)</f>
        <v/>
      </c>
      <c r="E344" t="str">
        <f>IF(Rosters!AI15="","",Rosters!AI15)</f>
        <v/>
      </c>
      <c r="F344" t="str">
        <f>IF(E344="","",Rosters!AJ15)</f>
        <v/>
      </c>
      <c r="G344" t="str">
        <f t="shared" si="11"/>
        <v/>
      </c>
    </row>
    <row r="345" spans="1:7" x14ac:dyDescent="0.3">
      <c r="A345" t="str">
        <f t="shared" si="10"/>
        <v/>
      </c>
      <c r="B345" t="str">
        <f>IF(E345="","",Teams!A13)</f>
        <v/>
      </c>
      <c r="C345" t="str">
        <f>IF(E345="","",Teams!C13)</f>
        <v/>
      </c>
      <c r="D345" t="str">
        <f>IF(E345="","",Rosters!AH16)</f>
        <v/>
      </c>
      <c r="E345" t="str">
        <f>IF(Rosters!AI16="","",Rosters!AI16)</f>
        <v/>
      </c>
      <c r="F345" t="str">
        <f>IF(E345="","",Rosters!AJ16)</f>
        <v/>
      </c>
      <c r="G345" t="str">
        <f t="shared" si="11"/>
        <v/>
      </c>
    </row>
    <row r="346" spans="1:7" x14ac:dyDescent="0.3">
      <c r="A346" t="str">
        <f t="shared" si="10"/>
        <v/>
      </c>
      <c r="B346" t="str">
        <f>IF(E346="","",Teams!A13)</f>
        <v/>
      </c>
      <c r="C346" t="str">
        <f>IF(E346="","",Teams!C13)</f>
        <v/>
      </c>
      <c r="D346" t="str">
        <f>IF(E346="","",Rosters!AH17)</f>
        <v/>
      </c>
      <c r="E346" t="str">
        <f>IF(Rosters!AI17="","",Rosters!AI17)</f>
        <v/>
      </c>
      <c r="F346" t="str">
        <f>IF(E346="","",Rosters!AJ17)</f>
        <v/>
      </c>
      <c r="G346" t="str">
        <f t="shared" si="11"/>
        <v/>
      </c>
    </row>
    <row r="347" spans="1:7" x14ac:dyDescent="0.3">
      <c r="A347" t="str">
        <f t="shared" si="10"/>
        <v/>
      </c>
      <c r="B347" t="str">
        <f>IF(E347="","",Teams!A13)</f>
        <v/>
      </c>
      <c r="C347" t="str">
        <f>IF(E347="","",Teams!C13)</f>
        <v/>
      </c>
      <c r="D347" t="str">
        <f>IF(E347="","",Rosters!AH18)</f>
        <v/>
      </c>
      <c r="E347" t="str">
        <f>IF(Rosters!AI18="","",Rosters!AI18)</f>
        <v/>
      </c>
      <c r="F347" t="str">
        <f>IF(E347="","",Rosters!AJ18)</f>
        <v/>
      </c>
      <c r="G347" t="str">
        <f t="shared" si="11"/>
        <v/>
      </c>
    </row>
    <row r="348" spans="1:7" x14ac:dyDescent="0.3">
      <c r="A348" t="str">
        <f t="shared" si="10"/>
        <v/>
      </c>
      <c r="B348" t="str">
        <f>IF(E348="","",Teams!A13)</f>
        <v/>
      </c>
      <c r="C348" t="str">
        <f>IF(E348="","",Teams!C13)</f>
        <v/>
      </c>
      <c r="D348" t="str">
        <f>IF(E348="","",Rosters!AH19)</f>
        <v/>
      </c>
      <c r="E348" t="str">
        <f>IF(Rosters!AI19="","",Rosters!AI19)</f>
        <v/>
      </c>
      <c r="F348" t="str">
        <f>IF(E348="","",Rosters!AJ19)</f>
        <v/>
      </c>
      <c r="G348" t="str">
        <f t="shared" si="11"/>
        <v/>
      </c>
    </row>
    <row r="349" spans="1:7" x14ac:dyDescent="0.3">
      <c r="A349" t="str">
        <f t="shared" si="10"/>
        <v/>
      </c>
      <c r="B349" t="str">
        <f>IF(E349="","",Teams!A13)</f>
        <v/>
      </c>
      <c r="C349" t="str">
        <f>IF(E349="","",Teams!C13)</f>
        <v/>
      </c>
      <c r="D349" t="str">
        <f>IF(E349="","",Rosters!AH20)</f>
        <v/>
      </c>
      <c r="E349" t="str">
        <f>IF(Rosters!AI20="","",Rosters!AI20)</f>
        <v/>
      </c>
      <c r="F349" t="str">
        <f>IF(E349="","",Rosters!AJ20)</f>
        <v/>
      </c>
      <c r="G349" t="str">
        <f t="shared" si="11"/>
        <v/>
      </c>
    </row>
    <row r="350" spans="1:7" x14ac:dyDescent="0.3">
      <c r="A350" t="str">
        <f t="shared" si="10"/>
        <v/>
      </c>
      <c r="B350" t="str">
        <f>IF(E350="","",Teams!A13)</f>
        <v/>
      </c>
      <c r="C350" t="str">
        <f>IF(E350="","",Teams!C13)</f>
        <v/>
      </c>
      <c r="D350" t="str">
        <f>IF(E350="","",Rosters!AH21)</f>
        <v/>
      </c>
      <c r="E350" t="str">
        <f>IF(Rosters!AI21="","",Rosters!AI21)</f>
        <v/>
      </c>
      <c r="F350" t="str">
        <f>IF(E350="","",Rosters!AJ21)</f>
        <v/>
      </c>
      <c r="G350" t="str">
        <f t="shared" si="11"/>
        <v/>
      </c>
    </row>
    <row r="351" spans="1:7" x14ac:dyDescent="0.3">
      <c r="A351" t="str">
        <f t="shared" si="10"/>
        <v/>
      </c>
      <c r="B351" t="str">
        <f>IF(E351="","",Teams!A13)</f>
        <v/>
      </c>
      <c r="C351" t="str">
        <f>IF(E351="","",Teams!C13)</f>
        <v/>
      </c>
      <c r="D351" t="str">
        <f>IF(E351="","",Rosters!AH22)</f>
        <v/>
      </c>
      <c r="E351" t="str">
        <f>IF(Rosters!AI22="","",Rosters!AI22)</f>
        <v/>
      </c>
      <c r="F351" t="str">
        <f>IF(E351="","",Rosters!AJ22)</f>
        <v/>
      </c>
      <c r="G351" t="str">
        <f t="shared" si="11"/>
        <v/>
      </c>
    </row>
    <row r="352" spans="1:7" x14ac:dyDescent="0.3">
      <c r="A352" t="str">
        <f t="shared" si="10"/>
        <v/>
      </c>
      <c r="B352" t="str">
        <f>IF(E352="","",Teams!A13)</f>
        <v/>
      </c>
      <c r="C352" t="str">
        <f>IF(E352="","",Teams!C13)</f>
        <v/>
      </c>
      <c r="D352" t="str">
        <f>IF(E352="","",Rosters!AH23)</f>
        <v/>
      </c>
      <c r="E352" t="str">
        <f>IF(Rosters!AI23="","",Rosters!AI23)</f>
        <v/>
      </c>
      <c r="F352" t="str">
        <f>IF(E352="","",Rosters!AJ23)</f>
        <v/>
      </c>
      <c r="G352" t="str">
        <f t="shared" si="11"/>
        <v/>
      </c>
    </row>
    <row r="353" spans="1:7" x14ac:dyDescent="0.3">
      <c r="A353" t="str">
        <f t="shared" si="10"/>
        <v/>
      </c>
      <c r="B353" t="str">
        <f>IF(E353="","",Teams!A13)</f>
        <v/>
      </c>
      <c r="C353" t="str">
        <f>IF(E353="","",Teams!C13)</f>
        <v/>
      </c>
      <c r="D353" t="str">
        <f>IF(E353="","",Rosters!AH24)</f>
        <v/>
      </c>
      <c r="E353" t="str">
        <f>IF(Rosters!AI24="","",Rosters!AI24)</f>
        <v/>
      </c>
      <c r="F353" t="str">
        <f>IF(E353="","",Rosters!AJ24)</f>
        <v/>
      </c>
      <c r="G353" t="str">
        <f t="shared" si="11"/>
        <v/>
      </c>
    </row>
    <row r="354" spans="1:7" x14ac:dyDescent="0.3">
      <c r="A354" t="str">
        <f t="shared" si="10"/>
        <v/>
      </c>
      <c r="B354" t="str">
        <f>IF(E354="","",Teams!A13)</f>
        <v/>
      </c>
      <c r="C354" t="str">
        <f>IF(E354="","",Teams!C13)</f>
        <v/>
      </c>
      <c r="D354" t="str">
        <f>IF(E354="","",Rosters!AH25)</f>
        <v/>
      </c>
      <c r="E354" t="str">
        <f>IF(Rosters!AI25="","",Rosters!AI25)</f>
        <v/>
      </c>
      <c r="F354" t="str">
        <f>IF(E354="","",Rosters!AJ25)</f>
        <v/>
      </c>
      <c r="G354" t="str">
        <f t="shared" si="11"/>
        <v/>
      </c>
    </row>
    <row r="355" spans="1:7" x14ac:dyDescent="0.3">
      <c r="A355" t="str">
        <f t="shared" si="10"/>
        <v/>
      </c>
      <c r="B355" t="str">
        <f>IF(E355="","",Teams!A13)</f>
        <v/>
      </c>
      <c r="C355" t="str">
        <f>IF(E355="","",Teams!C13)</f>
        <v/>
      </c>
      <c r="D355" t="str">
        <f>IF(E355="","",Rosters!AH26)</f>
        <v/>
      </c>
      <c r="E355" t="str">
        <f>IF(Rosters!AI26="","",Rosters!AI26)</f>
        <v/>
      </c>
      <c r="F355" t="str">
        <f>IF(E355="","",Rosters!AJ26)</f>
        <v/>
      </c>
      <c r="G355" t="str">
        <f t="shared" si="11"/>
        <v/>
      </c>
    </row>
    <row r="356" spans="1:7" x14ac:dyDescent="0.3">
      <c r="A356" t="str">
        <f t="shared" si="10"/>
        <v/>
      </c>
      <c r="B356" t="str">
        <f>IF(E356="","",Teams!A13)</f>
        <v/>
      </c>
      <c r="C356" t="str">
        <f>IF(E356="","",Teams!C13)</f>
        <v/>
      </c>
      <c r="D356" t="str">
        <f>IF(E356="","",Rosters!AH27)</f>
        <v/>
      </c>
      <c r="E356" t="str">
        <f>IF(Rosters!AI27="","",Rosters!AI27)</f>
        <v/>
      </c>
      <c r="F356" t="str">
        <f>IF(E356="","",Rosters!AJ27)</f>
        <v/>
      </c>
      <c r="G356" t="str">
        <f t="shared" si="11"/>
        <v/>
      </c>
    </row>
    <row r="357" spans="1:7" x14ac:dyDescent="0.3">
      <c r="A357" t="str">
        <f t="shared" si="10"/>
        <v/>
      </c>
      <c r="B357" t="str">
        <f>IF(E357="","",Teams!A13)</f>
        <v/>
      </c>
      <c r="C357" t="str">
        <f>IF(E357="","",Teams!C13)</f>
        <v/>
      </c>
      <c r="D357" t="str">
        <f>IF(E357="","",Rosters!AH28)</f>
        <v/>
      </c>
      <c r="E357" t="str">
        <f>IF(Rosters!AI28="","",Rosters!AI28)</f>
        <v/>
      </c>
      <c r="F357" t="str">
        <f>IF(E357="","",Rosters!AJ28)</f>
        <v/>
      </c>
      <c r="G357" t="str">
        <f t="shared" si="11"/>
        <v/>
      </c>
    </row>
    <row r="358" spans="1:7" x14ac:dyDescent="0.3">
      <c r="A358" t="str">
        <f t="shared" si="10"/>
        <v/>
      </c>
      <c r="B358" t="str">
        <f>IF(E358="","",Teams!A13)</f>
        <v/>
      </c>
      <c r="C358" t="str">
        <f>IF(E358="","",Teams!C13)</f>
        <v/>
      </c>
      <c r="D358" t="str">
        <f>IF(E358="","",Rosters!AH29)</f>
        <v/>
      </c>
      <c r="E358" t="str">
        <f>IF(Rosters!AI29="","",Rosters!AI29)</f>
        <v/>
      </c>
      <c r="F358" t="str">
        <f>IF(E358="","",Rosters!AJ29)</f>
        <v/>
      </c>
      <c r="G358" t="str">
        <f t="shared" si="11"/>
        <v/>
      </c>
    </row>
    <row r="359" spans="1:7" x14ac:dyDescent="0.3">
      <c r="A359" t="str">
        <f t="shared" si="10"/>
        <v/>
      </c>
      <c r="B359" t="str">
        <f>IF(E359="","",Teams!A13)</f>
        <v/>
      </c>
      <c r="C359" t="str">
        <f>IF(E359="","",Teams!C13)</f>
        <v/>
      </c>
      <c r="D359" t="str">
        <f>IF(E359="","",Rosters!AH30)</f>
        <v/>
      </c>
      <c r="E359" t="str">
        <f>IF(Rosters!AI30="","",Rosters!AI30)</f>
        <v/>
      </c>
      <c r="F359" t="str">
        <f>IF(E359="","",Rosters!AJ30)</f>
        <v/>
      </c>
      <c r="G359" t="str">
        <f t="shared" si="11"/>
        <v/>
      </c>
    </row>
    <row r="360" spans="1:7" x14ac:dyDescent="0.3">
      <c r="A360" t="str">
        <f t="shared" si="10"/>
        <v/>
      </c>
      <c r="B360" t="str">
        <f>IF(E360="","",Teams!A13)</f>
        <v/>
      </c>
      <c r="C360" t="str">
        <f>IF(E360="","",Teams!C13)</f>
        <v/>
      </c>
      <c r="D360" t="str">
        <f>IF(E360="","",Rosters!AH31)</f>
        <v/>
      </c>
      <c r="E360" t="str">
        <f>IF(Rosters!AI31="","",Rosters!AI31)</f>
        <v/>
      </c>
      <c r="F360" t="str">
        <f>IF(E360="","",Rosters!AJ31)</f>
        <v/>
      </c>
      <c r="G360" t="str">
        <f t="shared" si="11"/>
        <v/>
      </c>
    </row>
    <row r="361" spans="1:7" x14ac:dyDescent="0.3">
      <c r="A361" t="str">
        <f t="shared" si="10"/>
        <v/>
      </c>
      <c r="B361" t="str">
        <f>IF(E361="","",Teams!A13)</f>
        <v/>
      </c>
      <c r="C361" t="str">
        <f>IF(E361="","",Teams!C13)</f>
        <v/>
      </c>
      <c r="D361" t="str">
        <f>IF(E361="","",Rosters!AH32)</f>
        <v/>
      </c>
      <c r="E361" t="str">
        <f>IF(Rosters!AI32="","",Rosters!AI32)</f>
        <v/>
      </c>
      <c r="F361" t="str">
        <f>IF(E361="","",Rosters!AJ32)</f>
        <v/>
      </c>
      <c r="G361" t="str">
        <f t="shared" si="11"/>
        <v/>
      </c>
    </row>
    <row r="362" spans="1:7" x14ac:dyDescent="0.3">
      <c r="A362" t="str">
        <f t="shared" si="10"/>
        <v>P361</v>
      </c>
      <c r="B362" t="str">
        <f>IF(E362="","",Teams!A14)</f>
        <v>T13</v>
      </c>
      <c r="C362" t="str">
        <f>IF(E362="","",Teams!C14)</f>
        <v>All Blacks</v>
      </c>
      <c r="D362">
        <f>IF(E362="","",Rosters!AK3)</f>
        <v>1</v>
      </c>
      <c r="E362" t="str">
        <f>IF(Rosters!AL3="","",Rosters!AL3)</f>
        <v>GIACOMO DE SIMONE</v>
      </c>
      <c r="F362" t="str">
        <f>IF(E362="","",Rosters!AM3)</f>
        <v>No</v>
      </c>
      <c r="G362" t="str">
        <f t="shared" si="11"/>
        <v>1 - GIACOMO DE SIMONE</v>
      </c>
    </row>
    <row r="363" spans="1:7" x14ac:dyDescent="0.3">
      <c r="A363" t="str">
        <f t="shared" si="10"/>
        <v>P362</v>
      </c>
      <c r="B363" t="str">
        <f>IF(E363="","",Teams!A14)</f>
        <v>T13</v>
      </c>
      <c r="C363" t="str">
        <f>IF(E363="","",Teams!C14)</f>
        <v>All Blacks</v>
      </c>
      <c r="D363">
        <f>IF(E363="","",Rosters!AK4)</f>
        <v>3</v>
      </c>
      <c r="E363" t="str">
        <f>IF(Rosters!AL4="","",Rosters!AL4)</f>
        <v>MARTINO GRANFO</v>
      </c>
      <c r="F363" t="str">
        <f>IF(E363="","",Rosters!AM4)</f>
        <v>No</v>
      </c>
      <c r="G363" t="str">
        <f t="shared" si="11"/>
        <v>3 - MARTINO GRANFO</v>
      </c>
    </row>
    <row r="364" spans="1:7" x14ac:dyDescent="0.3">
      <c r="A364" t="str">
        <f t="shared" si="10"/>
        <v>P363</v>
      </c>
      <c r="B364" t="str">
        <f>IF(E364="","",Teams!A14)</f>
        <v>T13</v>
      </c>
      <c r="C364" t="str">
        <f>IF(E364="","",Teams!C14)</f>
        <v>All Blacks</v>
      </c>
      <c r="D364">
        <f>IF(E364="","",Rosters!AK5)</f>
        <v>4</v>
      </c>
      <c r="E364" t="str">
        <f>IF(Rosters!AL5="","",Rosters!AL5)</f>
        <v>STEFANO BRAGHIN</v>
      </c>
      <c r="F364" t="str">
        <f>IF(E364="","",Rosters!AM5)</f>
        <v>No</v>
      </c>
      <c r="G364" t="str">
        <f t="shared" si="11"/>
        <v>4 - STEFANO BRAGHIN</v>
      </c>
    </row>
    <row r="365" spans="1:7" x14ac:dyDescent="0.3">
      <c r="A365" t="str">
        <f t="shared" si="10"/>
        <v>P364</v>
      </c>
      <c r="B365" t="str">
        <f>IF(E365="","",Teams!A14)</f>
        <v>T13</v>
      </c>
      <c r="C365" t="str">
        <f>IF(E365="","",Teams!C14)</f>
        <v>All Blacks</v>
      </c>
      <c r="D365">
        <f>IF(E365="","",Rosters!AK6)</f>
        <v>5</v>
      </c>
      <c r="E365" t="str">
        <f>IF(Rosters!AL6="","",Rosters!AL6)</f>
        <v>NICOLA BRESCIANI</v>
      </c>
      <c r="F365" t="str">
        <f>IF(E365="","",Rosters!AM6)</f>
        <v>No</v>
      </c>
      <c r="G365" t="str">
        <f t="shared" si="11"/>
        <v>5 - NICOLA BRESCIANI</v>
      </c>
    </row>
    <row r="366" spans="1:7" x14ac:dyDescent="0.3">
      <c r="A366" t="str">
        <f t="shared" si="10"/>
        <v>P365</v>
      </c>
      <c r="B366" t="str">
        <f>IF(E366="","",Teams!A14)</f>
        <v>T13</v>
      </c>
      <c r="C366" t="str">
        <f>IF(E366="","",Teams!C14)</f>
        <v>All Blacks</v>
      </c>
      <c r="D366">
        <f>IF(E366="","",Rosters!AK7)</f>
        <v>6</v>
      </c>
      <c r="E366" t="str">
        <f>IF(Rosters!AL7="","",Rosters!AL7)</f>
        <v>DAVIDE BEDESCHI</v>
      </c>
      <c r="F366" t="str">
        <f>IF(E366="","",Rosters!AM7)</f>
        <v>No</v>
      </c>
      <c r="G366" t="str">
        <f t="shared" si="11"/>
        <v>6 - DAVIDE BEDESCHI</v>
      </c>
    </row>
    <row r="367" spans="1:7" x14ac:dyDescent="0.3">
      <c r="A367" t="str">
        <f t="shared" si="10"/>
        <v>P366</v>
      </c>
      <c r="B367" t="str">
        <f>IF(E367="","",Teams!A14)</f>
        <v>T13</v>
      </c>
      <c r="C367" t="str">
        <f>IF(E367="","",Teams!C14)</f>
        <v>All Blacks</v>
      </c>
      <c r="D367">
        <f>IF(E367="","",Rosters!AK8)</f>
        <v>7</v>
      </c>
      <c r="E367" t="str">
        <f>IF(Rosters!AL8="","",Rosters!AL8)</f>
        <v>NICHOLAS MOSCHINI</v>
      </c>
      <c r="F367" t="str">
        <f>IF(E367="","",Rosters!AM8)</f>
        <v>No</v>
      </c>
      <c r="G367" t="str">
        <f t="shared" si="11"/>
        <v>7 - NICHOLAS MOSCHINI</v>
      </c>
    </row>
    <row r="368" spans="1:7" x14ac:dyDescent="0.3">
      <c r="A368" t="str">
        <f t="shared" si="10"/>
        <v>P367</v>
      </c>
      <c r="B368" t="str">
        <f>IF(E368="","",Teams!A14)</f>
        <v>T13</v>
      </c>
      <c r="C368" t="str">
        <f>IF(E368="","",Teams!C14)</f>
        <v>All Blacks</v>
      </c>
      <c r="D368">
        <f>IF(E368="","",Rosters!AK9)</f>
        <v>8</v>
      </c>
      <c r="E368" t="str">
        <f>IF(Rosters!AL9="","",Rosters!AL9)</f>
        <v>DAVIDE GIRARDELLO</v>
      </c>
      <c r="F368" t="str">
        <f>IF(E368="","",Rosters!AM9)</f>
        <v>No</v>
      </c>
      <c r="G368" t="str">
        <f t="shared" si="11"/>
        <v>8 - DAVIDE GIRARDELLO</v>
      </c>
    </row>
    <row r="369" spans="1:7" x14ac:dyDescent="0.3">
      <c r="A369" t="str">
        <f t="shared" si="10"/>
        <v>P368</v>
      </c>
      <c r="B369" t="str">
        <f>IF(E369="","",Teams!A14)</f>
        <v>T13</v>
      </c>
      <c r="C369" t="str">
        <f>IF(E369="","",Teams!C14)</f>
        <v>All Blacks</v>
      </c>
      <c r="D369">
        <f>IF(E369="","",Rosters!AK10)</f>
        <v>9</v>
      </c>
      <c r="E369" t="str">
        <f>IF(Rosters!AL10="","",Rosters!AL10)</f>
        <v>NICOLÒ BERGANTIN</v>
      </c>
      <c r="F369" t="str">
        <f>IF(E369="","",Rosters!AM10)</f>
        <v>No</v>
      </c>
      <c r="G369" t="str">
        <f t="shared" si="11"/>
        <v>9 - NICOLÒ BERGANTIN</v>
      </c>
    </row>
    <row r="370" spans="1:7" x14ac:dyDescent="0.3">
      <c r="A370" t="str">
        <f t="shared" si="10"/>
        <v>P369</v>
      </c>
      <c r="B370" t="str">
        <f>IF(E370="","",Teams!A14)</f>
        <v>T13</v>
      </c>
      <c r="C370" t="str">
        <f>IF(E370="","",Teams!C14)</f>
        <v>All Blacks</v>
      </c>
      <c r="D370">
        <f>IF(E370="","",Rosters!AK11)</f>
        <v>10</v>
      </c>
      <c r="E370" t="str">
        <f>IF(Rosters!AL11="","",Rosters!AL11)</f>
        <v>FILIPPO CLEMENTE</v>
      </c>
      <c r="F370" t="str">
        <f>IF(E370="","",Rosters!AM11)</f>
        <v>No</v>
      </c>
      <c r="G370" t="str">
        <f t="shared" si="11"/>
        <v>10 - FILIPPO CLEMENTE</v>
      </c>
    </row>
    <row r="371" spans="1:7" x14ac:dyDescent="0.3">
      <c r="A371" t="str">
        <f t="shared" si="10"/>
        <v>P370</v>
      </c>
      <c r="B371" t="str">
        <f>IF(E371="","",Teams!A14)</f>
        <v>T13</v>
      </c>
      <c r="C371" t="str">
        <f>IF(E371="","",Teams!C14)</f>
        <v>All Blacks</v>
      </c>
      <c r="D371">
        <f>IF(E371="","",Rosters!AK12)</f>
        <v>11</v>
      </c>
      <c r="E371" t="str">
        <f>IF(Rosters!AL12="","",Rosters!AL12)</f>
        <v>ALBERTO LORENZETTI</v>
      </c>
      <c r="F371" t="str">
        <f>IF(E371="","",Rosters!AM12)</f>
        <v>Yes</v>
      </c>
      <c r="G371" t="str">
        <f t="shared" si="11"/>
        <v>11 - ALBERTO LORENZETTI (C)</v>
      </c>
    </row>
    <row r="372" spans="1:7" x14ac:dyDescent="0.3">
      <c r="A372" t="str">
        <f t="shared" si="10"/>
        <v>P371</v>
      </c>
      <c r="B372" t="str">
        <f>IF(E372="","",Teams!A14)</f>
        <v>T13</v>
      </c>
      <c r="C372" t="str">
        <f>IF(E372="","",Teams!C14)</f>
        <v>All Blacks</v>
      </c>
      <c r="D372">
        <f>IF(E372="","",Rosters!AK13)</f>
        <v>18</v>
      </c>
      <c r="E372" t="str">
        <f>IF(Rosters!AL13="","",Rosters!AL13)</f>
        <v>MATTIA BIOLCATI</v>
      </c>
      <c r="F372" t="str">
        <f>IF(E372="","",Rosters!AM13)</f>
        <v>No</v>
      </c>
      <c r="G372" t="str">
        <f t="shared" si="11"/>
        <v>18 - MATTIA BIOLCATI</v>
      </c>
    </row>
    <row r="373" spans="1:7" x14ac:dyDescent="0.3">
      <c r="A373" t="str">
        <f t="shared" si="10"/>
        <v/>
      </c>
      <c r="B373" t="str">
        <f>IF(E373="","",Teams!A14)</f>
        <v/>
      </c>
      <c r="C373" t="str">
        <f>IF(E373="","",Teams!C14)</f>
        <v/>
      </c>
      <c r="D373" t="str">
        <f>IF(E373="","",Rosters!AK14)</f>
        <v/>
      </c>
      <c r="E373" t="str">
        <f>IF(Rosters!AL14="","",Rosters!AL14)</f>
        <v/>
      </c>
      <c r="F373" t="str">
        <f>IF(E373="","",Rosters!AM14)</f>
        <v/>
      </c>
      <c r="G373" t="str">
        <f t="shared" si="11"/>
        <v/>
      </c>
    </row>
    <row r="374" spans="1:7" x14ac:dyDescent="0.3">
      <c r="A374" t="str">
        <f t="shared" si="10"/>
        <v/>
      </c>
      <c r="B374" t="str">
        <f>IF(E374="","",Teams!A14)</f>
        <v/>
      </c>
      <c r="C374" t="str">
        <f>IF(E374="","",Teams!C14)</f>
        <v/>
      </c>
      <c r="D374" t="str">
        <f>IF(E374="","",Rosters!AK15)</f>
        <v/>
      </c>
      <c r="E374" t="str">
        <f>IF(Rosters!AL15="","",Rosters!AL15)</f>
        <v/>
      </c>
      <c r="F374" t="str">
        <f>IF(E374="","",Rosters!AM15)</f>
        <v/>
      </c>
      <c r="G374" t="str">
        <f t="shared" si="11"/>
        <v/>
      </c>
    </row>
    <row r="375" spans="1:7" x14ac:dyDescent="0.3">
      <c r="A375" t="str">
        <f t="shared" si="10"/>
        <v/>
      </c>
      <c r="B375" t="str">
        <f>IF(E375="","",Teams!A14)</f>
        <v/>
      </c>
      <c r="C375" t="str">
        <f>IF(E375="","",Teams!C14)</f>
        <v/>
      </c>
      <c r="D375" t="str">
        <f>IF(E375="","",Rosters!AK16)</f>
        <v/>
      </c>
      <c r="E375" t="str">
        <f>IF(Rosters!AL16="","",Rosters!AL16)</f>
        <v/>
      </c>
      <c r="F375" t="str">
        <f>IF(E375="","",Rosters!AM16)</f>
        <v/>
      </c>
      <c r="G375" t="str">
        <f t="shared" si="11"/>
        <v/>
      </c>
    </row>
    <row r="376" spans="1:7" x14ac:dyDescent="0.3">
      <c r="A376" t="str">
        <f t="shared" si="10"/>
        <v/>
      </c>
      <c r="B376" t="str">
        <f>IF(E376="","",Teams!A14)</f>
        <v/>
      </c>
      <c r="C376" t="str">
        <f>IF(E376="","",Teams!C14)</f>
        <v/>
      </c>
      <c r="D376" t="str">
        <f>IF(E376="","",Rosters!AK17)</f>
        <v/>
      </c>
      <c r="E376" t="str">
        <f>IF(Rosters!AL17="","",Rosters!AL17)</f>
        <v/>
      </c>
      <c r="F376" t="str">
        <f>IF(E376="","",Rosters!AM17)</f>
        <v/>
      </c>
      <c r="G376" t="str">
        <f t="shared" si="11"/>
        <v/>
      </c>
    </row>
    <row r="377" spans="1:7" x14ac:dyDescent="0.3">
      <c r="A377" t="str">
        <f t="shared" si="10"/>
        <v/>
      </c>
      <c r="B377" t="str">
        <f>IF(E377="","",Teams!A14)</f>
        <v/>
      </c>
      <c r="C377" t="str">
        <f>IF(E377="","",Teams!C14)</f>
        <v/>
      </c>
      <c r="D377" t="str">
        <f>IF(E377="","",Rosters!AK18)</f>
        <v/>
      </c>
      <c r="E377" t="str">
        <f>IF(Rosters!AL18="","",Rosters!AL18)</f>
        <v/>
      </c>
      <c r="F377" t="str">
        <f>IF(E377="","",Rosters!AM18)</f>
        <v/>
      </c>
      <c r="G377" t="str">
        <f t="shared" si="11"/>
        <v/>
      </c>
    </row>
    <row r="378" spans="1:7" x14ac:dyDescent="0.3">
      <c r="A378" t="str">
        <f t="shared" si="10"/>
        <v/>
      </c>
      <c r="B378" t="str">
        <f>IF(E378="","",Teams!A14)</f>
        <v/>
      </c>
      <c r="C378" t="str">
        <f>IF(E378="","",Teams!C14)</f>
        <v/>
      </c>
      <c r="D378" t="str">
        <f>IF(E378="","",Rosters!AK19)</f>
        <v/>
      </c>
      <c r="E378" t="str">
        <f>IF(Rosters!AL19="","",Rosters!AL19)</f>
        <v/>
      </c>
      <c r="F378" t="str">
        <f>IF(E378="","",Rosters!AM19)</f>
        <v/>
      </c>
      <c r="G378" t="str">
        <f t="shared" si="11"/>
        <v/>
      </c>
    </row>
    <row r="379" spans="1:7" x14ac:dyDescent="0.3">
      <c r="A379" t="str">
        <f t="shared" si="10"/>
        <v/>
      </c>
      <c r="B379" t="str">
        <f>IF(E379="","",Teams!A14)</f>
        <v/>
      </c>
      <c r="C379" t="str">
        <f>IF(E379="","",Teams!C14)</f>
        <v/>
      </c>
      <c r="D379" t="str">
        <f>IF(E379="","",Rosters!AK20)</f>
        <v/>
      </c>
      <c r="E379" t="str">
        <f>IF(Rosters!AL20="","",Rosters!AL20)</f>
        <v/>
      </c>
      <c r="F379" t="str">
        <f>IF(E379="","",Rosters!AM20)</f>
        <v/>
      </c>
      <c r="G379" t="str">
        <f t="shared" si="11"/>
        <v/>
      </c>
    </row>
    <row r="380" spans="1:7" x14ac:dyDescent="0.3">
      <c r="A380" t="str">
        <f t="shared" si="10"/>
        <v/>
      </c>
      <c r="B380" t="str">
        <f>IF(E380="","",Teams!A14)</f>
        <v/>
      </c>
      <c r="C380" t="str">
        <f>IF(E380="","",Teams!C14)</f>
        <v/>
      </c>
      <c r="D380" t="str">
        <f>IF(E380="","",Rosters!AK21)</f>
        <v/>
      </c>
      <c r="E380" t="str">
        <f>IF(Rosters!AL21="","",Rosters!AL21)</f>
        <v/>
      </c>
      <c r="F380" t="str">
        <f>IF(E380="","",Rosters!AM21)</f>
        <v/>
      </c>
      <c r="G380" t="str">
        <f t="shared" si="11"/>
        <v/>
      </c>
    </row>
    <row r="381" spans="1:7" x14ac:dyDescent="0.3">
      <c r="A381" t="str">
        <f t="shared" si="10"/>
        <v/>
      </c>
      <c r="B381" t="str">
        <f>IF(E381="","",Teams!A14)</f>
        <v/>
      </c>
      <c r="C381" t="str">
        <f>IF(E381="","",Teams!C14)</f>
        <v/>
      </c>
      <c r="D381" t="str">
        <f>IF(E381="","",Rosters!AK22)</f>
        <v/>
      </c>
      <c r="E381" t="str">
        <f>IF(Rosters!AL22="","",Rosters!AL22)</f>
        <v/>
      </c>
      <c r="F381" t="str">
        <f>IF(E381="","",Rosters!AM22)</f>
        <v/>
      </c>
      <c r="G381" t="str">
        <f t="shared" si="11"/>
        <v/>
      </c>
    </row>
    <row r="382" spans="1:7" x14ac:dyDescent="0.3">
      <c r="A382" t="str">
        <f t="shared" si="10"/>
        <v/>
      </c>
      <c r="B382" t="str">
        <f>IF(E382="","",Teams!A14)</f>
        <v/>
      </c>
      <c r="C382" t="str">
        <f>IF(E382="","",Teams!C14)</f>
        <v/>
      </c>
      <c r="D382" t="str">
        <f>IF(E382="","",Rosters!AK23)</f>
        <v/>
      </c>
      <c r="E382" t="str">
        <f>IF(Rosters!AL23="","",Rosters!AL23)</f>
        <v/>
      </c>
      <c r="F382" t="str">
        <f>IF(E382="","",Rosters!AM23)</f>
        <v/>
      </c>
      <c r="G382" t="str">
        <f t="shared" si="11"/>
        <v/>
      </c>
    </row>
    <row r="383" spans="1:7" x14ac:dyDescent="0.3">
      <c r="A383" t="str">
        <f t="shared" si="10"/>
        <v/>
      </c>
      <c r="B383" t="str">
        <f>IF(E383="","",Teams!A14)</f>
        <v/>
      </c>
      <c r="C383" t="str">
        <f>IF(E383="","",Teams!C14)</f>
        <v/>
      </c>
      <c r="D383" t="str">
        <f>IF(E383="","",Rosters!AK24)</f>
        <v/>
      </c>
      <c r="E383" t="str">
        <f>IF(Rosters!AL24="","",Rosters!AL24)</f>
        <v/>
      </c>
      <c r="F383" t="str">
        <f>IF(E383="","",Rosters!AM24)</f>
        <v/>
      </c>
      <c r="G383" t="str">
        <f t="shared" si="11"/>
        <v/>
      </c>
    </row>
    <row r="384" spans="1:7" x14ac:dyDescent="0.3">
      <c r="A384" t="str">
        <f t="shared" si="10"/>
        <v/>
      </c>
      <c r="B384" t="str">
        <f>IF(E384="","",Teams!A14)</f>
        <v/>
      </c>
      <c r="C384" t="str">
        <f>IF(E384="","",Teams!C14)</f>
        <v/>
      </c>
      <c r="D384" t="str">
        <f>IF(E384="","",Rosters!AK25)</f>
        <v/>
      </c>
      <c r="E384" t="str">
        <f>IF(Rosters!AL25="","",Rosters!AL25)</f>
        <v/>
      </c>
      <c r="F384" t="str">
        <f>IF(E384="","",Rosters!AM25)</f>
        <v/>
      </c>
      <c r="G384" t="str">
        <f t="shared" si="11"/>
        <v/>
      </c>
    </row>
    <row r="385" spans="1:7" x14ac:dyDescent="0.3">
      <c r="A385" t="str">
        <f t="shared" si="10"/>
        <v/>
      </c>
      <c r="B385" t="str">
        <f>IF(E385="","",Teams!A14)</f>
        <v/>
      </c>
      <c r="C385" t="str">
        <f>IF(E385="","",Teams!C14)</f>
        <v/>
      </c>
      <c r="D385" t="str">
        <f>IF(E385="","",Rosters!AK26)</f>
        <v/>
      </c>
      <c r="E385" t="str">
        <f>IF(Rosters!AL26="","",Rosters!AL26)</f>
        <v/>
      </c>
      <c r="F385" t="str">
        <f>IF(E385="","",Rosters!AM26)</f>
        <v/>
      </c>
      <c r="G385" t="str">
        <f t="shared" si="11"/>
        <v/>
      </c>
    </row>
    <row r="386" spans="1:7" x14ac:dyDescent="0.3">
      <c r="A386" t="str">
        <f t="shared" ref="A386:A449" si="12">IF(E386="","","P"&amp;TEXT(ROW()-1,"000"))</f>
        <v/>
      </c>
      <c r="B386" t="str">
        <f>IF(E386="","",Teams!A14)</f>
        <v/>
      </c>
      <c r="C386" t="str">
        <f>IF(E386="","",Teams!C14)</f>
        <v/>
      </c>
      <c r="D386" t="str">
        <f>IF(E386="","",Rosters!AK27)</f>
        <v/>
      </c>
      <c r="E386" t="str">
        <f>IF(Rosters!AL27="","",Rosters!AL27)</f>
        <v/>
      </c>
      <c r="F386" t="str">
        <f>IF(E386="","",Rosters!AM27)</f>
        <v/>
      </c>
      <c r="G386" t="str">
        <f t="shared" ref="G386:G449" si="13">IF(E386="","",IF(D386="","",D386&amp;" - ")&amp;E386&amp;IF(F386="Yes"," (C)",""))</f>
        <v/>
      </c>
    </row>
    <row r="387" spans="1:7" x14ac:dyDescent="0.3">
      <c r="A387" t="str">
        <f t="shared" si="12"/>
        <v/>
      </c>
      <c r="B387" t="str">
        <f>IF(E387="","",Teams!A14)</f>
        <v/>
      </c>
      <c r="C387" t="str">
        <f>IF(E387="","",Teams!C14)</f>
        <v/>
      </c>
      <c r="D387" t="str">
        <f>IF(E387="","",Rosters!AK28)</f>
        <v/>
      </c>
      <c r="E387" t="str">
        <f>IF(Rosters!AL28="","",Rosters!AL28)</f>
        <v/>
      </c>
      <c r="F387" t="str">
        <f>IF(E387="","",Rosters!AM28)</f>
        <v/>
      </c>
      <c r="G387" t="str">
        <f t="shared" si="13"/>
        <v/>
      </c>
    </row>
    <row r="388" spans="1:7" x14ac:dyDescent="0.3">
      <c r="A388" t="str">
        <f t="shared" si="12"/>
        <v/>
      </c>
      <c r="B388" t="str">
        <f>IF(E388="","",Teams!A14)</f>
        <v/>
      </c>
      <c r="C388" t="str">
        <f>IF(E388="","",Teams!C14)</f>
        <v/>
      </c>
      <c r="D388" t="str">
        <f>IF(E388="","",Rosters!AK29)</f>
        <v/>
      </c>
      <c r="E388" t="str">
        <f>IF(Rosters!AL29="","",Rosters!AL29)</f>
        <v/>
      </c>
      <c r="F388" t="str">
        <f>IF(E388="","",Rosters!AM29)</f>
        <v/>
      </c>
      <c r="G388" t="str">
        <f t="shared" si="13"/>
        <v/>
      </c>
    </row>
    <row r="389" spans="1:7" x14ac:dyDescent="0.3">
      <c r="A389" t="str">
        <f t="shared" si="12"/>
        <v/>
      </c>
      <c r="B389" t="str">
        <f>IF(E389="","",Teams!A14)</f>
        <v/>
      </c>
      <c r="C389" t="str">
        <f>IF(E389="","",Teams!C14)</f>
        <v/>
      </c>
      <c r="D389" t="str">
        <f>IF(E389="","",Rosters!AK30)</f>
        <v/>
      </c>
      <c r="E389" t="str">
        <f>IF(Rosters!AL30="","",Rosters!AL30)</f>
        <v/>
      </c>
      <c r="F389" t="str">
        <f>IF(E389="","",Rosters!AM30)</f>
        <v/>
      </c>
      <c r="G389" t="str">
        <f t="shared" si="13"/>
        <v/>
      </c>
    </row>
    <row r="390" spans="1:7" x14ac:dyDescent="0.3">
      <c r="A390" t="str">
        <f t="shared" si="12"/>
        <v/>
      </c>
      <c r="B390" t="str">
        <f>IF(E390="","",Teams!A14)</f>
        <v/>
      </c>
      <c r="C390" t="str">
        <f>IF(E390="","",Teams!C14)</f>
        <v/>
      </c>
      <c r="D390" t="str">
        <f>IF(E390="","",Rosters!AK31)</f>
        <v/>
      </c>
      <c r="E390" t="str">
        <f>IF(Rosters!AL31="","",Rosters!AL31)</f>
        <v/>
      </c>
      <c r="F390" t="str">
        <f>IF(E390="","",Rosters!AM31)</f>
        <v/>
      </c>
      <c r="G390" t="str">
        <f t="shared" si="13"/>
        <v/>
      </c>
    </row>
    <row r="391" spans="1:7" x14ac:dyDescent="0.3">
      <c r="A391" t="str">
        <f t="shared" si="12"/>
        <v/>
      </c>
      <c r="B391" t="str">
        <f>IF(E391="","",Teams!A14)</f>
        <v/>
      </c>
      <c r="C391" t="str">
        <f>IF(E391="","",Teams!C14)</f>
        <v/>
      </c>
      <c r="D391" t="str">
        <f>IF(E391="","",Rosters!AK32)</f>
        <v/>
      </c>
      <c r="E391" t="str">
        <f>IF(Rosters!AL32="","",Rosters!AL32)</f>
        <v/>
      </c>
      <c r="F391" t="str">
        <f>IF(E391="","",Rosters!AM32)</f>
        <v/>
      </c>
      <c r="G391" t="str">
        <f t="shared" si="13"/>
        <v/>
      </c>
    </row>
    <row r="392" spans="1:7" x14ac:dyDescent="0.3">
      <c r="A392" t="str">
        <f t="shared" si="12"/>
        <v>P391</v>
      </c>
      <c r="B392" t="str">
        <f>IF(E392="","",Teams!A15)</f>
        <v>T14</v>
      </c>
      <c r="C392" t="str">
        <f>IF(E392="","",Teams!C15)</f>
        <v>Boldò Glimt</v>
      </c>
      <c r="D392">
        <f>IF(E392="","",Rosters!AN3)</f>
        <v>1</v>
      </c>
      <c r="E392" t="str">
        <f>IF(Rosters!AO3="","",Rosters!AO3)</f>
        <v>MATTIA BELLUCCO</v>
      </c>
      <c r="F392" t="str">
        <f>IF(E392="","",Rosters!AP3)</f>
        <v>No</v>
      </c>
      <c r="G392" t="str">
        <f t="shared" si="13"/>
        <v>1 - MATTIA BELLUCCO</v>
      </c>
    </row>
    <row r="393" spans="1:7" x14ac:dyDescent="0.3">
      <c r="A393" t="str">
        <f t="shared" si="12"/>
        <v>P392</v>
      </c>
      <c r="B393" t="str">
        <f>IF(E393="","",Teams!A15)</f>
        <v>T14</v>
      </c>
      <c r="C393" t="str">
        <f>IF(E393="","",Teams!C15)</f>
        <v>Boldò Glimt</v>
      </c>
      <c r="D393">
        <f>IF(E393="","",Rosters!AN4)</f>
        <v>2</v>
      </c>
      <c r="E393" t="str">
        <f>IF(Rosters!AO4="","",Rosters!AO4)</f>
        <v>NICOLÒ BERTIPAGLIA</v>
      </c>
      <c r="F393" t="str">
        <f>IF(E393="","",Rosters!AP4)</f>
        <v>No</v>
      </c>
      <c r="G393" t="str">
        <f t="shared" si="13"/>
        <v>2 - NICOLÒ BERTIPAGLIA</v>
      </c>
    </row>
    <row r="394" spans="1:7" x14ac:dyDescent="0.3">
      <c r="A394" t="str">
        <f t="shared" si="12"/>
        <v>P393</v>
      </c>
      <c r="B394" t="str">
        <f>IF(E394="","",Teams!A15)</f>
        <v>T14</v>
      </c>
      <c r="C394" t="str">
        <f>IF(E394="","",Teams!C15)</f>
        <v>Boldò Glimt</v>
      </c>
      <c r="D394">
        <f>IF(E394="","",Rosters!AN5)</f>
        <v>4</v>
      </c>
      <c r="E394" t="str">
        <f>IF(Rosters!AO5="","",Rosters!AO5)</f>
        <v>FRANCESCO CUCCATO</v>
      </c>
      <c r="F394" t="str">
        <f>IF(E394="","",Rosters!AP5)</f>
        <v>No</v>
      </c>
      <c r="G394" t="str">
        <f t="shared" si="13"/>
        <v>4 - FRANCESCO CUCCATO</v>
      </c>
    </row>
    <row r="395" spans="1:7" x14ac:dyDescent="0.3">
      <c r="A395" t="str">
        <f t="shared" si="12"/>
        <v>P394</v>
      </c>
      <c r="B395" t="str">
        <f>IF(E395="","",Teams!A15)</f>
        <v>T14</v>
      </c>
      <c r="C395" t="str">
        <f>IF(E395="","",Teams!C15)</f>
        <v>Boldò Glimt</v>
      </c>
      <c r="D395">
        <f>IF(E395="","",Rosters!AN6)</f>
        <v>7</v>
      </c>
      <c r="E395" t="str">
        <f>IF(Rosters!AO6="","",Rosters!AO6)</f>
        <v>ANGELO REDI</v>
      </c>
      <c r="F395" t="str">
        <f>IF(E395="","",Rosters!AP6)</f>
        <v>No</v>
      </c>
      <c r="G395" t="str">
        <f t="shared" si="13"/>
        <v>7 - ANGELO REDI</v>
      </c>
    </row>
    <row r="396" spans="1:7" x14ac:dyDescent="0.3">
      <c r="A396" t="str">
        <f t="shared" si="12"/>
        <v>P395</v>
      </c>
      <c r="B396" t="str">
        <f>IF(E396="","",Teams!A15)</f>
        <v>T14</v>
      </c>
      <c r="C396" t="str">
        <f>IF(E396="","",Teams!C15)</f>
        <v>Boldò Glimt</v>
      </c>
      <c r="D396">
        <f>IF(E396="","",Rosters!AN7)</f>
        <v>8</v>
      </c>
      <c r="E396" t="str">
        <f>IF(Rosters!AO7="","",Rosters!AO7)</f>
        <v>MATTEO VERZA</v>
      </c>
      <c r="F396" t="str">
        <f>IF(E396="","",Rosters!AP7)</f>
        <v>No</v>
      </c>
      <c r="G396" t="str">
        <f t="shared" si="13"/>
        <v>8 - MATTEO VERZA</v>
      </c>
    </row>
    <row r="397" spans="1:7" x14ac:dyDescent="0.3">
      <c r="A397" t="str">
        <f t="shared" si="12"/>
        <v>P396</v>
      </c>
      <c r="B397" t="str">
        <f>IF(E397="","",Teams!A15)</f>
        <v>T14</v>
      </c>
      <c r="C397" t="str">
        <f>IF(E397="","",Teams!C15)</f>
        <v>Boldò Glimt</v>
      </c>
      <c r="D397">
        <f>IF(E397="","",Rosters!AN8)</f>
        <v>9</v>
      </c>
      <c r="E397" t="str">
        <f>IF(Rosters!AO8="","",Rosters!AO8)</f>
        <v>MARCO NEODO</v>
      </c>
      <c r="F397" t="str">
        <f>IF(E397="","",Rosters!AP8)</f>
        <v>No</v>
      </c>
      <c r="G397" t="str">
        <f t="shared" si="13"/>
        <v>9 - MARCO NEODO</v>
      </c>
    </row>
    <row r="398" spans="1:7" x14ac:dyDescent="0.3">
      <c r="A398" t="str">
        <f t="shared" si="12"/>
        <v>P397</v>
      </c>
      <c r="B398" t="str">
        <f>IF(E398="","",Teams!A15)</f>
        <v>T14</v>
      </c>
      <c r="C398" t="str">
        <f>IF(E398="","",Teams!C15)</f>
        <v>Boldò Glimt</v>
      </c>
      <c r="D398">
        <f>IF(E398="","",Rosters!AN9)</f>
        <v>10</v>
      </c>
      <c r="E398" t="str">
        <f>IF(Rosters!AO9="","",Rosters!AO9)</f>
        <v>ALEX BERTIPAGLIA</v>
      </c>
      <c r="F398" t="str">
        <f>IF(E398="","",Rosters!AP9)</f>
        <v>Yes</v>
      </c>
      <c r="G398" t="str">
        <f t="shared" si="13"/>
        <v>10 - ALEX BERTIPAGLIA (C)</v>
      </c>
    </row>
    <row r="399" spans="1:7" x14ac:dyDescent="0.3">
      <c r="A399" t="str">
        <f t="shared" si="12"/>
        <v>P398</v>
      </c>
      <c r="B399" t="str">
        <f>IF(E399="","",Teams!A15)</f>
        <v>T14</v>
      </c>
      <c r="C399" t="str">
        <f>IF(E399="","",Teams!C15)</f>
        <v>Boldò Glimt</v>
      </c>
      <c r="D399">
        <f>IF(E399="","",Rosters!AN10)</f>
        <v>14</v>
      </c>
      <c r="E399" t="str">
        <f>IF(Rosters!AO10="","",Rosters!AO10)</f>
        <v>FABIO FERRARI</v>
      </c>
      <c r="F399" t="str">
        <f>IF(E399="","",Rosters!AP10)</f>
        <v>No</v>
      </c>
      <c r="G399" t="str">
        <f t="shared" si="13"/>
        <v>14 - FABIO FERRARI</v>
      </c>
    </row>
    <row r="400" spans="1:7" x14ac:dyDescent="0.3">
      <c r="A400" t="str">
        <f t="shared" si="12"/>
        <v>P399</v>
      </c>
      <c r="B400" t="str">
        <f>IF(E400="","",Teams!A15)</f>
        <v>T14</v>
      </c>
      <c r="C400" t="str">
        <f>IF(E400="","",Teams!C15)</f>
        <v>Boldò Glimt</v>
      </c>
      <c r="D400">
        <f>IF(E400="","",Rosters!AN11)</f>
        <v>17</v>
      </c>
      <c r="E400" t="str">
        <f>IF(Rosters!AO11="","",Rosters!AO11)</f>
        <v>NICOLA MORIN</v>
      </c>
      <c r="F400" t="str">
        <f>IF(E400="","",Rosters!AP11)</f>
        <v>No</v>
      </c>
      <c r="G400" t="str">
        <f t="shared" si="13"/>
        <v>17 - NICOLA MORIN</v>
      </c>
    </row>
    <row r="401" spans="1:7" x14ac:dyDescent="0.3">
      <c r="A401" t="str">
        <f t="shared" si="12"/>
        <v>P400</v>
      </c>
      <c r="B401" t="str">
        <f>IF(E401="","",Teams!A15)</f>
        <v>T14</v>
      </c>
      <c r="C401" t="str">
        <f>IF(E401="","",Teams!C15)</f>
        <v>Boldò Glimt</v>
      </c>
      <c r="D401">
        <f>IF(E401="","",Rosters!AN12)</f>
        <v>21</v>
      </c>
      <c r="E401" t="str">
        <f>IF(Rosters!AO12="","",Rosters!AO12)</f>
        <v>LUCA CECCONELLO</v>
      </c>
      <c r="F401" t="str">
        <f>IF(E401="","",Rosters!AP12)</f>
        <v>No</v>
      </c>
      <c r="G401" t="str">
        <f t="shared" si="13"/>
        <v>21 - LUCA CECCONELLO</v>
      </c>
    </row>
    <row r="402" spans="1:7" x14ac:dyDescent="0.3">
      <c r="A402" t="str">
        <f t="shared" si="12"/>
        <v/>
      </c>
      <c r="B402" t="str">
        <f>IF(E402="","",Teams!A15)</f>
        <v/>
      </c>
      <c r="C402" t="str">
        <f>IF(E402="","",Teams!C15)</f>
        <v/>
      </c>
      <c r="D402" t="str">
        <f>IF(E402="","",Rosters!AN13)</f>
        <v/>
      </c>
      <c r="E402" t="str">
        <f>IF(Rosters!AO13="","",Rosters!AO13)</f>
        <v/>
      </c>
      <c r="F402" t="str">
        <f>IF(E402="","",Rosters!AP13)</f>
        <v/>
      </c>
      <c r="G402" t="str">
        <f t="shared" si="13"/>
        <v/>
      </c>
    </row>
    <row r="403" spans="1:7" x14ac:dyDescent="0.3">
      <c r="A403" t="str">
        <f t="shared" si="12"/>
        <v/>
      </c>
      <c r="B403" t="str">
        <f>IF(E403="","",Teams!A15)</f>
        <v/>
      </c>
      <c r="C403" t="str">
        <f>IF(E403="","",Teams!C15)</f>
        <v/>
      </c>
      <c r="D403" t="str">
        <f>IF(E403="","",Rosters!AN14)</f>
        <v/>
      </c>
      <c r="E403" t="str">
        <f>IF(Rosters!AO14="","",Rosters!AO14)</f>
        <v/>
      </c>
      <c r="F403" t="str">
        <f>IF(E403="","",Rosters!AP14)</f>
        <v/>
      </c>
      <c r="G403" t="str">
        <f t="shared" si="13"/>
        <v/>
      </c>
    </row>
    <row r="404" spans="1:7" x14ac:dyDescent="0.3">
      <c r="A404" t="str">
        <f t="shared" si="12"/>
        <v/>
      </c>
      <c r="B404" t="str">
        <f>IF(E404="","",Teams!A15)</f>
        <v/>
      </c>
      <c r="C404" t="str">
        <f>IF(E404="","",Teams!C15)</f>
        <v/>
      </c>
      <c r="D404" t="str">
        <f>IF(E404="","",Rosters!AN15)</f>
        <v/>
      </c>
      <c r="E404" t="str">
        <f>IF(Rosters!AO15="","",Rosters!AO15)</f>
        <v/>
      </c>
      <c r="F404" t="str">
        <f>IF(E404="","",Rosters!AP15)</f>
        <v/>
      </c>
      <c r="G404" t="str">
        <f t="shared" si="13"/>
        <v/>
      </c>
    </row>
    <row r="405" spans="1:7" x14ac:dyDescent="0.3">
      <c r="A405" t="str">
        <f t="shared" si="12"/>
        <v/>
      </c>
      <c r="B405" t="str">
        <f>IF(E405="","",Teams!A15)</f>
        <v/>
      </c>
      <c r="C405" t="str">
        <f>IF(E405="","",Teams!C15)</f>
        <v/>
      </c>
      <c r="D405" t="str">
        <f>IF(E405="","",Rosters!AN16)</f>
        <v/>
      </c>
      <c r="E405" t="str">
        <f>IF(Rosters!AO16="","",Rosters!AO16)</f>
        <v/>
      </c>
      <c r="F405" t="str">
        <f>IF(E405="","",Rosters!AP16)</f>
        <v/>
      </c>
      <c r="G405" t="str">
        <f t="shared" si="13"/>
        <v/>
      </c>
    </row>
    <row r="406" spans="1:7" x14ac:dyDescent="0.3">
      <c r="A406" t="str">
        <f t="shared" si="12"/>
        <v/>
      </c>
      <c r="B406" t="str">
        <f>IF(E406="","",Teams!A15)</f>
        <v/>
      </c>
      <c r="C406" t="str">
        <f>IF(E406="","",Teams!C15)</f>
        <v/>
      </c>
      <c r="D406" t="str">
        <f>IF(E406="","",Rosters!AN17)</f>
        <v/>
      </c>
      <c r="E406" t="str">
        <f>IF(Rosters!AO17="","",Rosters!AO17)</f>
        <v/>
      </c>
      <c r="F406" t="str">
        <f>IF(E406="","",Rosters!AP17)</f>
        <v/>
      </c>
      <c r="G406" t="str">
        <f t="shared" si="13"/>
        <v/>
      </c>
    </row>
    <row r="407" spans="1:7" x14ac:dyDescent="0.3">
      <c r="A407" t="str">
        <f t="shared" si="12"/>
        <v/>
      </c>
      <c r="B407" t="str">
        <f>IF(E407="","",Teams!A15)</f>
        <v/>
      </c>
      <c r="C407" t="str">
        <f>IF(E407="","",Teams!C15)</f>
        <v/>
      </c>
      <c r="D407" t="str">
        <f>IF(E407="","",Rosters!AN18)</f>
        <v/>
      </c>
      <c r="E407" t="str">
        <f>IF(Rosters!AO18="","",Rosters!AO18)</f>
        <v/>
      </c>
      <c r="F407" t="str">
        <f>IF(E407="","",Rosters!AP18)</f>
        <v/>
      </c>
      <c r="G407" t="str">
        <f t="shared" si="13"/>
        <v/>
      </c>
    </row>
    <row r="408" spans="1:7" x14ac:dyDescent="0.3">
      <c r="A408" t="str">
        <f t="shared" si="12"/>
        <v/>
      </c>
      <c r="B408" t="str">
        <f>IF(E408="","",Teams!A15)</f>
        <v/>
      </c>
      <c r="C408" t="str">
        <f>IF(E408="","",Teams!C15)</f>
        <v/>
      </c>
      <c r="D408" t="str">
        <f>IF(E408="","",Rosters!AN19)</f>
        <v/>
      </c>
      <c r="E408" t="str">
        <f>IF(Rosters!AO19="","",Rosters!AO19)</f>
        <v/>
      </c>
      <c r="F408" t="str">
        <f>IF(E408="","",Rosters!AP19)</f>
        <v/>
      </c>
      <c r="G408" t="str">
        <f t="shared" si="13"/>
        <v/>
      </c>
    </row>
    <row r="409" spans="1:7" x14ac:dyDescent="0.3">
      <c r="A409" t="str">
        <f t="shared" si="12"/>
        <v/>
      </c>
      <c r="B409" t="str">
        <f>IF(E409="","",Teams!A15)</f>
        <v/>
      </c>
      <c r="C409" t="str">
        <f>IF(E409="","",Teams!C15)</f>
        <v/>
      </c>
      <c r="D409" t="str">
        <f>IF(E409="","",Rosters!AN20)</f>
        <v/>
      </c>
      <c r="E409" t="str">
        <f>IF(Rosters!AO20="","",Rosters!AO20)</f>
        <v/>
      </c>
      <c r="F409" t="str">
        <f>IF(E409="","",Rosters!AP20)</f>
        <v/>
      </c>
      <c r="G409" t="str">
        <f t="shared" si="13"/>
        <v/>
      </c>
    </row>
    <row r="410" spans="1:7" x14ac:dyDescent="0.3">
      <c r="A410" t="str">
        <f t="shared" si="12"/>
        <v/>
      </c>
      <c r="B410" t="str">
        <f>IF(E410="","",Teams!A15)</f>
        <v/>
      </c>
      <c r="C410" t="str">
        <f>IF(E410="","",Teams!C15)</f>
        <v/>
      </c>
      <c r="D410" t="str">
        <f>IF(E410="","",Rosters!AN21)</f>
        <v/>
      </c>
      <c r="E410" t="str">
        <f>IF(Rosters!AO21="","",Rosters!AO21)</f>
        <v/>
      </c>
      <c r="F410" t="str">
        <f>IF(E410="","",Rosters!AP21)</f>
        <v/>
      </c>
      <c r="G410" t="str">
        <f t="shared" si="13"/>
        <v/>
      </c>
    </row>
    <row r="411" spans="1:7" x14ac:dyDescent="0.3">
      <c r="A411" t="str">
        <f t="shared" si="12"/>
        <v/>
      </c>
      <c r="B411" t="str">
        <f>IF(E411="","",Teams!A15)</f>
        <v/>
      </c>
      <c r="C411" t="str">
        <f>IF(E411="","",Teams!C15)</f>
        <v/>
      </c>
      <c r="D411" t="str">
        <f>IF(E411="","",Rosters!AN22)</f>
        <v/>
      </c>
      <c r="E411" t="str">
        <f>IF(Rosters!AO22="","",Rosters!AO22)</f>
        <v/>
      </c>
      <c r="F411" t="str">
        <f>IF(E411="","",Rosters!AP22)</f>
        <v/>
      </c>
      <c r="G411" t="str">
        <f t="shared" si="13"/>
        <v/>
      </c>
    </row>
    <row r="412" spans="1:7" x14ac:dyDescent="0.3">
      <c r="A412" t="str">
        <f t="shared" si="12"/>
        <v/>
      </c>
      <c r="B412" t="str">
        <f>IF(E412="","",Teams!A15)</f>
        <v/>
      </c>
      <c r="C412" t="str">
        <f>IF(E412="","",Teams!C15)</f>
        <v/>
      </c>
      <c r="D412" t="str">
        <f>IF(E412="","",Rosters!AN23)</f>
        <v/>
      </c>
      <c r="E412" t="str">
        <f>IF(Rosters!AO23="","",Rosters!AO23)</f>
        <v/>
      </c>
      <c r="F412" t="str">
        <f>IF(E412="","",Rosters!AP23)</f>
        <v/>
      </c>
      <c r="G412" t="str">
        <f t="shared" si="13"/>
        <v/>
      </c>
    </row>
    <row r="413" spans="1:7" x14ac:dyDescent="0.3">
      <c r="A413" t="str">
        <f t="shared" si="12"/>
        <v/>
      </c>
      <c r="B413" t="str">
        <f>IF(E413="","",Teams!A15)</f>
        <v/>
      </c>
      <c r="C413" t="str">
        <f>IF(E413="","",Teams!C15)</f>
        <v/>
      </c>
      <c r="D413" t="str">
        <f>IF(E413="","",Rosters!AN24)</f>
        <v/>
      </c>
      <c r="E413" t="str">
        <f>IF(Rosters!AO24="","",Rosters!AO24)</f>
        <v/>
      </c>
      <c r="F413" t="str">
        <f>IF(E413="","",Rosters!AP24)</f>
        <v/>
      </c>
      <c r="G413" t="str">
        <f t="shared" si="13"/>
        <v/>
      </c>
    </row>
    <row r="414" spans="1:7" x14ac:dyDescent="0.3">
      <c r="A414" t="str">
        <f t="shared" si="12"/>
        <v/>
      </c>
      <c r="B414" t="str">
        <f>IF(E414="","",Teams!A15)</f>
        <v/>
      </c>
      <c r="C414" t="str">
        <f>IF(E414="","",Teams!C15)</f>
        <v/>
      </c>
      <c r="D414" t="str">
        <f>IF(E414="","",Rosters!AN25)</f>
        <v/>
      </c>
      <c r="E414" t="str">
        <f>IF(Rosters!AO25="","",Rosters!AO25)</f>
        <v/>
      </c>
      <c r="F414" t="str">
        <f>IF(E414="","",Rosters!AP25)</f>
        <v/>
      </c>
      <c r="G414" t="str">
        <f t="shared" si="13"/>
        <v/>
      </c>
    </row>
    <row r="415" spans="1:7" x14ac:dyDescent="0.3">
      <c r="A415" t="str">
        <f t="shared" si="12"/>
        <v/>
      </c>
      <c r="B415" t="str">
        <f>IF(E415="","",Teams!A15)</f>
        <v/>
      </c>
      <c r="C415" t="str">
        <f>IF(E415="","",Teams!C15)</f>
        <v/>
      </c>
      <c r="D415" t="str">
        <f>IF(E415="","",Rosters!AN26)</f>
        <v/>
      </c>
      <c r="E415" t="str">
        <f>IF(Rosters!AO26="","",Rosters!AO26)</f>
        <v/>
      </c>
      <c r="F415" t="str">
        <f>IF(E415="","",Rosters!AP26)</f>
        <v/>
      </c>
      <c r="G415" t="str">
        <f t="shared" si="13"/>
        <v/>
      </c>
    </row>
    <row r="416" spans="1:7" x14ac:dyDescent="0.3">
      <c r="A416" t="str">
        <f t="shared" si="12"/>
        <v/>
      </c>
      <c r="B416" t="str">
        <f>IF(E416="","",Teams!A15)</f>
        <v/>
      </c>
      <c r="C416" t="str">
        <f>IF(E416="","",Teams!C15)</f>
        <v/>
      </c>
      <c r="D416" t="str">
        <f>IF(E416="","",Rosters!AN27)</f>
        <v/>
      </c>
      <c r="E416" t="str">
        <f>IF(Rosters!AO27="","",Rosters!AO27)</f>
        <v/>
      </c>
      <c r="F416" t="str">
        <f>IF(E416="","",Rosters!AP27)</f>
        <v/>
      </c>
      <c r="G416" t="str">
        <f t="shared" si="13"/>
        <v/>
      </c>
    </row>
    <row r="417" spans="1:7" x14ac:dyDescent="0.3">
      <c r="A417" t="str">
        <f t="shared" si="12"/>
        <v/>
      </c>
      <c r="B417" t="str">
        <f>IF(E417="","",Teams!A15)</f>
        <v/>
      </c>
      <c r="C417" t="str">
        <f>IF(E417="","",Teams!C15)</f>
        <v/>
      </c>
      <c r="D417" t="str">
        <f>IF(E417="","",Rosters!AN28)</f>
        <v/>
      </c>
      <c r="E417" t="str">
        <f>IF(Rosters!AO28="","",Rosters!AO28)</f>
        <v/>
      </c>
      <c r="F417" t="str">
        <f>IF(E417="","",Rosters!AP28)</f>
        <v/>
      </c>
      <c r="G417" t="str">
        <f t="shared" si="13"/>
        <v/>
      </c>
    </row>
    <row r="418" spans="1:7" x14ac:dyDescent="0.3">
      <c r="A418" t="str">
        <f t="shared" si="12"/>
        <v/>
      </c>
      <c r="B418" t="str">
        <f>IF(E418="","",Teams!A15)</f>
        <v/>
      </c>
      <c r="C418" t="str">
        <f>IF(E418="","",Teams!C15)</f>
        <v/>
      </c>
      <c r="D418" t="str">
        <f>IF(E418="","",Rosters!AN29)</f>
        <v/>
      </c>
      <c r="E418" t="str">
        <f>IF(Rosters!AO29="","",Rosters!AO29)</f>
        <v/>
      </c>
      <c r="F418" t="str">
        <f>IF(E418="","",Rosters!AP29)</f>
        <v/>
      </c>
      <c r="G418" t="str">
        <f t="shared" si="13"/>
        <v/>
      </c>
    </row>
    <row r="419" spans="1:7" x14ac:dyDescent="0.3">
      <c r="A419" t="str">
        <f t="shared" si="12"/>
        <v/>
      </c>
      <c r="B419" t="str">
        <f>IF(E419="","",Teams!A15)</f>
        <v/>
      </c>
      <c r="C419" t="str">
        <f>IF(E419="","",Teams!C15)</f>
        <v/>
      </c>
      <c r="D419" t="str">
        <f>IF(E419="","",Rosters!AN30)</f>
        <v/>
      </c>
      <c r="E419" t="str">
        <f>IF(Rosters!AO30="","",Rosters!AO30)</f>
        <v/>
      </c>
      <c r="F419" t="str">
        <f>IF(E419="","",Rosters!AP30)</f>
        <v/>
      </c>
      <c r="G419" t="str">
        <f t="shared" si="13"/>
        <v/>
      </c>
    </row>
    <row r="420" spans="1:7" x14ac:dyDescent="0.3">
      <c r="A420" t="str">
        <f t="shared" si="12"/>
        <v/>
      </c>
      <c r="B420" t="str">
        <f>IF(E420="","",Teams!A15)</f>
        <v/>
      </c>
      <c r="C420" t="str">
        <f>IF(E420="","",Teams!C15)</f>
        <v/>
      </c>
      <c r="D420" t="str">
        <f>IF(E420="","",Rosters!AN31)</f>
        <v/>
      </c>
      <c r="E420" t="str">
        <f>IF(Rosters!AO31="","",Rosters!AO31)</f>
        <v/>
      </c>
      <c r="F420" t="str">
        <f>IF(E420="","",Rosters!AP31)</f>
        <v/>
      </c>
      <c r="G420" t="str">
        <f t="shared" si="13"/>
        <v/>
      </c>
    </row>
    <row r="421" spans="1:7" x14ac:dyDescent="0.3">
      <c r="A421" t="str">
        <f t="shared" si="12"/>
        <v/>
      </c>
      <c r="B421" t="str">
        <f>IF(E421="","",Teams!A15)</f>
        <v/>
      </c>
      <c r="C421" t="str">
        <f>IF(E421="","",Teams!C15)</f>
        <v/>
      </c>
      <c r="D421" t="str">
        <f>IF(E421="","",Rosters!AN32)</f>
        <v/>
      </c>
      <c r="E421" t="str">
        <f>IF(Rosters!AO32="","",Rosters!AO32)</f>
        <v/>
      </c>
      <c r="F421" t="str">
        <f>IF(E421="","",Rosters!AP32)</f>
        <v/>
      </c>
      <c r="G421" t="str">
        <f t="shared" si="13"/>
        <v/>
      </c>
    </row>
    <row r="422" spans="1:7" x14ac:dyDescent="0.3">
      <c r="A422" t="str">
        <f t="shared" si="12"/>
        <v>P421</v>
      </c>
      <c r="B422" t="str">
        <f>IF(E422="","",Teams!A16)</f>
        <v>T15</v>
      </c>
      <c r="C422" t="str">
        <f>IF(E422="","",Teams!C16)</f>
        <v>Coca Juniors</v>
      </c>
      <c r="D422">
        <f>IF(E422="","",Rosters!AQ3)</f>
        <v>1</v>
      </c>
      <c r="E422" t="str">
        <f>IF(Rosters!AR3="","",Rosters!AR3)</f>
        <v>LUCA CAVALLARO</v>
      </c>
      <c r="F422" t="str">
        <f>IF(E422="","",Rosters!AS3)</f>
        <v>No</v>
      </c>
      <c r="G422" t="str">
        <f t="shared" si="13"/>
        <v>1 - LUCA CAVALLARO</v>
      </c>
    </row>
    <row r="423" spans="1:7" x14ac:dyDescent="0.3">
      <c r="A423" t="str">
        <f t="shared" si="12"/>
        <v>P422</v>
      </c>
      <c r="B423" t="str">
        <f>IF(E423="","",Teams!A16)</f>
        <v>T15</v>
      </c>
      <c r="C423" t="str">
        <f>IF(E423="","",Teams!C16)</f>
        <v>Coca Juniors</v>
      </c>
      <c r="D423">
        <f>IF(E423="","",Rosters!AQ4)</f>
        <v>3</v>
      </c>
      <c r="E423" t="str">
        <f>IF(Rosters!AR4="","",Rosters!AR4)</f>
        <v>KEVIN DOBROZI</v>
      </c>
      <c r="F423" t="str">
        <f>IF(E423="","",Rosters!AS4)</f>
        <v>No</v>
      </c>
      <c r="G423" t="str">
        <f t="shared" si="13"/>
        <v>3 - KEVIN DOBROZI</v>
      </c>
    </row>
    <row r="424" spans="1:7" x14ac:dyDescent="0.3">
      <c r="A424" t="str">
        <f t="shared" si="12"/>
        <v>P423</v>
      </c>
      <c r="B424" t="str">
        <f>IF(E424="","",Teams!A16)</f>
        <v>T15</v>
      </c>
      <c r="C424" t="str">
        <f>IF(E424="","",Teams!C16)</f>
        <v>Coca Juniors</v>
      </c>
      <c r="D424">
        <f>IF(E424="","",Rosters!AQ5)</f>
        <v>4</v>
      </c>
      <c r="E424" t="str">
        <f>IF(Rosters!AR5="","",Rosters!AR5)</f>
        <v>ANDREA PAVAN</v>
      </c>
      <c r="F424" t="str">
        <f>IF(E424="","",Rosters!AS5)</f>
        <v>No</v>
      </c>
      <c r="G424" t="str">
        <f t="shared" si="13"/>
        <v>4 - ANDREA PAVAN</v>
      </c>
    </row>
    <row r="425" spans="1:7" x14ac:dyDescent="0.3">
      <c r="A425" t="str">
        <f t="shared" si="12"/>
        <v>P424</v>
      </c>
      <c r="B425" t="str">
        <f>IF(E425="","",Teams!A16)</f>
        <v>T15</v>
      </c>
      <c r="C425" t="str">
        <f>IF(E425="","",Teams!C16)</f>
        <v>Coca Juniors</v>
      </c>
      <c r="D425">
        <f>IF(E425="","",Rosters!AQ6)</f>
        <v>5</v>
      </c>
      <c r="E425" t="str">
        <f>IF(Rosters!AR6="","",Rosters!AR6)</f>
        <v>TOMMASO PAVAN</v>
      </c>
      <c r="F425" t="str">
        <f>IF(E425="","",Rosters!AS6)</f>
        <v>No</v>
      </c>
      <c r="G425" t="str">
        <f t="shared" si="13"/>
        <v>5 - TOMMASO PAVAN</v>
      </c>
    </row>
    <row r="426" spans="1:7" x14ac:dyDescent="0.3">
      <c r="A426" t="str">
        <f t="shared" si="12"/>
        <v>P425</v>
      </c>
      <c r="B426" t="str">
        <f>IF(E426="","",Teams!A16)</f>
        <v>T15</v>
      </c>
      <c r="C426" t="str">
        <f>IF(E426="","",Teams!C16)</f>
        <v>Coca Juniors</v>
      </c>
      <c r="D426">
        <f>IF(E426="","",Rosters!AQ7)</f>
        <v>7</v>
      </c>
      <c r="E426" t="str">
        <f>IF(Rosters!AR7="","",Rosters!AR7)</f>
        <v>GIAN MARCO MARANGONI</v>
      </c>
      <c r="F426" t="str">
        <f>IF(E426="","",Rosters!AS7)</f>
        <v>No</v>
      </c>
      <c r="G426" t="str">
        <f t="shared" si="13"/>
        <v>7 - GIAN MARCO MARANGONI</v>
      </c>
    </row>
    <row r="427" spans="1:7" x14ac:dyDescent="0.3">
      <c r="A427" t="str">
        <f t="shared" si="12"/>
        <v>P426</v>
      </c>
      <c r="B427" t="str">
        <f>IF(E427="","",Teams!A16)</f>
        <v>T15</v>
      </c>
      <c r="C427" t="str">
        <f>IF(E427="","",Teams!C16)</f>
        <v>Coca Juniors</v>
      </c>
      <c r="D427">
        <f>IF(E427="","",Rosters!AQ8)</f>
        <v>9</v>
      </c>
      <c r="E427" t="str">
        <f>IF(Rosters!AR8="","",Rosters!AR8)</f>
        <v>ANDREA GREGGIO</v>
      </c>
      <c r="F427" t="str">
        <f>IF(E427="","",Rosters!AS8)</f>
        <v>No</v>
      </c>
      <c r="G427" t="str">
        <f t="shared" si="13"/>
        <v>9 - ANDREA GREGGIO</v>
      </c>
    </row>
    <row r="428" spans="1:7" x14ac:dyDescent="0.3">
      <c r="A428" t="str">
        <f t="shared" si="12"/>
        <v>P427</v>
      </c>
      <c r="B428" t="str">
        <f>IF(E428="","",Teams!A16)</f>
        <v>T15</v>
      </c>
      <c r="C428" t="str">
        <f>IF(E428="","",Teams!C16)</f>
        <v>Coca Juniors</v>
      </c>
      <c r="D428">
        <f>IF(E428="","",Rosters!AQ9)</f>
        <v>10</v>
      </c>
      <c r="E428" t="str">
        <f>IF(Rosters!AR9="","",Rosters!AR9)</f>
        <v>GIACOMO DOLCE</v>
      </c>
      <c r="F428" t="str">
        <f>IF(E428="","",Rosters!AS9)</f>
        <v>Yes</v>
      </c>
      <c r="G428" t="str">
        <f t="shared" si="13"/>
        <v>10 - GIACOMO DOLCE (C)</v>
      </c>
    </row>
    <row r="429" spans="1:7" x14ac:dyDescent="0.3">
      <c r="A429" t="str">
        <f t="shared" si="12"/>
        <v>P428</v>
      </c>
      <c r="B429" t="str">
        <f>IF(E429="","",Teams!A16)</f>
        <v>T15</v>
      </c>
      <c r="C429" t="str">
        <f>IF(E429="","",Teams!C16)</f>
        <v>Coca Juniors</v>
      </c>
      <c r="D429">
        <f>IF(E429="","",Rosters!AQ10)</f>
        <v>11</v>
      </c>
      <c r="E429" t="str">
        <f>IF(Rosters!AR10="","",Rosters!AR10)</f>
        <v>CRISTIAN CAPUZZO</v>
      </c>
      <c r="F429" t="str">
        <f>IF(E429="","",Rosters!AS10)</f>
        <v>No</v>
      </c>
      <c r="G429" t="str">
        <f t="shared" si="13"/>
        <v>11 - CRISTIAN CAPUZZO</v>
      </c>
    </row>
    <row r="430" spans="1:7" x14ac:dyDescent="0.3">
      <c r="A430" t="str">
        <f t="shared" si="12"/>
        <v>P429</v>
      </c>
      <c r="B430" t="str">
        <f>IF(E430="","",Teams!A16)</f>
        <v>T15</v>
      </c>
      <c r="C430" t="str">
        <f>IF(E430="","",Teams!C16)</f>
        <v>Coca Juniors</v>
      </c>
      <c r="D430">
        <f>IF(E430="","",Rosters!AQ11)</f>
        <v>23</v>
      </c>
      <c r="E430" t="str">
        <f>IF(Rosters!AR11="","",Rosters!AR11)</f>
        <v>EMANUELE VERONESE</v>
      </c>
      <c r="F430" t="str">
        <f>IF(E430="","",Rosters!AS11)</f>
        <v>No</v>
      </c>
      <c r="G430" t="str">
        <f t="shared" si="13"/>
        <v>23 - EMANUELE VERONESE</v>
      </c>
    </row>
    <row r="431" spans="1:7" x14ac:dyDescent="0.3">
      <c r="A431" t="str">
        <f t="shared" si="12"/>
        <v>P430</v>
      </c>
      <c r="B431" t="str">
        <f>IF(E431="","",Teams!A16)</f>
        <v>T15</v>
      </c>
      <c r="C431" t="str">
        <f>IF(E431="","",Teams!C16)</f>
        <v>Coca Juniors</v>
      </c>
      <c r="D431">
        <f>IF(E431="","",Rosters!AQ12)</f>
        <v>28</v>
      </c>
      <c r="E431" t="str">
        <f>IF(Rosters!AR12="","",Rosters!AR12)</f>
        <v>NICOLA DOBROZI</v>
      </c>
      <c r="F431" t="str">
        <f>IF(E431="","",Rosters!AS12)</f>
        <v>No</v>
      </c>
      <c r="G431" t="str">
        <f t="shared" si="13"/>
        <v>28 - NICOLA DOBROZI</v>
      </c>
    </row>
    <row r="432" spans="1:7" x14ac:dyDescent="0.3">
      <c r="A432" t="str">
        <f t="shared" si="12"/>
        <v/>
      </c>
      <c r="B432" t="str">
        <f>IF(E432="","",Teams!A16)</f>
        <v/>
      </c>
      <c r="C432" t="str">
        <f>IF(E432="","",Teams!C16)</f>
        <v/>
      </c>
      <c r="D432" t="str">
        <f>IF(E432="","",Rosters!AQ13)</f>
        <v/>
      </c>
      <c r="E432" t="str">
        <f>IF(Rosters!AR13="","",Rosters!AR13)</f>
        <v/>
      </c>
      <c r="F432" t="str">
        <f>IF(E432="","",Rosters!AS13)</f>
        <v/>
      </c>
      <c r="G432" t="str">
        <f t="shared" si="13"/>
        <v/>
      </c>
    </row>
    <row r="433" spans="1:7" x14ac:dyDescent="0.3">
      <c r="A433" t="str">
        <f t="shared" si="12"/>
        <v/>
      </c>
      <c r="B433" t="str">
        <f>IF(E433="","",Teams!A16)</f>
        <v/>
      </c>
      <c r="C433" t="str">
        <f>IF(E433="","",Teams!C16)</f>
        <v/>
      </c>
      <c r="D433" t="str">
        <f>IF(E433="","",Rosters!AQ14)</f>
        <v/>
      </c>
      <c r="E433" t="str">
        <f>IF(Rosters!AR14="","",Rosters!AR14)</f>
        <v/>
      </c>
      <c r="F433" t="str">
        <f>IF(E433="","",Rosters!AS14)</f>
        <v/>
      </c>
      <c r="G433" t="str">
        <f t="shared" si="13"/>
        <v/>
      </c>
    </row>
    <row r="434" spans="1:7" x14ac:dyDescent="0.3">
      <c r="A434" t="str">
        <f t="shared" si="12"/>
        <v/>
      </c>
      <c r="B434" t="str">
        <f>IF(E434="","",Teams!A16)</f>
        <v/>
      </c>
      <c r="C434" t="str">
        <f>IF(E434="","",Teams!C16)</f>
        <v/>
      </c>
      <c r="D434" t="str">
        <f>IF(E434="","",Rosters!AQ15)</f>
        <v/>
      </c>
      <c r="E434" t="str">
        <f>IF(Rosters!AR15="","",Rosters!AR15)</f>
        <v/>
      </c>
      <c r="F434" t="str">
        <f>IF(E434="","",Rosters!AS15)</f>
        <v/>
      </c>
      <c r="G434" t="str">
        <f t="shared" si="13"/>
        <v/>
      </c>
    </row>
    <row r="435" spans="1:7" x14ac:dyDescent="0.3">
      <c r="A435" t="str">
        <f t="shared" si="12"/>
        <v/>
      </c>
      <c r="B435" t="str">
        <f>IF(E435="","",Teams!A16)</f>
        <v/>
      </c>
      <c r="C435" t="str">
        <f>IF(E435="","",Teams!C16)</f>
        <v/>
      </c>
      <c r="D435" t="str">
        <f>IF(E435="","",Rosters!AQ16)</f>
        <v/>
      </c>
      <c r="E435" t="str">
        <f>IF(Rosters!AR16="","",Rosters!AR16)</f>
        <v/>
      </c>
      <c r="F435" t="str">
        <f>IF(E435="","",Rosters!AS16)</f>
        <v/>
      </c>
      <c r="G435" t="str">
        <f t="shared" si="13"/>
        <v/>
      </c>
    </row>
    <row r="436" spans="1:7" x14ac:dyDescent="0.3">
      <c r="A436" t="str">
        <f t="shared" si="12"/>
        <v/>
      </c>
      <c r="B436" t="str">
        <f>IF(E436="","",Teams!A16)</f>
        <v/>
      </c>
      <c r="C436" t="str">
        <f>IF(E436="","",Teams!C16)</f>
        <v/>
      </c>
      <c r="D436" t="str">
        <f>IF(E436="","",Rosters!AQ17)</f>
        <v/>
      </c>
      <c r="E436" t="str">
        <f>IF(Rosters!AR17="","",Rosters!AR17)</f>
        <v/>
      </c>
      <c r="F436" t="str">
        <f>IF(E436="","",Rosters!AS17)</f>
        <v/>
      </c>
      <c r="G436" t="str">
        <f t="shared" si="13"/>
        <v/>
      </c>
    </row>
    <row r="437" spans="1:7" x14ac:dyDescent="0.3">
      <c r="A437" t="str">
        <f t="shared" si="12"/>
        <v/>
      </c>
      <c r="B437" t="str">
        <f>IF(E437="","",Teams!A16)</f>
        <v/>
      </c>
      <c r="C437" t="str">
        <f>IF(E437="","",Teams!C16)</f>
        <v/>
      </c>
      <c r="D437" t="str">
        <f>IF(E437="","",Rosters!AQ18)</f>
        <v/>
      </c>
      <c r="E437" t="str">
        <f>IF(Rosters!AR18="","",Rosters!AR18)</f>
        <v/>
      </c>
      <c r="F437" t="str">
        <f>IF(E437="","",Rosters!AS18)</f>
        <v/>
      </c>
      <c r="G437" t="str">
        <f t="shared" si="13"/>
        <v/>
      </c>
    </row>
    <row r="438" spans="1:7" x14ac:dyDescent="0.3">
      <c r="A438" t="str">
        <f t="shared" si="12"/>
        <v/>
      </c>
      <c r="B438" t="str">
        <f>IF(E438="","",Teams!A16)</f>
        <v/>
      </c>
      <c r="C438" t="str">
        <f>IF(E438="","",Teams!C16)</f>
        <v/>
      </c>
      <c r="D438" t="str">
        <f>IF(E438="","",Rosters!AQ19)</f>
        <v/>
      </c>
      <c r="E438" t="str">
        <f>IF(Rosters!AR19="","",Rosters!AR19)</f>
        <v/>
      </c>
      <c r="F438" t="str">
        <f>IF(E438="","",Rosters!AS19)</f>
        <v/>
      </c>
      <c r="G438" t="str">
        <f t="shared" si="13"/>
        <v/>
      </c>
    </row>
    <row r="439" spans="1:7" x14ac:dyDescent="0.3">
      <c r="A439" t="str">
        <f t="shared" si="12"/>
        <v/>
      </c>
      <c r="B439" t="str">
        <f>IF(E439="","",Teams!A16)</f>
        <v/>
      </c>
      <c r="C439" t="str">
        <f>IF(E439="","",Teams!C16)</f>
        <v/>
      </c>
      <c r="D439" t="str">
        <f>IF(E439="","",Rosters!AQ20)</f>
        <v/>
      </c>
      <c r="E439" t="str">
        <f>IF(Rosters!AR20="","",Rosters!AR20)</f>
        <v/>
      </c>
      <c r="F439" t="str">
        <f>IF(E439="","",Rosters!AS20)</f>
        <v/>
      </c>
      <c r="G439" t="str">
        <f t="shared" si="13"/>
        <v/>
      </c>
    </row>
    <row r="440" spans="1:7" x14ac:dyDescent="0.3">
      <c r="A440" t="str">
        <f t="shared" si="12"/>
        <v/>
      </c>
      <c r="B440" t="str">
        <f>IF(E440="","",Teams!A16)</f>
        <v/>
      </c>
      <c r="C440" t="str">
        <f>IF(E440="","",Teams!C16)</f>
        <v/>
      </c>
      <c r="D440" t="str">
        <f>IF(E440="","",Rosters!AQ21)</f>
        <v/>
      </c>
      <c r="E440" t="str">
        <f>IF(Rosters!AR21="","",Rosters!AR21)</f>
        <v/>
      </c>
      <c r="F440" t="str">
        <f>IF(E440="","",Rosters!AS21)</f>
        <v/>
      </c>
      <c r="G440" t="str">
        <f t="shared" si="13"/>
        <v/>
      </c>
    </row>
    <row r="441" spans="1:7" x14ac:dyDescent="0.3">
      <c r="A441" t="str">
        <f t="shared" si="12"/>
        <v/>
      </c>
      <c r="B441" t="str">
        <f>IF(E441="","",Teams!A16)</f>
        <v/>
      </c>
      <c r="C441" t="str">
        <f>IF(E441="","",Teams!C16)</f>
        <v/>
      </c>
      <c r="D441" t="str">
        <f>IF(E441="","",Rosters!AQ22)</f>
        <v/>
      </c>
      <c r="E441" t="str">
        <f>IF(Rosters!AR22="","",Rosters!AR22)</f>
        <v/>
      </c>
      <c r="F441" t="str">
        <f>IF(E441="","",Rosters!AS22)</f>
        <v/>
      </c>
      <c r="G441" t="str">
        <f t="shared" si="13"/>
        <v/>
      </c>
    </row>
    <row r="442" spans="1:7" x14ac:dyDescent="0.3">
      <c r="A442" t="str">
        <f t="shared" si="12"/>
        <v/>
      </c>
      <c r="B442" t="str">
        <f>IF(E442="","",Teams!A16)</f>
        <v/>
      </c>
      <c r="C442" t="str">
        <f>IF(E442="","",Teams!C16)</f>
        <v/>
      </c>
      <c r="D442" t="str">
        <f>IF(E442="","",Rosters!AQ23)</f>
        <v/>
      </c>
      <c r="E442" t="str">
        <f>IF(Rosters!AR23="","",Rosters!AR23)</f>
        <v/>
      </c>
      <c r="F442" t="str">
        <f>IF(E442="","",Rosters!AS23)</f>
        <v/>
      </c>
      <c r="G442" t="str">
        <f t="shared" si="13"/>
        <v/>
      </c>
    </row>
    <row r="443" spans="1:7" x14ac:dyDescent="0.3">
      <c r="A443" t="str">
        <f t="shared" si="12"/>
        <v/>
      </c>
      <c r="B443" t="str">
        <f>IF(E443="","",Teams!A16)</f>
        <v/>
      </c>
      <c r="C443" t="str">
        <f>IF(E443="","",Teams!C16)</f>
        <v/>
      </c>
      <c r="D443" t="str">
        <f>IF(E443="","",Rosters!AQ24)</f>
        <v/>
      </c>
      <c r="E443" t="str">
        <f>IF(Rosters!AR24="","",Rosters!AR24)</f>
        <v/>
      </c>
      <c r="F443" t="str">
        <f>IF(E443="","",Rosters!AS24)</f>
        <v/>
      </c>
      <c r="G443" t="str">
        <f t="shared" si="13"/>
        <v/>
      </c>
    </row>
    <row r="444" spans="1:7" x14ac:dyDescent="0.3">
      <c r="A444" t="str">
        <f t="shared" si="12"/>
        <v/>
      </c>
      <c r="B444" t="str">
        <f>IF(E444="","",Teams!A16)</f>
        <v/>
      </c>
      <c r="C444" t="str">
        <f>IF(E444="","",Teams!C16)</f>
        <v/>
      </c>
      <c r="D444" t="str">
        <f>IF(E444="","",Rosters!AQ25)</f>
        <v/>
      </c>
      <c r="E444" t="str">
        <f>IF(Rosters!AR25="","",Rosters!AR25)</f>
        <v/>
      </c>
      <c r="F444" t="str">
        <f>IF(E444="","",Rosters!AS25)</f>
        <v/>
      </c>
      <c r="G444" t="str">
        <f t="shared" si="13"/>
        <v/>
      </c>
    </row>
    <row r="445" spans="1:7" x14ac:dyDescent="0.3">
      <c r="A445" t="str">
        <f t="shared" si="12"/>
        <v/>
      </c>
      <c r="B445" t="str">
        <f>IF(E445="","",Teams!A16)</f>
        <v/>
      </c>
      <c r="C445" t="str">
        <f>IF(E445="","",Teams!C16)</f>
        <v/>
      </c>
      <c r="D445" t="str">
        <f>IF(E445="","",Rosters!AQ26)</f>
        <v/>
      </c>
      <c r="E445" t="str">
        <f>IF(Rosters!AR26="","",Rosters!AR26)</f>
        <v/>
      </c>
      <c r="F445" t="str">
        <f>IF(E445="","",Rosters!AS26)</f>
        <v/>
      </c>
      <c r="G445" t="str">
        <f t="shared" si="13"/>
        <v/>
      </c>
    </row>
    <row r="446" spans="1:7" x14ac:dyDescent="0.3">
      <c r="A446" t="str">
        <f t="shared" si="12"/>
        <v/>
      </c>
      <c r="B446" t="str">
        <f>IF(E446="","",Teams!A16)</f>
        <v/>
      </c>
      <c r="C446" t="str">
        <f>IF(E446="","",Teams!C16)</f>
        <v/>
      </c>
      <c r="D446" t="str">
        <f>IF(E446="","",Rosters!AQ27)</f>
        <v/>
      </c>
      <c r="E446" t="str">
        <f>IF(Rosters!AR27="","",Rosters!AR27)</f>
        <v/>
      </c>
      <c r="F446" t="str">
        <f>IF(E446="","",Rosters!AS27)</f>
        <v/>
      </c>
      <c r="G446" t="str">
        <f t="shared" si="13"/>
        <v/>
      </c>
    </row>
    <row r="447" spans="1:7" x14ac:dyDescent="0.3">
      <c r="A447" t="str">
        <f t="shared" si="12"/>
        <v/>
      </c>
      <c r="B447" t="str">
        <f>IF(E447="","",Teams!A16)</f>
        <v/>
      </c>
      <c r="C447" t="str">
        <f>IF(E447="","",Teams!C16)</f>
        <v/>
      </c>
      <c r="D447" t="str">
        <f>IF(E447="","",Rosters!AQ28)</f>
        <v/>
      </c>
      <c r="E447" t="str">
        <f>IF(Rosters!AR28="","",Rosters!AR28)</f>
        <v/>
      </c>
      <c r="F447" t="str">
        <f>IF(E447="","",Rosters!AS28)</f>
        <v/>
      </c>
      <c r="G447" t="str">
        <f t="shared" si="13"/>
        <v/>
      </c>
    </row>
    <row r="448" spans="1:7" x14ac:dyDescent="0.3">
      <c r="A448" t="str">
        <f t="shared" si="12"/>
        <v/>
      </c>
      <c r="B448" t="str">
        <f>IF(E448="","",Teams!A16)</f>
        <v/>
      </c>
      <c r="C448" t="str">
        <f>IF(E448="","",Teams!C16)</f>
        <v/>
      </c>
      <c r="D448" t="str">
        <f>IF(E448="","",Rosters!AQ29)</f>
        <v/>
      </c>
      <c r="E448" t="str">
        <f>IF(Rosters!AR29="","",Rosters!AR29)</f>
        <v/>
      </c>
      <c r="F448" t="str">
        <f>IF(E448="","",Rosters!AS29)</f>
        <v/>
      </c>
      <c r="G448" t="str">
        <f t="shared" si="13"/>
        <v/>
      </c>
    </row>
    <row r="449" spans="1:7" x14ac:dyDescent="0.3">
      <c r="A449" t="str">
        <f t="shared" si="12"/>
        <v/>
      </c>
      <c r="B449" t="str">
        <f>IF(E449="","",Teams!A16)</f>
        <v/>
      </c>
      <c r="C449" t="str">
        <f>IF(E449="","",Teams!C16)</f>
        <v/>
      </c>
      <c r="D449" t="str">
        <f>IF(E449="","",Rosters!AQ30)</f>
        <v/>
      </c>
      <c r="E449" t="str">
        <f>IF(Rosters!AR30="","",Rosters!AR30)</f>
        <v/>
      </c>
      <c r="F449" t="str">
        <f>IF(E449="","",Rosters!AS30)</f>
        <v/>
      </c>
      <c r="G449" t="str">
        <f t="shared" si="13"/>
        <v/>
      </c>
    </row>
    <row r="450" spans="1:7" x14ac:dyDescent="0.3">
      <c r="A450" t="str">
        <f t="shared" ref="A450:A481" si="14">IF(E450="","","P"&amp;TEXT(ROW()-1,"000"))</f>
        <v/>
      </c>
      <c r="B450" t="str">
        <f>IF(E450="","",Teams!A16)</f>
        <v/>
      </c>
      <c r="C450" t="str">
        <f>IF(E450="","",Teams!C16)</f>
        <v/>
      </c>
      <c r="D450" t="str">
        <f>IF(E450="","",Rosters!AQ31)</f>
        <v/>
      </c>
      <c r="E450" t="str">
        <f>IF(Rosters!AR31="","",Rosters!AR31)</f>
        <v/>
      </c>
      <c r="F450" t="str">
        <f>IF(E450="","",Rosters!AS31)</f>
        <v/>
      </c>
      <c r="G450" t="str">
        <f t="shared" ref="G450:G481" si="15">IF(E450="","",IF(D450="","",D450&amp;" - ")&amp;E450&amp;IF(F450="Yes"," (C)",""))</f>
        <v/>
      </c>
    </row>
    <row r="451" spans="1:7" x14ac:dyDescent="0.3">
      <c r="A451" t="str">
        <f t="shared" si="14"/>
        <v/>
      </c>
      <c r="B451" t="str">
        <f>IF(E451="","",Teams!A16)</f>
        <v/>
      </c>
      <c r="C451" t="str">
        <f>IF(E451="","",Teams!C16)</f>
        <v/>
      </c>
      <c r="D451" t="str">
        <f>IF(E451="","",Rosters!AQ32)</f>
        <v/>
      </c>
      <c r="E451" t="str">
        <f>IF(Rosters!AR32="","",Rosters!AR32)</f>
        <v/>
      </c>
      <c r="F451" t="str">
        <f>IF(E451="","",Rosters!AS32)</f>
        <v/>
      </c>
      <c r="G451" t="str">
        <f t="shared" si="15"/>
        <v/>
      </c>
    </row>
    <row r="452" spans="1:7" x14ac:dyDescent="0.3">
      <c r="A452" t="str">
        <f t="shared" si="14"/>
        <v>P451</v>
      </c>
      <c r="B452" t="str">
        <f>IF(E452="","",Teams!A17)</f>
        <v>T16</v>
      </c>
      <c r="C452" t="str">
        <f>IF(E452="","",Teams!C17)</f>
        <v>Piadineria la Salsiccia</v>
      </c>
      <c r="D452">
        <f>IF(E452="","",Rosters!AT3)</f>
        <v>1</v>
      </c>
      <c r="E452" t="str">
        <f>IF(Rosters!AU3="","",Rosters!AU3)</f>
        <v>KEVIN CASTELLAN</v>
      </c>
      <c r="F452" t="str">
        <f>IF(E452="","",Rosters!AV3)</f>
        <v>No</v>
      </c>
      <c r="G452" t="str">
        <f t="shared" si="15"/>
        <v>1 - KEVIN CASTELLAN</v>
      </c>
    </row>
    <row r="453" spans="1:7" x14ac:dyDescent="0.3">
      <c r="A453" t="str">
        <f t="shared" si="14"/>
        <v>P452</v>
      </c>
      <c r="B453" t="str">
        <f>IF(E453="","",Teams!A17)</f>
        <v>T16</v>
      </c>
      <c r="C453" t="str">
        <f>IF(E453="","",Teams!C17)</f>
        <v>Piadineria la Salsiccia</v>
      </c>
      <c r="D453">
        <f>IF(E453="","",Rosters!AT4)</f>
        <v>2</v>
      </c>
      <c r="E453" t="str">
        <f>IF(Rosters!AU4="","",Rosters!AU4)</f>
        <v>SOUFIANE KHECHAB</v>
      </c>
      <c r="F453" t="str">
        <f>IF(E453="","",Rosters!AV4)</f>
        <v>No</v>
      </c>
      <c r="G453" t="str">
        <f t="shared" si="15"/>
        <v>2 - SOUFIANE KHECHAB</v>
      </c>
    </row>
    <row r="454" spans="1:7" x14ac:dyDescent="0.3">
      <c r="A454" t="str">
        <f t="shared" si="14"/>
        <v>P453</v>
      </c>
      <c r="B454" t="str">
        <f>IF(E454="","",Teams!A17)</f>
        <v>T16</v>
      </c>
      <c r="C454" t="str">
        <f>IF(E454="","",Teams!C17)</f>
        <v>Piadineria la Salsiccia</v>
      </c>
      <c r="D454">
        <f>IF(E454="","",Rosters!AT5)</f>
        <v>3</v>
      </c>
      <c r="E454" t="str">
        <f>IF(Rosters!AU5="","",Rosters!AU5)</f>
        <v>GABRIELE BARBIERATO</v>
      </c>
      <c r="F454" t="str">
        <f>IF(E454="","",Rosters!AV5)</f>
        <v>No</v>
      </c>
      <c r="G454" t="str">
        <f t="shared" si="15"/>
        <v>3 - GABRIELE BARBIERATO</v>
      </c>
    </row>
    <row r="455" spans="1:7" x14ac:dyDescent="0.3">
      <c r="A455" t="str">
        <f t="shared" si="14"/>
        <v>P454</v>
      </c>
      <c r="B455" t="str">
        <f>IF(E455="","",Teams!A17)</f>
        <v>T16</v>
      </c>
      <c r="C455" t="str">
        <f>IF(E455="","",Teams!C17)</f>
        <v>Piadineria la Salsiccia</v>
      </c>
      <c r="D455">
        <f>IF(E455="","",Rosters!AT6)</f>
        <v>4</v>
      </c>
      <c r="E455" t="str">
        <f>IF(Rosters!AU6="","",Rosters!AU6)</f>
        <v>DAVIDE DELLA VOLPE</v>
      </c>
      <c r="F455" t="str">
        <f>IF(E455="","",Rosters!AV6)</f>
        <v>Yes</v>
      </c>
      <c r="G455" t="str">
        <f t="shared" si="15"/>
        <v>4 - DAVIDE DELLA VOLPE (C)</v>
      </c>
    </row>
    <row r="456" spans="1:7" x14ac:dyDescent="0.3">
      <c r="A456" t="str">
        <f t="shared" si="14"/>
        <v>P455</v>
      </c>
      <c r="B456" t="str">
        <f>IF(E456="","",Teams!A17)</f>
        <v>T16</v>
      </c>
      <c r="C456" t="str">
        <f>IF(E456="","",Teams!C17)</f>
        <v>Piadineria la Salsiccia</v>
      </c>
      <c r="D456">
        <f>IF(E456="","",Rosters!AT7)</f>
        <v>5</v>
      </c>
      <c r="E456" t="str">
        <f>IF(Rosters!AU7="","",Rosters!AU7)</f>
        <v>LUCA CEDRINO</v>
      </c>
      <c r="F456" t="str">
        <f>IF(E456="","",Rosters!AV7)</f>
        <v>No</v>
      </c>
      <c r="G456" t="str">
        <f t="shared" si="15"/>
        <v>5 - LUCA CEDRINO</v>
      </c>
    </row>
    <row r="457" spans="1:7" x14ac:dyDescent="0.3">
      <c r="A457" t="str">
        <f t="shared" si="14"/>
        <v>P456</v>
      </c>
      <c r="B457" t="str">
        <f>IF(E457="","",Teams!A17)</f>
        <v>T16</v>
      </c>
      <c r="C457" t="str">
        <f>IF(E457="","",Teams!C17)</f>
        <v>Piadineria la Salsiccia</v>
      </c>
      <c r="D457">
        <f>IF(E457="","",Rosters!AT8)</f>
        <v>6</v>
      </c>
      <c r="E457" t="str">
        <f>IF(Rosters!AU8="","",Rosters!AU8)</f>
        <v>ALLAL SABIL</v>
      </c>
      <c r="F457" t="str">
        <f>IF(E457="","",Rosters!AV8)</f>
        <v>No</v>
      </c>
      <c r="G457" t="str">
        <f t="shared" si="15"/>
        <v>6 - ALLAL SABIL</v>
      </c>
    </row>
    <row r="458" spans="1:7" x14ac:dyDescent="0.3">
      <c r="A458" t="str">
        <f t="shared" si="14"/>
        <v>P457</v>
      </c>
      <c r="B458" t="str">
        <f>IF(E458="","",Teams!A17)</f>
        <v>T16</v>
      </c>
      <c r="C458" t="str">
        <f>IF(E458="","",Teams!C17)</f>
        <v>Piadineria la Salsiccia</v>
      </c>
      <c r="D458">
        <f>IF(E458="","",Rosters!AT9)</f>
        <v>8</v>
      </c>
      <c r="E458" t="str">
        <f>IF(Rosters!AU9="","",Rosters!AU9)</f>
        <v>MATTIA AYRTON MARIOTTO</v>
      </c>
      <c r="F458" t="str">
        <f>IF(E458="","",Rosters!AV9)</f>
        <v>No</v>
      </c>
      <c r="G458" t="str">
        <f t="shared" si="15"/>
        <v>8 - MATTIA AYRTON MARIOTTO</v>
      </c>
    </row>
    <row r="459" spans="1:7" x14ac:dyDescent="0.3">
      <c r="A459" t="str">
        <f t="shared" si="14"/>
        <v>P458</v>
      </c>
      <c r="B459" t="str">
        <f>IF(E459="","",Teams!A17)</f>
        <v>T16</v>
      </c>
      <c r="C459" t="str">
        <f>IF(E459="","",Teams!C17)</f>
        <v>Piadineria la Salsiccia</v>
      </c>
      <c r="D459">
        <f>IF(E459="","",Rosters!AT10)</f>
        <v>9</v>
      </c>
      <c r="E459" t="str">
        <f>IF(Rosters!AU10="","",Rosters!AU10)</f>
        <v>ANDREA BALDON</v>
      </c>
      <c r="F459" t="str">
        <f>IF(E459="","",Rosters!AV10)</f>
        <v>No</v>
      </c>
      <c r="G459" t="str">
        <f t="shared" si="15"/>
        <v>9 - ANDREA BALDON</v>
      </c>
    </row>
    <row r="460" spans="1:7" x14ac:dyDescent="0.3">
      <c r="A460" t="str">
        <f t="shared" si="14"/>
        <v>P459</v>
      </c>
      <c r="B460" t="str">
        <f>IF(E460="","",Teams!A17)</f>
        <v>T16</v>
      </c>
      <c r="C460" t="str">
        <f>IF(E460="","",Teams!C17)</f>
        <v>Piadineria la Salsiccia</v>
      </c>
      <c r="D460">
        <f>IF(E460="","",Rosters!AT11)</f>
        <v>10</v>
      </c>
      <c r="E460" t="str">
        <f>IF(Rosters!AU11="","",Rosters!AU11)</f>
        <v>RAFFAELE GAROFALO</v>
      </c>
      <c r="F460" t="str">
        <f>IF(E460="","",Rosters!AV11)</f>
        <v>No</v>
      </c>
      <c r="G460" t="str">
        <f t="shared" si="15"/>
        <v>10 - RAFFAELE GAROFALO</v>
      </c>
    </row>
    <row r="461" spans="1:7" x14ac:dyDescent="0.3">
      <c r="A461" t="str">
        <f t="shared" si="14"/>
        <v>P460</v>
      </c>
      <c r="B461" t="str">
        <f>IF(E461="","",Teams!A17)</f>
        <v>T16</v>
      </c>
      <c r="C461" t="str">
        <f>IF(E461="","",Teams!C17)</f>
        <v>Piadineria la Salsiccia</v>
      </c>
      <c r="D461">
        <f>IF(E461="","",Rosters!AT12)</f>
        <v>11</v>
      </c>
      <c r="E461" t="str">
        <f>IF(Rosters!AU12="","",Rosters!AU12)</f>
        <v>ALEX BERGO</v>
      </c>
      <c r="F461" t="str">
        <f>IF(E461="","",Rosters!AV12)</f>
        <v>No</v>
      </c>
      <c r="G461" t="str">
        <f t="shared" si="15"/>
        <v>11 - ALEX BERGO</v>
      </c>
    </row>
    <row r="462" spans="1:7" x14ac:dyDescent="0.3">
      <c r="A462" t="str">
        <f t="shared" si="14"/>
        <v>P461</v>
      </c>
      <c r="B462" t="str">
        <f>IF(E462="","",Teams!A17)</f>
        <v>T16</v>
      </c>
      <c r="C462" t="str">
        <f>IF(E462="","",Teams!C17)</f>
        <v>Piadineria la Salsiccia</v>
      </c>
      <c r="D462">
        <f>IF(E462="","",Rosters!AT13)</f>
        <v>7</v>
      </c>
      <c r="E462" t="str">
        <f>IF(Rosters!AU13="","",Rosters!AU13)</f>
        <v>MATTEO BOLZANI</v>
      </c>
      <c r="F462" t="str">
        <f>IF(E462="","",Rosters!AV13)</f>
        <v>No</v>
      </c>
      <c r="G462" t="str">
        <f t="shared" si="15"/>
        <v>7 - MATTEO BOLZANI</v>
      </c>
    </row>
    <row r="463" spans="1:7" x14ac:dyDescent="0.3">
      <c r="A463" t="str">
        <f t="shared" si="14"/>
        <v/>
      </c>
      <c r="B463" t="str">
        <f>IF(E463="","",Teams!A17)</f>
        <v/>
      </c>
      <c r="C463" t="str">
        <f>IF(E463="","",Teams!C17)</f>
        <v/>
      </c>
      <c r="D463" t="str">
        <f>IF(E463="","",Rosters!AT14)</f>
        <v/>
      </c>
      <c r="E463" t="str">
        <f>IF(Rosters!AU14="","",Rosters!AU14)</f>
        <v/>
      </c>
      <c r="F463" t="str">
        <f>IF(E463="","",Rosters!AV14)</f>
        <v/>
      </c>
      <c r="G463" t="str">
        <f t="shared" si="15"/>
        <v/>
      </c>
    </row>
    <row r="464" spans="1:7" x14ac:dyDescent="0.3">
      <c r="A464" t="str">
        <f t="shared" si="14"/>
        <v/>
      </c>
      <c r="B464" t="str">
        <f>IF(E464="","",Teams!A17)</f>
        <v/>
      </c>
      <c r="C464" t="str">
        <f>IF(E464="","",Teams!C17)</f>
        <v/>
      </c>
      <c r="D464" t="str">
        <f>IF(E464="","",Rosters!AT15)</f>
        <v/>
      </c>
      <c r="E464" t="str">
        <f>IF(Rosters!AU15="","",Rosters!AU15)</f>
        <v/>
      </c>
      <c r="F464" t="str">
        <f>IF(E464="","",Rosters!AV15)</f>
        <v/>
      </c>
      <c r="G464" t="str">
        <f t="shared" si="15"/>
        <v/>
      </c>
    </row>
    <row r="465" spans="1:7" x14ac:dyDescent="0.3">
      <c r="A465" t="str">
        <f t="shared" si="14"/>
        <v/>
      </c>
      <c r="B465" t="str">
        <f>IF(E465="","",Teams!A17)</f>
        <v/>
      </c>
      <c r="C465" t="str">
        <f>IF(E465="","",Teams!C17)</f>
        <v/>
      </c>
      <c r="D465" t="str">
        <f>IF(E465="","",Rosters!AT16)</f>
        <v/>
      </c>
      <c r="E465" t="str">
        <f>IF(Rosters!AU16="","",Rosters!AU16)</f>
        <v/>
      </c>
      <c r="F465" t="str">
        <f>IF(E465="","",Rosters!AV16)</f>
        <v/>
      </c>
      <c r="G465" t="str">
        <f t="shared" si="15"/>
        <v/>
      </c>
    </row>
    <row r="466" spans="1:7" x14ac:dyDescent="0.3">
      <c r="A466" t="str">
        <f t="shared" si="14"/>
        <v/>
      </c>
      <c r="B466" t="str">
        <f>IF(E466="","",Teams!A17)</f>
        <v/>
      </c>
      <c r="C466" t="str">
        <f>IF(E466="","",Teams!C17)</f>
        <v/>
      </c>
      <c r="D466" t="str">
        <f>IF(E466="","",Rosters!AT17)</f>
        <v/>
      </c>
      <c r="E466" t="str">
        <f>IF(Rosters!AU17="","",Rosters!AU17)</f>
        <v/>
      </c>
      <c r="F466" t="str">
        <f>IF(E466="","",Rosters!AV17)</f>
        <v/>
      </c>
      <c r="G466" t="str">
        <f t="shared" si="15"/>
        <v/>
      </c>
    </row>
    <row r="467" spans="1:7" x14ac:dyDescent="0.3">
      <c r="A467" t="str">
        <f t="shared" si="14"/>
        <v/>
      </c>
      <c r="B467" t="str">
        <f>IF(E467="","",Teams!A17)</f>
        <v/>
      </c>
      <c r="C467" t="str">
        <f>IF(E467="","",Teams!C17)</f>
        <v/>
      </c>
      <c r="D467" t="str">
        <f>IF(E467="","",Rosters!AT18)</f>
        <v/>
      </c>
      <c r="E467" t="str">
        <f>IF(Rosters!AU18="","",Rosters!AU18)</f>
        <v/>
      </c>
      <c r="F467" t="str">
        <f>IF(E467="","",Rosters!AV18)</f>
        <v/>
      </c>
      <c r="G467" t="str">
        <f t="shared" si="15"/>
        <v/>
      </c>
    </row>
    <row r="468" spans="1:7" x14ac:dyDescent="0.3">
      <c r="A468" t="str">
        <f t="shared" si="14"/>
        <v/>
      </c>
      <c r="B468" t="str">
        <f>IF(E468="","",Teams!A17)</f>
        <v/>
      </c>
      <c r="C468" t="str">
        <f>IF(E468="","",Teams!C17)</f>
        <v/>
      </c>
      <c r="D468" t="str">
        <f>IF(E468="","",Rosters!AT19)</f>
        <v/>
      </c>
      <c r="E468" t="str">
        <f>IF(Rosters!AU19="","",Rosters!AU19)</f>
        <v/>
      </c>
      <c r="F468" t="str">
        <f>IF(E468="","",Rosters!AV19)</f>
        <v/>
      </c>
      <c r="G468" t="str">
        <f t="shared" si="15"/>
        <v/>
      </c>
    </row>
    <row r="469" spans="1:7" x14ac:dyDescent="0.3">
      <c r="A469" t="str">
        <f t="shared" si="14"/>
        <v/>
      </c>
      <c r="B469" t="str">
        <f>IF(E469="","",Teams!A17)</f>
        <v/>
      </c>
      <c r="C469" t="str">
        <f>IF(E469="","",Teams!C17)</f>
        <v/>
      </c>
      <c r="D469" t="str">
        <f>IF(E469="","",Rosters!AT20)</f>
        <v/>
      </c>
      <c r="E469" t="str">
        <f>IF(Rosters!AU20="","",Rosters!AU20)</f>
        <v/>
      </c>
      <c r="F469" t="str">
        <f>IF(E469="","",Rosters!AV20)</f>
        <v/>
      </c>
      <c r="G469" t="str">
        <f t="shared" si="15"/>
        <v/>
      </c>
    </row>
    <row r="470" spans="1:7" x14ac:dyDescent="0.3">
      <c r="A470" t="str">
        <f t="shared" si="14"/>
        <v/>
      </c>
      <c r="B470" t="str">
        <f>IF(E470="","",Teams!A17)</f>
        <v/>
      </c>
      <c r="C470" t="str">
        <f>IF(E470="","",Teams!C17)</f>
        <v/>
      </c>
      <c r="D470" t="str">
        <f>IF(E470="","",Rosters!AT21)</f>
        <v/>
      </c>
      <c r="E470" t="str">
        <f>IF(Rosters!AU21="","",Rosters!AU21)</f>
        <v/>
      </c>
      <c r="F470" t="str">
        <f>IF(E470="","",Rosters!AV21)</f>
        <v/>
      </c>
      <c r="G470" t="str">
        <f t="shared" si="15"/>
        <v/>
      </c>
    </row>
    <row r="471" spans="1:7" x14ac:dyDescent="0.3">
      <c r="A471" t="str">
        <f t="shared" si="14"/>
        <v/>
      </c>
      <c r="B471" t="str">
        <f>IF(E471="","",Teams!A17)</f>
        <v/>
      </c>
      <c r="C471" t="str">
        <f>IF(E471="","",Teams!C17)</f>
        <v/>
      </c>
      <c r="D471" t="str">
        <f>IF(E471="","",Rosters!AT22)</f>
        <v/>
      </c>
      <c r="E471" t="str">
        <f>IF(Rosters!AU22="","",Rosters!AU22)</f>
        <v/>
      </c>
      <c r="F471" t="str">
        <f>IF(E471="","",Rosters!AV22)</f>
        <v/>
      </c>
      <c r="G471" t="str">
        <f t="shared" si="15"/>
        <v/>
      </c>
    </row>
    <row r="472" spans="1:7" x14ac:dyDescent="0.3">
      <c r="A472" t="str">
        <f t="shared" si="14"/>
        <v/>
      </c>
      <c r="B472" t="str">
        <f>IF(E472="","",Teams!A17)</f>
        <v/>
      </c>
      <c r="C472" t="str">
        <f>IF(E472="","",Teams!C17)</f>
        <v/>
      </c>
      <c r="D472" t="str">
        <f>IF(E472="","",Rosters!AT23)</f>
        <v/>
      </c>
      <c r="E472" t="str">
        <f>IF(Rosters!AU23="","",Rosters!AU23)</f>
        <v/>
      </c>
      <c r="F472" t="str">
        <f>IF(E472="","",Rosters!AV23)</f>
        <v/>
      </c>
      <c r="G472" t="str">
        <f t="shared" si="15"/>
        <v/>
      </c>
    </row>
    <row r="473" spans="1:7" x14ac:dyDescent="0.3">
      <c r="A473" t="str">
        <f t="shared" si="14"/>
        <v/>
      </c>
      <c r="B473" t="str">
        <f>IF(E473="","",Teams!A17)</f>
        <v/>
      </c>
      <c r="C473" t="str">
        <f>IF(E473="","",Teams!C17)</f>
        <v/>
      </c>
      <c r="D473" t="str">
        <f>IF(E473="","",Rosters!AT24)</f>
        <v/>
      </c>
      <c r="E473" t="str">
        <f>IF(Rosters!AU24="","",Rosters!AU24)</f>
        <v/>
      </c>
      <c r="F473" t="str">
        <f>IF(E473="","",Rosters!AV24)</f>
        <v/>
      </c>
      <c r="G473" t="str">
        <f t="shared" si="15"/>
        <v/>
      </c>
    </row>
    <row r="474" spans="1:7" x14ac:dyDescent="0.3">
      <c r="A474" t="str">
        <f t="shared" si="14"/>
        <v/>
      </c>
      <c r="B474" t="str">
        <f>IF(E474="","",Teams!A17)</f>
        <v/>
      </c>
      <c r="C474" t="str">
        <f>IF(E474="","",Teams!C17)</f>
        <v/>
      </c>
      <c r="D474" t="str">
        <f>IF(E474="","",Rosters!AT25)</f>
        <v/>
      </c>
      <c r="E474" t="str">
        <f>IF(Rosters!AU25="","",Rosters!AU25)</f>
        <v/>
      </c>
      <c r="F474" t="str">
        <f>IF(E474="","",Rosters!AV25)</f>
        <v/>
      </c>
      <c r="G474" t="str">
        <f t="shared" si="15"/>
        <v/>
      </c>
    </row>
    <row r="475" spans="1:7" x14ac:dyDescent="0.3">
      <c r="A475" t="str">
        <f t="shared" si="14"/>
        <v/>
      </c>
      <c r="B475" t="str">
        <f>IF(E475="","",Teams!A17)</f>
        <v/>
      </c>
      <c r="C475" t="str">
        <f>IF(E475="","",Teams!C17)</f>
        <v/>
      </c>
      <c r="D475" t="str">
        <f>IF(E475="","",Rosters!AT26)</f>
        <v/>
      </c>
      <c r="E475" t="str">
        <f>IF(Rosters!AU26="","",Rosters!AU26)</f>
        <v/>
      </c>
      <c r="F475" t="str">
        <f>IF(E475="","",Rosters!AV26)</f>
        <v/>
      </c>
      <c r="G475" t="str">
        <f t="shared" si="15"/>
        <v/>
      </c>
    </row>
    <row r="476" spans="1:7" x14ac:dyDescent="0.3">
      <c r="A476" t="str">
        <f t="shared" si="14"/>
        <v/>
      </c>
      <c r="B476" t="str">
        <f>IF(E476="","",Teams!A17)</f>
        <v/>
      </c>
      <c r="C476" t="str">
        <f>IF(E476="","",Teams!C17)</f>
        <v/>
      </c>
      <c r="D476" t="str">
        <f>IF(E476="","",Rosters!AT27)</f>
        <v/>
      </c>
      <c r="E476" t="str">
        <f>IF(Rosters!AU27="","",Rosters!AU27)</f>
        <v/>
      </c>
      <c r="F476" t="str">
        <f>IF(E476="","",Rosters!AV27)</f>
        <v/>
      </c>
      <c r="G476" t="str">
        <f t="shared" si="15"/>
        <v/>
      </c>
    </row>
    <row r="477" spans="1:7" x14ac:dyDescent="0.3">
      <c r="A477" t="str">
        <f t="shared" si="14"/>
        <v/>
      </c>
      <c r="B477" t="str">
        <f>IF(E477="","",Teams!A17)</f>
        <v/>
      </c>
      <c r="C477" t="str">
        <f>IF(E477="","",Teams!C17)</f>
        <v/>
      </c>
      <c r="D477" t="str">
        <f>IF(E477="","",Rosters!AT28)</f>
        <v/>
      </c>
      <c r="E477" t="str">
        <f>IF(Rosters!AU28="","",Rosters!AU28)</f>
        <v/>
      </c>
      <c r="F477" t="str">
        <f>IF(E477="","",Rosters!AV28)</f>
        <v/>
      </c>
      <c r="G477" t="str">
        <f t="shared" si="15"/>
        <v/>
      </c>
    </row>
    <row r="478" spans="1:7" x14ac:dyDescent="0.3">
      <c r="A478" t="str">
        <f t="shared" si="14"/>
        <v/>
      </c>
      <c r="B478" t="str">
        <f>IF(E478="","",Teams!A17)</f>
        <v/>
      </c>
      <c r="C478" t="str">
        <f>IF(E478="","",Teams!C17)</f>
        <v/>
      </c>
      <c r="D478" t="str">
        <f>IF(E478="","",Rosters!AT29)</f>
        <v/>
      </c>
      <c r="E478" t="str">
        <f>IF(Rosters!AU29="","",Rosters!AU29)</f>
        <v/>
      </c>
      <c r="F478" t="str">
        <f>IF(E478="","",Rosters!AV29)</f>
        <v/>
      </c>
      <c r="G478" t="str">
        <f t="shared" si="15"/>
        <v/>
      </c>
    </row>
    <row r="479" spans="1:7" x14ac:dyDescent="0.3">
      <c r="A479" t="str">
        <f t="shared" si="14"/>
        <v/>
      </c>
      <c r="B479" t="str">
        <f>IF(E479="","",Teams!A17)</f>
        <v/>
      </c>
      <c r="C479" t="str">
        <f>IF(E479="","",Teams!C17)</f>
        <v/>
      </c>
      <c r="D479" t="str">
        <f>IF(E479="","",Rosters!AT30)</f>
        <v/>
      </c>
      <c r="E479" t="str">
        <f>IF(Rosters!AU30="","",Rosters!AU30)</f>
        <v/>
      </c>
      <c r="F479" t="str">
        <f>IF(E479="","",Rosters!AV30)</f>
        <v/>
      </c>
      <c r="G479" t="str">
        <f t="shared" si="15"/>
        <v/>
      </c>
    </row>
    <row r="480" spans="1:7" x14ac:dyDescent="0.3">
      <c r="A480" t="str">
        <f t="shared" si="14"/>
        <v/>
      </c>
      <c r="B480" t="str">
        <f>IF(E480="","",Teams!A17)</f>
        <v/>
      </c>
      <c r="C480" t="str">
        <f>IF(E480="","",Teams!C17)</f>
        <v/>
      </c>
      <c r="D480" t="str">
        <f>IF(E480="","",Rosters!AT31)</f>
        <v/>
      </c>
      <c r="E480" t="str">
        <f>IF(Rosters!AU31="","",Rosters!AU31)</f>
        <v/>
      </c>
      <c r="F480" t="str">
        <f>IF(E480="","",Rosters!AV31)</f>
        <v/>
      </c>
      <c r="G480" t="str">
        <f t="shared" si="15"/>
        <v/>
      </c>
    </row>
    <row r="481" spans="1:7" x14ac:dyDescent="0.3">
      <c r="A481" t="str">
        <f t="shared" si="14"/>
        <v/>
      </c>
      <c r="B481" t="str">
        <f>IF(E481="","",Teams!A17)</f>
        <v/>
      </c>
      <c r="C481" t="str">
        <f>IF(E481="","",Teams!C17)</f>
        <v/>
      </c>
      <c r="D481" t="str">
        <f>IF(E481="","",Rosters!AT32)</f>
        <v/>
      </c>
      <c r="E481" t="str">
        <f>IF(Rosters!AU32="","",Rosters!AU32)</f>
        <v/>
      </c>
      <c r="F481" t="str">
        <f>IF(E481="","",Rosters!AV32)</f>
        <v/>
      </c>
      <c r="G481" t="str">
        <f t="shared" si="15"/>
        <v/>
      </c>
    </row>
  </sheetData>
  <autoFilter ref="A1:G48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"/>
  <sheetViews>
    <sheetView tabSelected="1" topLeftCell="C1" workbookViewId="0">
      <selection activeCell="J11" sqref="J11"/>
    </sheetView>
  </sheetViews>
  <sheetFormatPr defaultRowHeight="14.4" x14ac:dyDescent="0.3"/>
  <cols>
    <col min="1" max="5" width="18" customWidth="1"/>
    <col min="6" max="6" width="18" style="9" customWidth="1"/>
    <col min="7" max="8" width="28" customWidth="1"/>
    <col min="9" max="10" width="18" customWidth="1"/>
    <col min="11" max="11" width="28" customWidth="1"/>
    <col min="12" max="15" width="18" customWidth="1"/>
    <col min="16" max="16" width="54" customWidth="1"/>
  </cols>
  <sheetData>
    <row r="1" spans="1:26" x14ac:dyDescent="0.3">
      <c r="A1" s="5" t="s">
        <v>243</v>
      </c>
      <c r="B1" s="5" t="s">
        <v>244</v>
      </c>
      <c r="C1" s="5" t="s">
        <v>1</v>
      </c>
      <c r="D1" s="5" t="s">
        <v>245</v>
      </c>
      <c r="E1" s="5" t="s">
        <v>246</v>
      </c>
      <c r="F1" s="8" t="s">
        <v>247</v>
      </c>
      <c r="G1" s="5" t="s">
        <v>248</v>
      </c>
      <c r="H1" s="5" t="s">
        <v>249</v>
      </c>
      <c r="I1" s="5" t="s">
        <v>250</v>
      </c>
      <c r="J1" s="5" t="s">
        <v>251</v>
      </c>
      <c r="K1" s="5" t="s">
        <v>56</v>
      </c>
      <c r="L1" s="5" t="s">
        <v>252</v>
      </c>
      <c r="M1" s="5" t="s">
        <v>253</v>
      </c>
      <c r="N1" s="5" t="s">
        <v>254</v>
      </c>
      <c r="O1" s="5" t="s">
        <v>255</v>
      </c>
      <c r="P1" s="5" t="s">
        <v>256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257</v>
      </c>
      <c r="B2" t="s">
        <v>1</v>
      </c>
      <c r="C2" t="s">
        <v>32</v>
      </c>
      <c r="D2">
        <v>1</v>
      </c>
      <c r="E2" t="s">
        <v>258</v>
      </c>
      <c r="F2" s="10">
        <v>0.59375</v>
      </c>
      <c r="G2" t="s">
        <v>33</v>
      </c>
      <c r="H2" t="s">
        <v>35</v>
      </c>
      <c r="I2" s="2">
        <v>1</v>
      </c>
      <c r="J2" s="2">
        <v>2</v>
      </c>
      <c r="K2" s="2"/>
      <c r="L2" t="str">
        <f t="shared" ref="L2:L25" si="0">IF(OR(I2="",J2=""),"Pending",IF(I2=J2,IF(K2="","Needs penalty winner","Complete"),"Complete"))</f>
        <v>Complete</v>
      </c>
      <c r="M2">
        <f>IF(OR(I2="",J2=""),"",IF(I2&gt;J2,Settings!$B$2,IF(I2&lt;J2,Settings!$B$5,IF(K2=G2,Settings!$B$3,IF(K2=H2,Settings!$B$4,"")))))</f>
        <v>0</v>
      </c>
      <c r="N2">
        <f>IF(OR(I2="",J2=""),"",IF(J2&gt;I2,Settings!$B$2,IF(J2&lt;I2,Settings!$B$5,IF(K2=H2,Settings!$B$3,IF(K2=G2,Settings!$B$4,"")))))</f>
        <v>3</v>
      </c>
      <c r="O2" t="str">
        <f t="shared" ref="O2:O25" si="1">IF(OR(I2="",J2=""),"",IF(I2&gt;J2,G2,IF(J2&gt;I2,H2,K2)))</f>
        <v>Boldò Glimt</v>
      </c>
      <c r="P2" t="str">
        <f t="shared" ref="P2:P25" si="2">IF(OR(I2="",J2=""),"",G2&amp;" "&amp;I2&amp;" - "&amp;J2&amp;" "&amp;H2&amp;IF(K2&lt;&gt;""," (rigori: "&amp;K2&amp;")",""))</f>
        <v>All Blacks 1 - 2 Boldò Glimt</v>
      </c>
    </row>
    <row r="3" spans="1:26" x14ac:dyDescent="0.3">
      <c r="A3" t="s">
        <v>259</v>
      </c>
      <c r="B3" t="s">
        <v>1</v>
      </c>
      <c r="C3" t="s">
        <v>32</v>
      </c>
      <c r="D3">
        <v>1</v>
      </c>
      <c r="E3" t="s">
        <v>260</v>
      </c>
      <c r="F3" s="10">
        <v>0.59375</v>
      </c>
      <c r="G3" t="s">
        <v>37</v>
      </c>
      <c r="H3" t="s">
        <v>39</v>
      </c>
      <c r="I3" s="2">
        <v>0</v>
      </c>
      <c r="J3" s="2">
        <v>1</v>
      </c>
      <c r="K3" s="2"/>
      <c r="L3" t="str">
        <f t="shared" si="0"/>
        <v>Complete</v>
      </c>
      <c r="M3">
        <f>IF(OR(I3="",J3=""),"",IF(I3&gt;J3,Settings!$B$2,IF(I3&lt;J3,Settings!$B$5,IF(K3=G3,Settings!$B$3,IF(K3=H3,Settings!$B$4,"")))))</f>
        <v>0</v>
      </c>
      <c r="N3">
        <f>IF(OR(I3="",J3=""),"",IF(J3&gt;I3,Settings!$B$2,IF(J3&lt;I3,Settings!$B$5,IF(K3=H3,Settings!$B$3,IF(K3=G3,Settings!$B$4,"")))))</f>
        <v>3</v>
      </c>
      <c r="O3" t="str">
        <f t="shared" si="1"/>
        <v>Piadineria la Salsiccia</v>
      </c>
      <c r="P3" t="str">
        <f t="shared" si="2"/>
        <v>Coca Juniors 0 - 1 Piadineria la Salsiccia</v>
      </c>
    </row>
    <row r="4" spans="1:26" x14ac:dyDescent="0.3">
      <c r="A4" t="s">
        <v>261</v>
      </c>
      <c r="B4" t="s">
        <v>1</v>
      </c>
      <c r="C4" t="s">
        <v>14</v>
      </c>
      <c r="D4">
        <v>1</v>
      </c>
      <c r="E4" t="s">
        <v>262</v>
      </c>
      <c r="F4" s="10">
        <v>0.59375</v>
      </c>
      <c r="G4" t="s">
        <v>15</v>
      </c>
      <c r="H4" t="s">
        <v>17</v>
      </c>
      <c r="I4" s="2">
        <v>0</v>
      </c>
      <c r="J4" s="2">
        <v>10</v>
      </c>
      <c r="K4" s="2"/>
      <c r="L4" t="str">
        <f t="shared" si="0"/>
        <v>Complete</v>
      </c>
      <c r="M4">
        <f>IF(OR(I4="",J4=""),"",IF(I4&gt;J4,Settings!$B$2,IF(I4&lt;J4,Settings!$B$5,IF(K4=G4,Settings!$B$3,IF(K4=H4,Settings!$B$4,"")))))</f>
        <v>0</v>
      </c>
      <c r="N4">
        <f>IF(OR(I4="",J4=""),"",IF(J4&gt;I4,Settings!$B$2,IF(J4&lt;I4,Settings!$B$5,IF(K4=H4,Settings!$B$3,IF(K4=G4,Settings!$B$4,"")))))</f>
        <v>3</v>
      </c>
      <c r="O4" t="str">
        <f t="shared" si="1"/>
        <v>Vecchie Glorie Rovigo</v>
      </c>
      <c r="P4" t="str">
        <f t="shared" si="2"/>
        <v>Totani 0 - 10 Vecchie Glorie Rovigo</v>
      </c>
    </row>
    <row r="5" spans="1:26" x14ac:dyDescent="0.3">
      <c r="A5" t="s">
        <v>263</v>
      </c>
      <c r="B5" t="s">
        <v>1</v>
      </c>
      <c r="C5" t="s">
        <v>23</v>
      </c>
      <c r="D5">
        <v>1</v>
      </c>
      <c r="E5" t="s">
        <v>258</v>
      </c>
      <c r="F5" s="10">
        <v>0.61458333333333337</v>
      </c>
      <c r="G5" t="s">
        <v>24</v>
      </c>
      <c r="H5" t="s">
        <v>26</v>
      </c>
      <c r="I5" s="2">
        <v>5</v>
      </c>
      <c r="J5" s="2">
        <v>0</v>
      </c>
      <c r="K5" s="2"/>
      <c r="L5" t="str">
        <f t="shared" si="0"/>
        <v>Complete</v>
      </c>
      <c r="M5">
        <f>IF(OR(I5="",J5=""),"",IF(I5&gt;J5,Settings!$B$2,IF(I5&lt;J5,Settings!$B$5,IF(K5=G5,Settings!$B$3,IF(K5=H5,Settings!$B$4,"")))))</f>
        <v>3</v>
      </c>
      <c r="N5">
        <f>IF(OR(I5="",J5=""),"",IF(J5&gt;I5,Settings!$B$2,IF(J5&lt;I5,Settings!$B$5,IF(K5=H5,Settings!$B$3,IF(K5=G5,Settings!$B$4,"")))))</f>
        <v>0</v>
      </c>
      <c r="O5" t="str">
        <f t="shared" si="1"/>
        <v>Leoni di Ricky</v>
      </c>
      <c r="P5" t="str">
        <f t="shared" si="2"/>
        <v>Leoni di Ricky 5 - 0 Pink 5ive</v>
      </c>
    </row>
    <row r="6" spans="1:26" x14ac:dyDescent="0.3">
      <c r="A6" t="s">
        <v>264</v>
      </c>
      <c r="B6" t="s">
        <v>1</v>
      </c>
      <c r="C6" t="s">
        <v>23</v>
      </c>
      <c r="D6">
        <v>1</v>
      </c>
      <c r="E6" t="s">
        <v>260</v>
      </c>
      <c r="F6" s="10">
        <v>0.61458333333333337</v>
      </c>
      <c r="G6" t="s">
        <v>28</v>
      </c>
      <c r="H6" t="s">
        <v>30</v>
      </c>
      <c r="I6" s="2">
        <v>2</v>
      </c>
      <c r="J6" s="2">
        <v>0</v>
      </c>
      <c r="K6" s="2"/>
      <c r="L6" t="str">
        <f t="shared" si="0"/>
        <v>Complete</v>
      </c>
      <c r="M6">
        <f>IF(OR(I6="",J6=""),"",IF(I6&gt;J6,Settings!$B$2,IF(I6&lt;J6,Settings!$B$5,IF(K6=G6,Settings!$B$3,IF(K6=H6,Settings!$B$4,"")))))</f>
        <v>3</v>
      </c>
      <c r="N6">
        <f>IF(OR(I6="",J6=""),"",IF(J6&gt;I6,Settings!$B$2,IF(J6&lt;I6,Settings!$B$5,IF(K6=H6,Settings!$B$3,IF(K6=G6,Settings!$B$4,"")))))</f>
        <v>0</v>
      </c>
      <c r="O6" t="str">
        <f t="shared" si="1"/>
        <v>Barrio Boys</v>
      </c>
      <c r="P6" t="str">
        <f t="shared" si="2"/>
        <v>Barrio Boys 2 - 0 Cani</v>
      </c>
    </row>
    <row r="7" spans="1:26" x14ac:dyDescent="0.3">
      <c r="A7" t="s">
        <v>265</v>
      </c>
      <c r="B7" t="s">
        <v>1</v>
      </c>
      <c r="C7" t="s">
        <v>14</v>
      </c>
      <c r="D7">
        <v>1</v>
      </c>
      <c r="E7" t="s">
        <v>262</v>
      </c>
      <c r="F7" s="10">
        <v>0.61458333333333337</v>
      </c>
      <c r="G7" t="s">
        <v>19</v>
      </c>
      <c r="H7" t="s">
        <v>21</v>
      </c>
      <c r="I7" s="2">
        <v>5</v>
      </c>
      <c r="J7" s="2">
        <v>0</v>
      </c>
      <c r="K7" s="2"/>
      <c r="L7" t="str">
        <f t="shared" si="0"/>
        <v>Complete</v>
      </c>
      <c r="M7">
        <f>IF(OR(I7="",J7=""),"",IF(I7&gt;J7,Settings!$B$2,IF(I7&lt;J7,Settings!$B$5,IF(K7=G7,Settings!$B$3,IF(K7=H7,Settings!$B$4,"")))))</f>
        <v>3</v>
      </c>
      <c r="N7">
        <f>IF(OR(I7="",J7=""),"",IF(J7&gt;I7,Settings!$B$2,IF(J7&lt;I7,Settings!$B$5,IF(K7=H7,Settings!$B$3,IF(K7=G7,Settings!$B$4,"")))))</f>
        <v>0</v>
      </c>
      <c r="O7" t="str">
        <f t="shared" si="1"/>
        <v>AS Bancatore</v>
      </c>
      <c r="P7" t="str">
        <f t="shared" si="2"/>
        <v>AS Bancatore 5 - 0 Beverton</v>
      </c>
    </row>
    <row r="8" spans="1:26" x14ac:dyDescent="0.3">
      <c r="A8" t="s">
        <v>266</v>
      </c>
      <c r="B8" t="s">
        <v>1</v>
      </c>
      <c r="C8" t="s">
        <v>5</v>
      </c>
      <c r="D8">
        <v>1</v>
      </c>
      <c r="E8" t="s">
        <v>258</v>
      </c>
      <c r="F8" s="10">
        <v>0.63541666666666663</v>
      </c>
      <c r="G8" t="s">
        <v>6</v>
      </c>
      <c r="H8" t="s">
        <v>8</v>
      </c>
      <c r="I8" s="2"/>
      <c r="J8" s="2"/>
      <c r="K8" s="2"/>
      <c r="L8" t="str">
        <f t="shared" si="0"/>
        <v>Pending</v>
      </c>
      <c r="M8" t="str">
        <f>IF(OR(I8="",J8=""),"",IF(I8&gt;J8,Settings!$B$2,IF(I8&lt;J8,Settings!$B$5,IF(K8=G8,Settings!$B$3,IF(K8=H8,Settings!$B$4,"")))))</f>
        <v/>
      </c>
      <c r="N8" t="str">
        <f>IF(OR(I8="",J8=""),"",IF(J8&gt;I8,Settings!$B$2,IF(J8&lt;I8,Settings!$B$5,IF(K8=H8,Settings!$B$3,IF(K8=G8,Settings!$B$4,"")))))</f>
        <v/>
      </c>
      <c r="O8" t="str">
        <f t="shared" si="1"/>
        <v/>
      </c>
      <c r="P8" t="str">
        <f t="shared" si="2"/>
        <v/>
      </c>
    </row>
    <row r="9" spans="1:26" x14ac:dyDescent="0.3">
      <c r="A9" t="s">
        <v>267</v>
      </c>
      <c r="B9" t="s">
        <v>1</v>
      </c>
      <c r="C9" t="s">
        <v>5</v>
      </c>
      <c r="D9">
        <v>1</v>
      </c>
      <c r="E9" t="s">
        <v>260</v>
      </c>
      <c r="F9" s="10">
        <v>0.63541666666666663</v>
      </c>
      <c r="G9" t="s">
        <v>10</v>
      </c>
      <c r="H9" t="s">
        <v>12</v>
      </c>
      <c r="I9" s="2"/>
      <c r="J9" s="2"/>
      <c r="K9" s="2"/>
      <c r="L9" t="str">
        <f t="shared" si="0"/>
        <v>Pending</v>
      </c>
      <c r="M9" t="str">
        <f>IF(OR(I9="",J9=""),"",IF(I9&gt;J9,Settings!$B$2,IF(I9&lt;J9,Settings!$B$5,IF(K9=G9,Settings!$B$3,IF(K9=H9,Settings!$B$4,"")))))</f>
        <v/>
      </c>
      <c r="N9" t="str">
        <f>IF(OR(I9="",J9=""),"",IF(J9&gt;I9,Settings!$B$2,IF(J9&lt;I9,Settings!$B$5,IF(K9=H9,Settings!$B$3,IF(K9=G9,Settings!$B$4,"")))))</f>
        <v/>
      </c>
      <c r="O9" t="str">
        <f t="shared" si="1"/>
        <v/>
      </c>
      <c r="P9" t="str">
        <f t="shared" si="2"/>
        <v/>
      </c>
    </row>
    <row r="10" spans="1:26" x14ac:dyDescent="0.3">
      <c r="A10" t="s">
        <v>268</v>
      </c>
      <c r="B10" t="s">
        <v>1</v>
      </c>
      <c r="C10" t="s">
        <v>32</v>
      </c>
      <c r="D10">
        <v>2</v>
      </c>
      <c r="E10" t="s">
        <v>262</v>
      </c>
      <c r="F10" s="10">
        <v>0.63541666666666663</v>
      </c>
      <c r="G10" t="s">
        <v>33</v>
      </c>
      <c r="H10" t="s">
        <v>37</v>
      </c>
      <c r="I10" s="2"/>
      <c r="J10" s="2"/>
      <c r="K10" s="2"/>
      <c r="L10" t="str">
        <f t="shared" si="0"/>
        <v>Pending</v>
      </c>
      <c r="M10" t="str">
        <f>IF(OR(I10="",J10=""),"",IF(I10&gt;J10,Settings!$B$2,IF(I10&lt;J10,Settings!$B$5,IF(K10=G10,Settings!$B$3,IF(K10=H10,Settings!$B$4,"")))))</f>
        <v/>
      </c>
      <c r="N10" t="str">
        <f>IF(OR(I10="",J10=""),"",IF(J10&gt;I10,Settings!$B$2,IF(J10&lt;I10,Settings!$B$5,IF(K10=H10,Settings!$B$3,IF(K10=G10,Settings!$B$4,"")))))</f>
        <v/>
      </c>
      <c r="O10" t="str">
        <f t="shared" si="1"/>
        <v/>
      </c>
      <c r="P10" t="str">
        <f t="shared" si="2"/>
        <v/>
      </c>
    </row>
    <row r="11" spans="1:26" x14ac:dyDescent="0.3">
      <c r="A11" t="s">
        <v>269</v>
      </c>
      <c r="B11" t="s">
        <v>1</v>
      </c>
      <c r="C11" t="s">
        <v>14</v>
      </c>
      <c r="D11">
        <v>2</v>
      </c>
      <c r="E11" t="s">
        <v>258</v>
      </c>
      <c r="F11" s="10">
        <v>0.65625</v>
      </c>
      <c r="G11" t="s">
        <v>15</v>
      </c>
      <c r="H11" t="s">
        <v>19</v>
      </c>
      <c r="I11" s="2"/>
      <c r="J11" s="2"/>
      <c r="K11" s="2"/>
      <c r="L11" t="str">
        <f t="shared" si="0"/>
        <v>Pending</v>
      </c>
      <c r="M11" t="str">
        <f>IF(OR(I11="",J11=""),"",IF(I11&gt;J11,Settings!$B$2,IF(I11&lt;J11,Settings!$B$5,IF(K11=G11,Settings!$B$3,IF(K11=H11,Settings!$B$4,"")))))</f>
        <v/>
      </c>
      <c r="N11" t="str">
        <f>IF(OR(I11="",J11=""),"",IF(J11&gt;I11,Settings!$B$2,IF(J11&lt;I11,Settings!$B$5,IF(K11=H11,Settings!$B$3,IF(K11=G11,Settings!$B$4,"")))))</f>
        <v/>
      </c>
      <c r="O11" t="str">
        <f t="shared" si="1"/>
        <v/>
      </c>
      <c r="P11" t="str">
        <f t="shared" si="2"/>
        <v/>
      </c>
    </row>
    <row r="12" spans="1:26" x14ac:dyDescent="0.3">
      <c r="A12" t="s">
        <v>270</v>
      </c>
      <c r="B12" t="s">
        <v>1</v>
      </c>
      <c r="C12" t="s">
        <v>14</v>
      </c>
      <c r="D12">
        <v>2</v>
      </c>
      <c r="E12" t="s">
        <v>260</v>
      </c>
      <c r="F12" s="10">
        <v>0.65625</v>
      </c>
      <c r="G12" t="s">
        <v>17</v>
      </c>
      <c r="H12" t="s">
        <v>21</v>
      </c>
      <c r="I12" s="2"/>
      <c r="J12" s="2"/>
      <c r="K12" s="2"/>
      <c r="L12" t="str">
        <f t="shared" si="0"/>
        <v>Pending</v>
      </c>
      <c r="M12" t="str">
        <f>IF(OR(I12="",J12=""),"",IF(I12&gt;J12,Settings!$B$2,IF(I12&lt;J12,Settings!$B$5,IF(K12=G12,Settings!$B$3,IF(K12=H12,Settings!$B$4,"")))))</f>
        <v/>
      </c>
      <c r="N12" t="str">
        <f>IF(OR(I12="",J12=""),"",IF(J12&gt;I12,Settings!$B$2,IF(J12&lt;I12,Settings!$B$5,IF(K12=H12,Settings!$B$3,IF(K12=G12,Settings!$B$4,"")))))</f>
        <v/>
      </c>
      <c r="O12" t="str">
        <f t="shared" si="1"/>
        <v/>
      </c>
      <c r="P12" t="str">
        <f t="shared" si="2"/>
        <v/>
      </c>
    </row>
    <row r="13" spans="1:26" x14ac:dyDescent="0.3">
      <c r="A13" t="s">
        <v>271</v>
      </c>
      <c r="B13" t="s">
        <v>1</v>
      </c>
      <c r="C13" t="s">
        <v>32</v>
      </c>
      <c r="D13">
        <v>2</v>
      </c>
      <c r="E13" t="s">
        <v>262</v>
      </c>
      <c r="F13" s="10">
        <v>0.65625</v>
      </c>
      <c r="G13" t="s">
        <v>35</v>
      </c>
      <c r="H13" t="s">
        <v>39</v>
      </c>
      <c r="I13" s="2"/>
      <c r="J13" s="2"/>
      <c r="K13" s="2"/>
      <c r="L13" t="str">
        <f t="shared" si="0"/>
        <v>Pending</v>
      </c>
      <c r="M13" t="str">
        <f>IF(OR(I13="",J13=""),"",IF(I13&gt;J13,Settings!$B$2,IF(I13&lt;J13,Settings!$B$5,IF(K13=G13,Settings!$B$3,IF(K13=H13,Settings!$B$4,"")))))</f>
        <v/>
      </c>
      <c r="N13" t="str">
        <f>IF(OR(I13="",J13=""),"",IF(J13&gt;I13,Settings!$B$2,IF(J13&lt;I13,Settings!$B$5,IF(K13=H13,Settings!$B$3,IF(K13=G13,Settings!$B$4,"")))))</f>
        <v/>
      </c>
      <c r="O13" t="str">
        <f t="shared" si="1"/>
        <v/>
      </c>
      <c r="P13" t="str">
        <f t="shared" si="2"/>
        <v/>
      </c>
    </row>
    <row r="14" spans="1:26" x14ac:dyDescent="0.3">
      <c r="A14" t="s">
        <v>272</v>
      </c>
      <c r="B14" t="s">
        <v>1</v>
      </c>
      <c r="C14" t="s">
        <v>23</v>
      </c>
      <c r="D14">
        <v>2</v>
      </c>
      <c r="E14" t="s">
        <v>258</v>
      </c>
      <c r="F14" s="10">
        <v>0.6875</v>
      </c>
      <c r="G14" t="s">
        <v>24</v>
      </c>
      <c r="H14" t="s">
        <v>28</v>
      </c>
      <c r="I14" s="2"/>
      <c r="J14" s="2"/>
      <c r="K14" s="2"/>
      <c r="L14" t="str">
        <f t="shared" si="0"/>
        <v>Pending</v>
      </c>
      <c r="M14" t="str">
        <f>IF(OR(I14="",J14=""),"",IF(I14&gt;J14,Settings!$B$2,IF(I14&lt;J14,Settings!$B$5,IF(K14=G14,Settings!$B$3,IF(K14=H14,Settings!$B$4,"")))))</f>
        <v/>
      </c>
      <c r="N14" t="str">
        <f>IF(OR(I14="",J14=""),"",IF(J14&gt;I14,Settings!$B$2,IF(J14&lt;I14,Settings!$B$5,IF(K14=H14,Settings!$B$3,IF(K14=G14,Settings!$B$4,"")))))</f>
        <v/>
      </c>
      <c r="O14" t="str">
        <f t="shared" si="1"/>
        <v/>
      </c>
      <c r="P14" t="str">
        <f t="shared" si="2"/>
        <v/>
      </c>
    </row>
    <row r="15" spans="1:26" x14ac:dyDescent="0.3">
      <c r="A15" t="s">
        <v>273</v>
      </c>
      <c r="B15" t="s">
        <v>1</v>
      </c>
      <c r="C15" t="s">
        <v>23</v>
      </c>
      <c r="D15">
        <v>2</v>
      </c>
      <c r="E15" t="s">
        <v>260</v>
      </c>
      <c r="F15" s="10">
        <v>0.6875</v>
      </c>
      <c r="G15" t="s">
        <v>26</v>
      </c>
      <c r="H15" t="s">
        <v>30</v>
      </c>
      <c r="I15" s="2"/>
      <c r="J15" s="2"/>
      <c r="K15" s="2"/>
      <c r="L15" t="str">
        <f t="shared" si="0"/>
        <v>Pending</v>
      </c>
      <c r="M15" t="str">
        <f>IF(OR(I15="",J15=""),"",IF(I15&gt;J15,Settings!$B$2,IF(I15&lt;J15,Settings!$B$5,IF(K15=G15,Settings!$B$3,IF(K15=H15,Settings!$B$4,"")))))</f>
        <v/>
      </c>
      <c r="N15" t="str">
        <f>IF(OR(I15="",J15=""),"",IF(J15&gt;I15,Settings!$B$2,IF(J15&lt;I15,Settings!$B$5,IF(K15=H15,Settings!$B$3,IF(K15=G15,Settings!$B$4,"")))))</f>
        <v/>
      </c>
      <c r="O15" t="str">
        <f t="shared" si="1"/>
        <v/>
      </c>
      <c r="P15" t="str">
        <f t="shared" si="2"/>
        <v/>
      </c>
    </row>
    <row r="16" spans="1:26" x14ac:dyDescent="0.3">
      <c r="A16" t="s">
        <v>274</v>
      </c>
      <c r="B16" t="s">
        <v>1</v>
      </c>
      <c r="C16" t="s">
        <v>5</v>
      </c>
      <c r="D16">
        <v>2</v>
      </c>
      <c r="E16" t="s">
        <v>262</v>
      </c>
      <c r="F16" s="10">
        <v>0.6875</v>
      </c>
      <c r="G16" t="s">
        <v>6</v>
      </c>
      <c r="H16" t="s">
        <v>10</v>
      </c>
      <c r="I16" s="2"/>
      <c r="J16" s="2"/>
      <c r="K16" s="2"/>
      <c r="L16" t="str">
        <f t="shared" si="0"/>
        <v>Pending</v>
      </c>
      <c r="M16" t="str">
        <f>IF(OR(I16="",J16=""),"",IF(I16&gt;J16,Settings!$B$2,IF(I16&lt;J16,Settings!$B$5,IF(K16=G16,Settings!$B$3,IF(K16=H16,Settings!$B$4,"")))))</f>
        <v/>
      </c>
      <c r="N16" t="str">
        <f>IF(OR(I16="",J16=""),"",IF(J16&gt;I16,Settings!$B$2,IF(J16&lt;I16,Settings!$B$5,IF(K16=H16,Settings!$B$3,IF(K16=G16,Settings!$B$4,"")))))</f>
        <v/>
      </c>
      <c r="O16" t="str">
        <f t="shared" si="1"/>
        <v/>
      </c>
      <c r="P16" t="str">
        <f t="shared" si="2"/>
        <v/>
      </c>
    </row>
    <row r="17" spans="1:16" x14ac:dyDescent="0.3">
      <c r="A17" t="s">
        <v>275</v>
      </c>
      <c r="B17" t="s">
        <v>1</v>
      </c>
      <c r="C17" t="s">
        <v>32</v>
      </c>
      <c r="D17">
        <v>3</v>
      </c>
      <c r="E17" t="s">
        <v>258</v>
      </c>
      <c r="F17" s="10">
        <v>0.70833333333333337</v>
      </c>
      <c r="G17" t="s">
        <v>33</v>
      </c>
      <c r="H17" t="s">
        <v>39</v>
      </c>
      <c r="I17" s="2"/>
      <c r="J17" s="2"/>
      <c r="K17" s="2"/>
      <c r="L17" t="str">
        <f t="shared" si="0"/>
        <v>Pending</v>
      </c>
      <c r="M17" t="str">
        <f>IF(OR(I17="",J17=""),"",IF(I17&gt;J17,Settings!$B$2,IF(I17&lt;J17,Settings!$B$5,IF(K17=G17,Settings!$B$3,IF(K17=H17,Settings!$B$4,"")))))</f>
        <v/>
      </c>
      <c r="N17" t="str">
        <f>IF(OR(I17="",J17=""),"",IF(J17&gt;I17,Settings!$B$2,IF(J17&lt;I17,Settings!$B$5,IF(K17=H17,Settings!$B$3,IF(K17=G17,Settings!$B$4,"")))))</f>
        <v/>
      </c>
      <c r="O17" t="str">
        <f t="shared" si="1"/>
        <v/>
      </c>
      <c r="P17" t="str">
        <f t="shared" si="2"/>
        <v/>
      </c>
    </row>
    <row r="18" spans="1:16" x14ac:dyDescent="0.3">
      <c r="A18" t="s">
        <v>276</v>
      </c>
      <c r="B18" t="s">
        <v>1</v>
      </c>
      <c r="C18" t="s">
        <v>32</v>
      </c>
      <c r="D18">
        <v>3</v>
      </c>
      <c r="E18" t="s">
        <v>260</v>
      </c>
      <c r="F18" s="10">
        <v>0.70833333333333337</v>
      </c>
      <c r="G18" t="s">
        <v>35</v>
      </c>
      <c r="H18" t="s">
        <v>37</v>
      </c>
      <c r="I18" s="2"/>
      <c r="J18" s="2"/>
      <c r="K18" s="2"/>
      <c r="L18" t="str">
        <f t="shared" si="0"/>
        <v>Pending</v>
      </c>
      <c r="M18" t="str">
        <f>IF(OR(I18="",J18=""),"",IF(I18&gt;J18,Settings!$B$2,IF(I18&lt;J18,Settings!$B$5,IF(K18=G18,Settings!$B$3,IF(K18=H18,Settings!$B$4,"")))))</f>
        <v/>
      </c>
      <c r="N18" t="str">
        <f>IF(OR(I18="",J18=""),"",IF(J18&gt;I18,Settings!$B$2,IF(J18&lt;I18,Settings!$B$5,IF(K18=H18,Settings!$B$3,IF(K18=G18,Settings!$B$4,"")))))</f>
        <v/>
      </c>
      <c r="O18" t="str">
        <f t="shared" si="1"/>
        <v/>
      </c>
      <c r="P18" t="str">
        <f t="shared" si="2"/>
        <v/>
      </c>
    </row>
    <row r="19" spans="1:16" x14ac:dyDescent="0.3">
      <c r="A19" t="s">
        <v>277</v>
      </c>
      <c r="B19" t="s">
        <v>1</v>
      </c>
      <c r="C19" t="s">
        <v>5</v>
      </c>
      <c r="D19">
        <v>2</v>
      </c>
      <c r="E19" t="s">
        <v>262</v>
      </c>
      <c r="F19" s="10">
        <v>0.70833333333333337</v>
      </c>
      <c r="G19" t="s">
        <v>8</v>
      </c>
      <c r="H19" t="s">
        <v>12</v>
      </c>
      <c r="I19" s="2"/>
      <c r="J19" s="2"/>
      <c r="K19" s="2"/>
      <c r="L19" t="str">
        <f t="shared" si="0"/>
        <v>Pending</v>
      </c>
      <c r="M19" t="str">
        <f>IF(OR(I19="",J19=""),"",IF(I19&gt;J19,Settings!$B$2,IF(I19&lt;J19,Settings!$B$5,IF(K19=G19,Settings!$B$3,IF(K19=H19,Settings!$B$4,"")))))</f>
        <v/>
      </c>
      <c r="N19" t="str">
        <f>IF(OR(I19="",J19=""),"",IF(J19&gt;I19,Settings!$B$2,IF(J19&lt;I19,Settings!$B$5,IF(K19=H19,Settings!$B$3,IF(K19=G19,Settings!$B$4,"")))))</f>
        <v/>
      </c>
      <c r="O19" t="str">
        <f t="shared" si="1"/>
        <v/>
      </c>
      <c r="P19" t="str">
        <f t="shared" si="2"/>
        <v/>
      </c>
    </row>
    <row r="20" spans="1:16" x14ac:dyDescent="0.3">
      <c r="A20" t="s">
        <v>278</v>
      </c>
      <c r="B20" t="s">
        <v>1</v>
      </c>
      <c r="C20" t="s">
        <v>14</v>
      </c>
      <c r="D20">
        <v>3</v>
      </c>
      <c r="E20" t="s">
        <v>258</v>
      </c>
      <c r="F20" s="10">
        <v>0.72916666666666663</v>
      </c>
      <c r="G20" t="s">
        <v>15</v>
      </c>
      <c r="H20" t="s">
        <v>21</v>
      </c>
      <c r="I20" s="2"/>
      <c r="J20" s="2"/>
      <c r="K20" s="2"/>
      <c r="L20" t="str">
        <f t="shared" si="0"/>
        <v>Pending</v>
      </c>
      <c r="M20" t="str">
        <f>IF(OR(I20="",J20=""),"",IF(I20&gt;J20,Settings!$B$2,IF(I20&lt;J20,Settings!$B$5,IF(K20=G20,Settings!$B$3,IF(K20=H20,Settings!$B$4,"")))))</f>
        <v/>
      </c>
      <c r="N20" t="str">
        <f>IF(OR(I20="",J20=""),"",IF(J20&gt;I20,Settings!$B$2,IF(J20&lt;I20,Settings!$B$5,IF(K20=H20,Settings!$B$3,IF(K20=G20,Settings!$B$4,"")))))</f>
        <v/>
      </c>
      <c r="O20" t="str">
        <f t="shared" si="1"/>
        <v/>
      </c>
      <c r="P20" t="str">
        <f t="shared" si="2"/>
        <v/>
      </c>
    </row>
    <row r="21" spans="1:16" x14ac:dyDescent="0.3">
      <c r="A21" t="s">
        <v>279</v>
      </c>
      <c r="B21" t="s">
        <v>1</v>
      </c>
      <c r="C21" t="s">
        <v>14</v>
      </c>
      <c r="D21">
        <v>3</v>
      </c>
      <c r="E21" t="s">
        <v>260</v>
      </c>
      <c r="F21" s="10">
        <v>0.72916666666666663</v>
      </c>
      <c r="G21" t="s">
        <v>17</v>
      </c>
      <c r="H21" t="s">
        <v>19</v>
      </c>
      <c r="I21" s="2"/>
      <c r="J21" s="2"/>
      <c r="K21" s="2"/>
      <c r="L21" t="str">
        <f t="shared" si="0"/>
        <v>Pending</v>
      </c>
      <c r="M21" t="str">
        <f>IF(OR(I21="",J21=""),"",IF(I21&gt;J21,Settings!$B$2,IF(I21&lt;J21,Settings!$B$5,IF(K21=G21,Settings!$B$3,IF(K21=H21,Settings!$B$4,"")))))</f>
        <v/>
      </c>
      <c r="N21" t="str">
        <f>IF(OR(I21="",J21=""),"",IF(J21&gt;I21,Settings!$B$2,IF(J21&lt;I21,Settings!$B$5,IF(K21=H21,Settings!$B$3,IF(K21=G21,Settings!$B$4,"")))))</f>
        <v/>
      </c>
      <c r="O21" t="str">
        <f t="shared" si="1"/>
        <v/>
      </c>
      <c r="P21" t="str">
        <f t="shared" si="2"/>
        <v/>
      </c>
    </row>
    <row r="22" spans="1:16" x14ac:dyDescent="0.3">
      <c r="A22" t="s">
        <v>280</v>
      </c>
      <c r="B22" t="s">
        <v>1</v>
      </c>
      <c r="C22" t="s">
        <v>23</v>
      </c>
      <c r="D22">
        <v>3</v>
      </c>
      <c r="E22" t="s">
        <v>262</v>
      </c>
      <c r="F22" s="10">
        <v>0.69930555555555551</v>
      </c>
      <c r="G22" t="s">
        <v>24</v>
      </c>
      <c r="H22" t="s">
        <v>30</v>
      </c>
      <c r="I22" s="2"/>
      <c r="J22" s="2"/>
      <c r="K22" s="2"/>
      <c r="L22" t="str">
        <f t="shared" si="0"/>
        <v>Pending</v>
      </c>
      <c r="M22" t="str">
        <f>IF(OR(I22="",J22=""),"",IF(I22&gt;J22,Settings!$B$2,IF(I22&lt;J22,Settings!$B$5,IF(K22=G22,Settings!$B$3,IF(K22=H22,Settings!$B$4,"")))))</f>
        <v/>
      </c>
      <c r="N22" t="str">
        <f>IF(OR(I22="",J22=""),"",IF(J22&gt;I22,Settings!$B$2,IF(J22&lt;I22,Settings!$B$5,IF(K22=H22,Settings!$B$3,IF(K22=G22,Settings!$B$4,"")))))</f>
        <v/>
      </c>
      <c r="O22" t="str">
        <f t="shared" si="1"/>
        <v/>
      </c>
      <c r="P22" t="str">
        <f t="shared" si="2"/>
        <v/>
      </c>
    </row>
    <row r="23" spans="1:16" x14ac:dyDescent="0.3">
      <c r="A23" t="s">
        <v>281</v>
      </c>
      <c r="B23" t="s">
        <v>1</v>
      </c>
      <c r="C23" t="s">
        <v>5</v>
      </c>
      <c r="D23">
        <v>3</v>
      </c>
      <c r="E23" t="s">
        <v>258</v>
      </c>
      <c r="F23" s="10">
        <v>0.75</v>
      </c>
      <c r="G23" t="s">
        <v>6</v>
      </c>
      <c r="H23" t="s">
        <v>12</v>
      </c>
      <c r="I23" s="2"/>
      <c r="J23" s="2"/>
      <c r="K23" s="2"/>
      <c r="L23" t="str">
        <f t="shared" si="0"/>
        <v>Pending</v>
      </c>
      <c r="M23" t="str">
        <f>IF(OR(I23="",J23=""),"",IF(I23&gt;J23,Settings!$B$2,IF(I23&lt;J23,Settings!$B$5,IF(K23=G23,Settings!$B$3,IF(K23=H23,Settings!$B$4,"")))))</f>
        <v/>
      </c>
      <c r="N23" t="str">
        <f>IF(OR(I23="",J23=""),"",IF(J23&gt;I23,Settings!$B$2,IF(J23&lt;I23,Settings!$B$5,IF(K23=H23,Settings!$B$3,IF(K23=G23,Settings!$B$4,"")))))</f>
        <v/>
      </c>
      <c r="O23" t="str">
        <f t="shared" si="1"/>
        <v/>
      </c>
      <c r="P23" t="str">
        <f t="shared" si="2"/>
        <v/>
      </c>
    </row>
    <row r="24" spans="1:16" x14ac:dyDescent="0.3">
      <c r="A24" t="s">
        <v>282</v>
      </c>
      <c r="B24" t="s">
        <v>1</v>
      </c>
      <c r="C24" t="s">
        <v>5</v>
      </c>
      <c r="D24">
        <v>3</v>
      </c>
      <c r="E24" t="s">
        <v>260</v>
      </c>
      <c r="F24" s="10">
        <v>0.75</v>
      </c>
      <c r="G24" t="s">
        <v>8</v>
      </c>
      <c r="H24" t="s">
        <v>10</v>
      </c>
      <c r="I24" s="2"/>
      <c r="J24" s="2"/>
      <c r="K24" s="2"/>
      <c r="L24" t="str">
        <f t="shared" si="0"/>
        <v>Pending</v>
      </c>
      <c r="M24" t="str">
        <f>IF(OR(I24="",J24=""),"",IF(I24&gt;J24,Settings!$B$2,IF(I24&lt;J24,Settings!$B$5,IF(K24=G24,Settings!$B$3,IF(K24=H24,Settings!$B$4,"")))))</f>
        <v/>
      </c>
      <c r="N24" t="str">
        <f>IF(OR(I24="",J24=""),"",IF(J24&gt;I24,Settings!$B$2,IF(J24&lt;I24,Settings!$B$5,IF(K24=H24,Settings!$B$3,IF(K24=G24,Settings!$B$4,"")))))</f>
        <v/>
      </c>
      <c r="O24" t="str">
        <f t="shared" si="1"/>
        <v/>
      </c>
      <c r="P24" t="str">
        <f t="shared" si="2"/>
        <v/>
      </c>
    </row>
    <row r="25" spans="1:16" x14ac:dyDescent="0.3">
      <c r="A25" t="s">
        <v>283</v>
      </c>
      <c r="B25" t="s">
        <v>1</v>
      </c>
      <c r="C25" t="s">
        <v>23</v>
      </c>
      <c r="D25">
        <v>3</v>
      </c>
      <c r="E25" t="s">
        <v>262</v>
      </c>
      <c r="F25" s="10">
        <v>0.75</v>
      </c>
      <c r="G25" t="s">
        <v>26</v>
      </c>
      <c r="H25" t="s">
        <v>28</v>
      </c>
      <c r="I25" s="2"/>
      <c r="J25" s="2"/>
      <c r="K25" s="2"/>
      <c r="L25" t="str">
        <f t="shared" si="0"/>
        <v>Pending</v>
      </c>
      <c r="M25" t="str">
        <f>IF(OR(I25="",J25=""),"",IF(I25&gt;J25,Settings!$B$2,IF(I25&lt;J25,Settings!$B$5,IF(K25=G25,Settings!$B$3,IF(K25=H25,Settings!$B$4,"")))))</f>
        <v/>
      </c>
      <c r="N25" t="str">
        <f>IF(OR(I25="",J25=""),"",IF(J25&gt;I25,Settings!$B$2,IF(J25&lt;I25,Settings!$B$5,IF(K25=H25,Settings!$B$3,IF(K25=G25,Settings!$B$4,"")))))</f>
        <v/>
      </c>
      <c r="O25" t="str">
        <f t="shared" si="1"/>
        <v/>
      </c>
      <c r="P25" t="str">
        <f t="shared" si="2"/>
        <v/>
      </c>
    </row>
  </sheetData>
  <dataValidations count="1">
    <dataValidation type="list" sqref="K2:K25" xr:uid="{00000000-0002-0000-0500-000000000000}">
      <formula1>$G2:$H2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9"/>
  <sheetViews>
    <sheetView topLeftCell="A52" workbookViewId="0">
      <selection activeCell="E72" sqref="E72"/>
    </sheetView>
  </sheetViews>
  <sheetFormatPr defaultRowHeight="14.4" x14ac:dyDescent="0.3"/>
  <cols>
    <col min="1" max="4" width="18" customWidth="1"/>
    <col min="5" max="5" width="34" customWidth="1"/>
    <col min="6" max="10" width="18" customWidth="1"/>
    <col min="11" max="11" width="42" customWidth="1"/>
  </cols>
  <sheetData>
    <row r="1" spans="1:26" x14ac:dyDescent="0.3">
      <c r="A1" s="5" t="s">
        <v>243</v>
      </c>
      <c r="B1" s="5" t="s">
        <v>284</v>
      </c>
      <c r="C1" s="5" t="s">
        <v>285</v>
      </c>
      <c r="D1" s="5" t="s">
        <v>58</v>
      </c>
      <c r="E1" s="5" t="s">
        <v>286</v>
      </c>
      <c r="F1" s="5" t="s">
        <v>287</v>
      </c>
      <c r="G1" s="5" t="s">
        <v>252</v>
      </c>
      <c r="H1" s="5" t="s">
        <v>288</v>
      </c>
      <c r="I1" s="5" t="s">
        <v>289</v>
      </c>
      <c r="J1" s="5" t="s">
        <v>290</v>
      </c>
      <c r="K1" s="5" t="s">
        <v>291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IF(OR(INDEX(Matches!$I$2:$I$25,I2-1)="",INDEX(Matches!$J$2:$J$25,I2-1)=""),"",IF(J2&lt;=INDEX(Matches!$I$2:$I$25,I2-1)+INDEX(Matches!$J$2:$J$25,I2-1),INDEX(Matches!$A$2:$A$25,I2-1),""))</f>
        <v>M01</v>
      </c>
      <c r="B2" t="str">
        <f>IF(A2="","",IF(J2&lt;=INDEX(Matches!$I$2:$I$25,I2-1),INDEX(Matches!$G$2:$G$25,I2-1),INDEX(Matches!$H$2:$H$25,I2-1)))</f>
        <v>All Blacks</v>
      </c>
      <c r="C2">
        <f>IF(A2="","",COUNTIFS($A$2:A2,A2,$B$2:B2,B2))</f>
        <v>1</v>
      </c>
      <c r="D2" s="2" t="str">
        <f t="shared" ref="D2:D65" si="0">IF(A2="","","Goal")</f>
        <v>Goal</v>
      </c>
      <c r="E2" s="2" t="s">
        <v>404</v>
      </c>
      <c r="F2" t="str">
        <f t="shared" ref="F2:F65" si="1">IF(A2="","",IF(D2="Autogol","",IF(D2="Goal",B2,"")))</f>
        <v>All Blacks</v>
      </c>
      <c r="G2" t="str">
        <f t="shared" ref="G2:G65" si="2">IF(A2="","",IF(D2="","Manca tipo",IF(D2="Goal",IF(E2="","Manca giocatore","OK"),IF(D2="Autogol",IF(E2&lt;&gt;"","Autogol: svuota Player","OK"),"Tipo non valido"))))</f>
        <v>OK</v>
      </c>
      <c r="H2" t="str">
        <f>IF(F2="","",VLOOKUP(F2,Validation!$A$2:$B$17,2,FALSE))</f>
        <v>Validation!$O$2:$O$31</v>
      </c>
      <c r="I2">
        <f>INT((ROW()-2)/Settings!$B$6)+2</f>
        <v>2</v>
      </c>
      <c r="J2">
        <f>MOD(ROW()-2,Settings!$B$6)+1</f>
        <v>1</v>
      </c>
      <c r="K2" t="s">
        <v>292</v>
      </c>
    </row>
    <row r="3" spans="1:26" x14ac:dyDescent="0.3">
      <c r="A3" t="str">
        <f>IF(OR(INDEX(Matches!$I$2:$I$25,I3-1)="",INDEX(Matches!$J$2:$J$25,I3-1)=""),"",IF(J3&lt;=INDEX(Matches!$I$2:$I$25,I3-1)+INDEX(Matches!$J$2:$J$25,I3-1),INDEX(Matches!$A$2:$A$25,I3-1),""))</f>
        <v>M01</v>
      </c>
      <c r="B3" t="str">
        <f>IF(A3="","",IF(J3&lt;=INDEX(Matches!$I$2:$I$25,I3-1),INDEX(Matches!$G$2:$G$25,I3-1),INDEX(Matches!$H$2:$H$25,I3-1)))</f>
        <v>Boldò Glimt</v>
      </c>
      <c r="C3">
        <f>IF(A3="","",COUNTIFS($A$2:A3,A3,$B$2:B3,B3))</f>
        <v>1</v>
      </c>
      <c r="D3" s="2" t="str">
        <f t="shared" si="0"/>
        <v>Goal</v>
      </c>
      <c r="E3" s="2" t="s">
        <v>403</v>
      </c>
      <c r="F3" t="str">
        <f t="shared" si="1"/>
        <v>Boldò Glimt</v>
      </c>
      <c r="G3" t="str">
        <f t="shared" si="2"/>
        <v>OK</v>
      </c>
      <c r="H3" t="str">
        <f>IF(F3="","",VLOOKUP(F3,Validation!$A$2:$B$17,2,FALSE))</f>
        <v>Validation!$P$2:$P$31</v>
      </c>
      <c r="I3">
        <f>INT((ROW()-2)/Settings!$B$6)+2</f>
        <v>2</v>
      </c>
      <c r="J3">
        <f>MOD(ROW()-2,Settings!$B$6)+1</f>
        <v>2</v>
      </c>
    </row>
    <row r="4" spans="1:26" x14ac:dyDescent="0.3">
      <c r="A4" t="str">
        <f>IF(OR(INDEX(Matches!$I$2:$I$25,I4-1)="",INDEX(Matches!$J$2:$J$25,I4-1)=""),"",IF(J4&lt;=INDEX(Matches!$I$2:$I$25,I4-1)+INDEX(Matches!$J$2:$J$25,I4-1),INDEX(Matches!$A$2:$A$25,I4-1),""))</f>
        <v>M01</v>
      </c>
      <c r="B4" t="str">
        <f>IF(A4="","",IF(J4&lt;=INDEX(Matches!$I$2:$I$25,I4-1),INDEX(Matches!$G$2:$G$25,I4-1),INDEX(Matches!$H$2:$H$25,I4-1)))</f>
        <v>Boldò Glimt</v>
      </c>
      <c r="C4">
        <f>IF(A4="","",COUNTIFS($A$2:A4,A4,$B$2:B4,B4))</f>
        <v>2</v>
      </c>
      <c r="D4" s="2" t="str">
        <f t="shared" si="0"/>
        <v>Goal</v>
      </c>
      <c r="E4" s="2" t="s">
        <v>403</v>
      </c>
      <c r="F4" t="str">
        <f t="shared" si="1"/>
        <v>Boldò Glimt</v>
      </c>
      <c r="G4" t="str">
        <f t="shared" si="2"/>
        <v>OK</v>
      </c>
      <c r="H4" t="str">
        <f>IF(F4="","",VLOOKUP(F4,Validation!$A$2:$B$17,2,FALSE))</f>
        <v>Validation!$P$2:$P$31</v>
      </c>
      <c r="I4">
        <f>INT((ROW()-2)/Settings!$B$6)+2</f>
        <v>2</v>
      </c>
      <c r="J4">
        <f>MOD(ROW()-2,Settings!$B$6)+1</f>
        <v>3</v>
      </c>
    </row>
    <row r="5" spans="1:26" x14ac:dyDescent="0.3">
      <c r="A5" t="str">
        <f>IF(OR(INDEX(Matches!$I$2:$I$25,I5-1)="",INDEX(Matches!$J$2:$J$25,I5-1)=""),"",IF(J5&lt;=INDEX(Matches!$I$2:$I$25,I5-1)+INDEX(Matches!$J$2:$J$25,I5-1),INDEX(Matches!$A$2:$A$25,I5-1),""))</f>
        <v/>
      </c>
      <c r="B5" t="str">
        <f>IF(A5="","",IF(J5&lt;=INDEX(Matches!$I$2:$I$25,I5-1),INDEX(Matches!$G$2:$G$25,I5-1),INDEX(Matches!$H$2:$H$25,I5-1)))</f>
        <v/>
      </c>
      <c r="C5" t="str">
        <f>IF(A5="","",COUNTIFS($A$2:A5,A5,$B$2:B5,B5))</f>
        <v/>
      </c>
      <c r="D5" s="2" t="str">
        <f t="shared" si="0"/>
        <v/>
      </c>
      <c r="E5" s="2"/>
      <c r="F5" t="str">
        <f t="shared" si="1"/>
        <v/>
      </c>
      <c r="G5" t="str">
        <f t="shared" si="2"/>
        <v/>
      </c>
      <c r="H5" t="str">
        <f>IF(F5="","",VLOOKUP(F5,Validation!$A$2:$B$17,2,FALSE))</f>
        <v/>
      </c>
      <c r="I5">
        <f>INT((ROW()-2)/Settings!$B$6)+2</f>
        <v>2</v>
      </c>
      <c r="J5">
        <f>MOD(ROW()-2,Settings!$B$6)+1</f>
        <v>4</v>
      </c>
    </row>
    <row r="6" spans="1:26" x14ac:dyDescent="0.3">
      <c r="A6" t="str">
        <f>IF(OR(INDEX(Matches!$I$2:$I$25,I6-1)="",INDEX(Matches!$J$2:$J$25,I6-1)=""),"",IF(J6&lt;=INDEX(Matches!$I$2:$I$25,I6-1)+INDEX(Matches!$J$2:$J$25,I6-1),INDEX(Matches!$A$2:$A$25,I6-1),""))</f>
        <v/>
      </c>
      <c r="B6" t="str">
        <f>IF(A6="","",IF(J6&lt;=INDEX(Matches!$I$2:$I$25,I6-1),INDEX(Matches!$G$2:$G$25,I6-1),INDEX(Matches!$H$2:$H$25,I6-1)))</f>
        <v/>
      </c>
      <c r="C6" t="str">
        <f>IF(A6="","",COUNTIFS($A$2:A6,A6,$B$2:B6,B6))</f>
        <v/>
      </c>
      <c r="D6" s="2" t="str">
        <f t="shared" si="0"/>
        <v/>
      </c>
      <c r="E6" s="2"/>
      <c r="F6" t="str">
        <f t="shared" si="1"/>
        <v/>
      </c>
      <c r="G6" t="str">
        <f t="shared" si="2"/>
        <v/>
      </c>
      <c r="H6" t="str">
        <f>IF(F6="","",VLOOKUP(F6,Validation!$A$2:$B$17,2,FALSE))</f>
        <v/>
      </c>
      <c r="I6">
        <f>INT((ROW()-2)/Settings!$B$6)+2</f>
        <v>2</v>
      </c>
      <c r="J6">
        <f>MOD(ROW()-2,Settings!$B$6)+1</f>
        <v>5</v>
      </c>
    </row>
    <row r="7" spans="1:26" x14ac:dyDescent="0.3">
      <c r="A7" t="str">
        <f>IF(OR(INDEX(Matches!$I$2:$I$25,I7-1)="",INDEX(Matches!$J$2:$J$25,I7-1)=""),"",IF(J7&lt;=INDEX(Matches!$I$2:$I$25,I7-1)+INDEX(Matches!$J$2:$J$25,I7-1),INDEX(Matches!$A$2:$A$25,I7-1),""))</f>
        <v/>
      </c>
      <c r="B7" t="str">
        <f>IF(A7="","",IF(J7&lt;=INDEX(Matches!$I$2:$I$25,I7-1),INDEX(Matches!$G$2:$G$25,I7-1),INDEX(Matches!$H$2:$H$25,I7-1)))</f>
        <v/>
      </c>
      <c r="C7" t="str">
        <f>IF(A7="","",COUNTIFS($A$2:A7,A7,$B$2:B7,B7))</f>
        <v/>
      </c>
      <c r="D7" s="2" t="str">
        <f t="shared" si="0"/>
        <v/>
      </c>
      <c r="E7" s="2"/>
      <c r="F7" t="str">
        <f t="shared" si="1"/>
        <v/>
      </c>
      <c r="G7" t="str">
        <f t="shared" si="2"/>
        <v/>
      </c>
      <c r="H7" t="str">
        <f>IF(F7="","",VLOOKUP(F7,Validation!$A$2:$B$17,2,FALSE))</f>
        <v/>
      </c>
      <c r="I7">
        <f>INT((ROW()-2)/Settings!$B$6)+2</f>
        <v>2</v>
      </c>
      <c r="J7">
        <f>MOD(ROW()-2,Settings!$B$6)+1</f>
        <v>6</v>
      </c>
    </row>
    <row r="8" spans="1:26" x14ac:dyDescent="0.3">
      <c r="A8" t="str">
        <f>IF(OR(INDEX(Matches!$I$2:$I$25,I8-1)="",INDEX(Matches!$J$2:$J$25,I8-1)=""),"",IF(J8&lt;=INDEX(Matches!$I$2:$I$25,I8-1)+INDEX(Matches!$J$2:$J$25,I8-1),INDEX(Matches!$A$2:$A$25,I8-1),""))</f>
        <v/>
      </c>
      <c r="B8" t="str">
        <f>IF(A8="","",IF(J8&lt;=INDEX(Matches!$I$2:$I$25,I8-1),INDEX(Matches!$G$2:$G$25,I8-1),INDEX(Matches!$H$2:$H$25,I8-1)))</f>
        <v/>
      </c>
      <c r="C8" t="str">
        <f>IF(A8="","",COUNTIFS($A$2:A8,A8,$B$2:B8,B8))</f>
        <v/>
      </c>
      <c r="D8" s="2" t="str">
        <f t="shared" si="0"/>
        <v/>
      </c>
      <c r="E8" s="2"/>
      <c r="F8" t="str">
        <f t="shared" si="1"/>
        <v/>
      </c>
      <c r="G8" t="str">
        <f t="shared" si="2"/>
        <v/>
      </c>
      <c r="H8" t="str">
        <f>IF(F8="","",VLOOKUP(F8,Validation!$A$2:$B$17,2,FALSE))</f>
        <v/>
      </c>
      <c r="I8">
        <f>INT((ROW()-2)/Settings!$B$6)+2</f>
        <v>2</v>
      </c>
      <c r="J8">
        <f>MOD(ROW()-2,Settings!$B$6)+1</f>
        <v>7</v>
      </c>
    </row>
    <row r="9" spans="1:26" x14ac:dyDescent="0.3">
      <c r="A9" t="str">
        <f>IF(OR(INDEX(Matches!$I$2:$I$25,I9-1)="",INDEX(Matches!$J$2:$J$25,I9-1)=""),"",IF(J9&lt;=INDEX(Matches!$I$2:$I$25,I9-1)+INDEX(Matches!$J$2:$J$25,I9-1),INDEX(Matches!$A$2:$A$25,I9-1),""))</f>
        <v/>
      </c>
      <c r="B9" t="str">
        <f>IF(A9="","",IF(J9&lt;=INDEX(Matches!$I$2:$I$25,I9-1),INDEX(Matches!$G$2:$G$25,I9-1),INDEX(Matches!$H$2:$H$25,I9-1)))</f>
        <v/>
      </c>
      <c r="C9" t="str">
        <f>IF(A9="","",COUNTIFS($A$2:A9,A9,$B$2:B9,B9))</f>
        <v/>
      </c>
      <c r="D9" s="2" t="str">
        <f t="shared" si="0"/>
        <v/>
      </c>
      <c r="E9" s="2"/>
      <c r="F9" t="str">
        <f t="shared" si="1"/>
        <v/>
      </c>
      <c r="G9" t="str">
        <f t="shared" si="2"/>
        <v/>
      </c>
      <c r="H9" t="str">
        <f>IF(F9="","",VLOOKUP(F9,Validation!$A$2:$B$17,2,FALSE))</f>
        <v/>
      </c>
      <c r="I9">
        <f>INT((ROW()-2)/Settings!$B$6)+2</f>
        <v>2</v>
      </c>
      <c r="J9">
        <f>MOD(ROW()-2,Settings!$B$6)+1</f>
        <v>8</v>
      </c>
    </row>
    <row r="10" spans="1:26" x14ac:dyDescent="0.3">
      <c r="A10" t="str">
        <f>IF(OR(INDEX(Matches!$I$2:$I$25,I10-1)="",INDEX(Matches!$J$2:$J$25,I10-1)=""),"",IF(J10&lt;=INDEX(Matches!$I$2:$I$25,I10-1)+INDEX(Matches!$J$2:$J$25,I10-1),INDEX(Matches!$A$2:$A$25,I10-1),""))</f>
        <v/>
      </c>
      <c r="B10" t="str">
        <f>IF(A10="","",IF(J10&lt;=INDEX(Matches!$I$2:$I$25,I10-1),INDEX(Matches!$G$2:$G$25,I10-1),INDEX(Matches!$H$2:$H$25,I10-1)))</f>
        <v/>
      </c>
      <c r="C10" t="str">
        <f>IF(A10="","",COUNTIFS($A$2:A10,A10,$B$2:B10,B10))</f>
        <v/>
      </c>
      <c r="D10" s="2" t="str">
        <f t="shared" si="0"/>
        <v/>
      </c>
      <c r="E10" s="2"/>
      <c r="F10" t="str">
        <f t="shared" si="1"/>
        <v/>
      </c>
      <c r="G10" t="str">
        <f t="shared" si="2"/>
        <v/>
      </c>
      <c r="H10" t="str">
        <f>IF(F10="","",VLOOKUP(F10,Validation!$A$2:$B$17,2,FALSE))</f>
        <v/>
      </c>
      <c r="I10">
        <f>INT((ROW()-2)/Settings!$B$6)+2</f>
        <v>2</v>
      </c>
      <c r="J10">
        <f>MOD(ROW()-2,Settings!$B$6)+1</f>
        <v>9</v>
      </c>
    </row>
    <row r="11" spans="1:26" x14ac:dyDescent="0.3">
      <c r="A11" t="str">
        <f>IF(OR(INDEX(Matches!$I$2:$I$25,I11-1)="",INDEX(Matches!$J$2:$J$25,I11-1)=""),"",IF(J11&lt;=INDEX(Matches!$I$2:$I$25,I11-1)+INDEX(Matches!$J$2:$J$25,I11-1),INDEX(Matches!$A$2:$A$25,I11-1),""))</f>
        <v/>
      </c>
      <c r="B11" t="str">
        <f>IF(A11="","",IF(J11&lt;=INDEX(Matches!$I$2:$I$25,I11-1),INDEX(Matches!$G$2:$G$25,I11-1),INDEX(Matches!$H$2:$H$25,I11-1)))</f>
        <v/>
      </c>
      <c r="C11" t="str">
        <f>IF(A11="","",COUNTIFS($A$2:A11,A11,$B$2:B11,B11))</f>
        <v/>
      </c>
      <c r="D11" s="2" t="str">
        <f t="shared" si="0"/>
        <v/>
      </c>
      <c r="E11" s="2"/>
      <c r="F11" t="str">
        <f t="shared" si="1"/>
        <v/>
      </c>
      <c r="G11" t="str">
        <f t="shared" si="2"/>
        <v/>
      </c>
      <c r="H11" t="str">
        <f>IF(F11="","",VLOOKUP(F11,Validation!$A$2:$B$17,2,FALSE))</f>
        <v/>
      </c>
      <c r="I11">
        <f>INT((ROW()-2)/Settings!$B$6)+2</f>
        <v>2</v>
      </c>
      <c r="J11">
        <f>MOD(ROW()-2,Settings!$B$6)+1</f>
        <v>10</v>
      </c>
    </row>
    <row r="12" spans="1:26" x14ac:dyDescent="0.3">
      <c r="A12" t="str">
        <f>IF(OR(INDEX(Matches!$I$2:$I$25,I12-1)="",INDEX(Matches!$J$2:$J$25,I12-1)=""),"",IF(J12&lt;=INDEX(Matches!$I$2:$I$25,I12-1)+INDEX(Matches!$J$2:$J$25,I12-1),INDEX(Matches!$A$2:$A$25,I12-1),""))</f>
        <v/>
      </c>
      <c r="B12" t="str">
        <f>IF(A12="","",IF(J12&lt;=INDEX(Matches!$I$2:$I$25,I12-1),INDEX(Matches!$G$2:$G$25,I12-1),INDEX(Matches!$H$2:$H$25,I12-1)))</f>
        <v/>
      </c>
      <c r="C12" t="str">
        <f>IF(A12="","",COUNTIFS($A$2:A12,A12,$B$2:B12,B12))</f>
        <v/>
      </c>
      <c r="D12" s="2" t="str">
        <f t="shared" si="0"/>
        <v/>
      </c>
      <c r="E12" s="2"/>
      <c r="F12" t="str">
        <f t="shared" si="1"/>
        <v/>
      </c>
      <c r="G12" t="str">
        <f t="shared" si="2"/>
        <v/>
      </c>
      <c r="H12" t="str">
        <f>IF(F12="","",VLOOKUP(F12,Validation!$A$2:$B$17,2,FALSE))</f>
        <v/>
      </c>
      <c r="I12">
        <f>INT((ROW()-2)/Settings!$B$6)+2</f>
        <v>2</v>
      </c>
      <c r="J12">
        <f>MOD(ROW()-2,Settings!$B$6)+1</f>
        <v>11</v>
      </c>
    </row>
    <row r="13" spans="1:26" x14ac:dyDescent="0.3">
      <c r="A13" t="str">
        <f>IF(OR(INDEX(Matches!$I$2:$I$25,I13-1)="",INDEX(Matches!$J$2:$J$25,I13-1)=""),"",IF(J13&lt;=INDEX(Matches!$I$2:$I$25,I13-1)+INDEX(Matches!$J$2:$J$25,I13-1),INDEX(Matches!$A$2:$A$25,I13-1),""))</f>
        <v/>
      </c>
      <c r="B13" t="str">
        <f>IF(A13="","",IF(J13&lt;=INDEX(Matches!$I$2:$I$25,I13-1),INDEX(Matches!$G$2:$G$25,I13-1),INDEX(Matches!$H$2:$H$25,I13-1)))</f>
        <v/>
      </c>
      <c r="C13" t="str">
        <f>IF(A13="","",COUNTIFS($A$2:A13,A13,$B$2:B13,B13))</f>
        <v/>
      </c>
      <c r="D13" s="2" t="str">
        <f t="shared" si="0"/>
        <v/>
      </c>
      <c r="E13" s="2"/>
      <c r="F13" t="str">
        <f t="shared" si="1"/>
        <v/>
      </c>
      <c r="G13" t="str">
        <f t="shared" si="2"/>
        <v/>
      </c>
      <c r="H13" t="str">
        <f>IF(F13="","",VLOOKUP(F13,Validation!$A$2:$B$17,2,FALSE))</f>
        <v/>
      </c>
      <c r="I13">
        <f>INT((ROW()-2)/Settings!$B$6)+2</f>
        <v>2</v>
      </c>
      <c r="J13">
        <f>MOD(ROW()-2,Settings!$B$6)+1</f>
        <v>12</v>
      </c>
    </row>
    <row r="14" spans="1:26" x14ac:dyDescent="0.3">
      <c r="A14" t="str">
        <f>IF(OR(INDEX(Matches!$I$2:$I$25,I14-1)="",INDEX(Matches!$J$2:$J$25,I14-1)=""),"",IF(J14&lt;=INDEX(Matches!$I$2:$I$25,I14-1)+INDEX(Matches!$J$2:$J$25,I14-1),INDEX(Matches!$A$2:$A$25,I14-1),""))</f>
        <v>M02</v>
      </c>
      <c r="B14" t="str">
        <f>IF(A14="","",IF(J14&lt;=INDEX(Matches!$I$2:$I$25,I14-1),INDEX(Matches!$G$2:$G$25,I14-1),INDEX(Matches!$H$2:$H$25,I14-1)))</f>
        <v>Piadineria la Salsiccia</v>
      </c>
      <c r="C14">
        <f>IF(A14="","",COUNTIFS($A$2:A14,A14,$B$2:B14,B14))</f>
        <v>1</v>
      </c>
      <c r="D14" s="2" t="s">
        <v>408</v>
      </c>
      <c r="E14" s="2" t="s">
        <v>409</v>
      </c>
      <c r="F14" t="str">
        <f t="shared" si="1"/>
        <v>Piadineria la Salsiccia</v>
      </c>
      <c r="G14" t="str">
        <f t="shared" si="2"/>
        <v>OK</v>
      </c>
      <c r="H14" t="str">
        <f>IF(F14="","",VLOOKUP(F14,Validation!$A$2:$B$17,2,FALSE))</f>
        <v>Validation!$R$2:$R$31</v>
      </c>
      <c r="I14">
        <f>INT((ROW()-2)/Settings!$B$6)+2</f>
        <v>3</v>
      </c>
      <c r="J14">
        <f>MOD(ROW()-2,Settings!$B$6)+1</f>
        <v>1</v>
      </c>
    </row>
    <row r="15" spans="1:26" x14ac:dyDescent="0.3">
      <c r="A15" t="str">
        <f>IF(OR(INDEX(Matches!$I$2:$I$25,I15-1)="",INDEX(Matches!$J$2:$J$25,I15-1)=""),"",IF(J15&lt;=INDEX(Matches!$I$2:$I$25,I15-1)+INDEX(Matches!$J$2:$J$25,I15-1),INDEX(Matches!$A$2:$A$25,I15-1),""))</f>
        <v/>
      </c>
      <c r="B15" t="str">
        <f>IF(A15="","",IF(J15&lt;=INDEX(Matches!$I$2:$I$25,I15-1),INDEX(Matches!$G$2:$G$25,I15-1),INDEX(Matches!$H$2:$H$25,I15-1)))</f>
        <v/>
      </c>
      <c r="C15" t="str">
        <f>IF(A15="","",COUNTIFS($A$2:A15,A15,$B$2:B15,B15))</f>
        <v/>
      </c>
      <c r="D15" s="2"/>
      <c r="E15" s="2"/>
      <c r="F15" t="str">
        <f t="shared" si="1"/>
        <v/>
      </c>
      <c r="G15" t="str">
        <f t="shared" si="2"/>
        <v/>
      </c>
      <c r="H15" t="str">
        <f>IF(F15="","",VLOOKUP(F15,Validation!$A$2:$B$17,2,FALSE))</f>
        <v/>
      </c>
      <c r="I15">
        <f>INT((ROW()-2)/Settings!$B$6)+2</f>
        <v>3</v>
      </c>
      <c r="J15">
        <f>MOD(ROW()-2,Settings!$B$6)+1</f>
        <v>2</v>
      </c>
    </row>
    <row r="16" spans="1:26" x14ac:dyDescent="0.3">
      <c r="A16" t="str">
        <f>IF(OR(INDEX(Matches!$I$2:$I$25,I16-1)="",INDEX(Matches!$J$2:$J$25,I16-1)=""),"",IF(J16&lt;=INDEX(Matches!$I$2:$I$25,I16-1)+INDEX(Matches!$J$2:$J$25,I16-1),INDEX(Matches!$A$2:$A$25,I16-1),""))</f>
        <v/>
      </c>
      <c r="B16" t="str">
        <f>IF(A16="","",IF(J16&lt;=INDEX(Matches!$I$2:$I$25,I16-1),INDEX(Matches!$G$2:$G$25,I16-1),INDEX(Matches!$H$2:$H$25,I16-1)))</f>
        <v/>
      </c>
      <c r="C16" t="str">
        <f>IF(A16="","",COUNTIFS($A$2:A16,A16,$B$2:B16,B16))</f>
        <v/>
      </c>
      <c r="D16" s="2"/>
      <c r="E16" s="2"/>
      <c r="F16" t="str">
        <f t="shared" si="1"/>
        <v/>
      </c>
      <c r="G16" t="str">
        <f t="shared" si="2"/>
        <v/>
      </c>
      <c r="H16" t="str">
        <f>IF(F16="","",VLOOKUP(F16,Validation!$A$2:$B$17,2,FALSE))</f>
        <v/>
      </c>
      <c r="I16">
        <f>INT((ROW()-2)/Settings!$B$6)+2</f>
        <v>3</v>
      </c>
      <c r="J16">
        <f>MOD(ROW()-2,Settings!$B$6)+1</f>
        <v>3</v>
      </c>
    </row>
    <row r="17" spans="1:10" x14ac:dyDescent="0.3">
      <c r="A17" t="str">
        <f>IF(OR(INDEX(Matches!$I$2:$I$25,I17-1)="",INDEX(Matches!$J$2:$J$25,I17-1)=""),"",IF(J17&lt;=INDEX(Matches!$I$2:$I$25,I17-1)+INDEX(Matches!$J$2:$J$25,I17-1),INDEX(Matches!$A$2:$A$25,I17-1),""))</f>
        <v/>
      </c>
      <c r="B17" t="str">
        <f>IF(A17="","",IF(J17&lt;=INDEX(Matches!$I$2:$I$25,I17-1),INDEX(Matches!$G$2:$G$25,I17-1),INDEX(Matches!$H$2:$H$25,I17-1)))</f>
        <v/>
      </c>
      <c r="C17" t="str">
        <f>IF(A17="","",COUNTIFS($A$2:A17,A17,$B$2:B17,B17))</f>
        <v/>
      </c>
      <c r="D17" s="2" t="str">
        <f t="shared" si="0"/>
        <v/>
      </c>
      <c r="E17" s="2"/>
      <c r="F17" t="str">
        <f t="shared" si="1"/>
        <v/>
      </c>
      <c r="G17" t="str">
        <f t="shared" si="2"/>
        <v/>
      </c>
      <c r="H17" t="str">
        <f>IF(F17="","",VLOOKUP(F17,Validation!$A$2:$B$17,2,FALSE))</f>
        <v/>
      </c>
      <c r="I17">
        <f>INT((ROW()-2)/Settings!$B$6)+2</f>
        <v>3</v>
      </c>
      <c r="J17">
        <f>MOD(ROW()-2,Settings!$B$6)+1</f>
        <v>4</v>
      </c>
    </row>
    <row r="18" spans="1:10" x14ac:dyDescent="0.3">
      <c r="A18" t="str">
        <f>IF(OR(INDEX(Matches!$I$2:$I$25,I18-1)="",INDEX(Matches!$J$2:$J$25,I18-1)=""),"",IF(J18&lt;=INDEX(Matches!$I$2:$I$25,I18-1)+INDEX(Matches!$J$2:$J$25,I18-1),INDEX(Matches!$A$2:$A$25,I18-1),""))</f>
        <v/>
      </c>
      <c r="B18" t="str">
        <f>IF(A18="","",IF(J18&lt;=INDEX(Matches!$I$2:$I$25,I18-1),INDEX(Matches!$G$2:$G$25,I18-1),INDEX(Matches!$H$2:$H$25,I18-1)))</f>
        <v/>
      </c>
      <c r="C18" t="str">
        <f>IF(A18="","",COUNTIFS($A$2:A18,A18,$B$2:B18,B18))</f>
        <v/>
      </c>
      <c r="D18" s="2" t="str">
        <f t="shared" si="0"/>
        <v/>
      </c>
      <c r="E18" s="2"/>
      <c r="F18" t="str">
        <f t="shared" si="1"/>
        <v/>
      </c>
      <c r="G18" t="str">
        <f t="shared" si="2"/>
        <v/>
      </c>
      <c r="H18" t="str">
        <f>IF(F18="","",VLOOKUP(F18,Validation!$A$2:$B$17,2,FALSE))</f>
        <v/>
      </c>
      <c r="I18">
        <f>INT((ROW()-2)/Settings!$B$6)+2</f>
        <v>3</v>
      </c>
      <c r="J18">
        <f>MOD(ROW()-2,Settings!$B$6)+1</f>
        <v>5</v>
      </c>
    </row>
    <row r="19" spans="1:10" x14ac:dyDescent="0.3">
      <c r="A19" t="str">
        <f>IF(OR(INDEX(Matches!$I$2:$I$25,I19-1)="",INDEX(Matches!$J$2:$J$25,I19-1)=""),"",IF(J19&lt;=INDEX(Matches!$I$2:$I$25,I19-1)+INDEX(Matches!$J$2:$J$25,I19-1),INDEX(Matches!$A$2:$A$25,I19-1),""))</f>
        <v/>
      </c>
      <c r="B19" t="str">
        <f>IF(A19="","",IF(J19&lt;=INDEX(Matches!$I$2:$I$25,I19-1),INDEX(Matches!$G$2:$G$25,I19-1),INDEX(Matches!$H$2:$H$25,I19-1)))</f>
        <v/>
      </c>
      <c r="C19" t="str">
        <f>IF(A19="","",COUNTIFS($A$2:A19,A19,$B$2:B19,B19))</f>
        <v/>
      </c>
      <c r="D19" s="2" t="str">
        <f t="shared" si="0"/>
        <v/>
      </c>
      <c r="E19" s="2"/>
      <c r="F19" t="str">
        <f t="shared" si="1"/>
        <v/>
      </c>
      <c r="G19" t="str">
        <f t="shared" si="2"/>
        <v/>
      </c>
      <c r="H19" t="str">
        <f>IF(F19="","",VLOOKUP(F19,Validation!$A$2:$B$17,2,FALSE))</f>
        <v/>
      </c>
      <c r="I19">
        <f>INT((ROW()-2)/Settings!$B$6)+2</f>
        <v>3</v>
      </c>
      <c r="J19">
        <f>MOD(ROW()-2,Settings!$B$6)+1</f>
        <v>6</v>
      </c>
    </row>
    <row r="20" spans="1:10" x14ac:dyDescent="0.3">
      <c r="A20" t="str">
        <f>IF(OR(INDEX(Matches!$I$2:$I$25,I20-1)="",INDEX(Matches!$J$2:$J$25,I20-1)=""),"",IF(J20&lt;=INDEX(Matches!$I$2:$I$25,I20-1)+INDEX(Matches!$J$2:$J$25,I20-1),INDEX(Matches!$A$2:$A$25,I20-1),""))</f>
        <v/>
      </c>
      <c r="B20" t="str">
        <f>IF(A20="","",IF(J20&lt;=INDEX(Matches!$I$2:$I$25,I20-1),INDEX(Matches!$G$2:$G$25,I20-1),INDEX(Matches!$H$2:$H$25,I20-1)))</f>
        <v/>
      </c>
      <c r="C20" t="str">
        <f>IF(A20="","",COUNTIFS($A$2:A20,A20,$B$2:B20,B20))</f>
        <v/>
      </c>
      <c r="D20" s="2" t="str">
        <f t="shared" si="0"/>
        <v/>
      </c>
      <c r="E20" s="2"/>
      <c r="F20" t="str">
        <f t="shared" si="1"/>
        <v/>
      </c>
      <c r="G20" t="str">
        <f t="shared" si="2"/>
        <v/>
      </c>
      <c r="H20" t="str">
        <f>IF(F20="","",VLOOKUP(F20,Validation!$A$2:$B$17,2,FALSE))</f>
        <v/>
      </c>
      <c r="I20">
        <f>INT((ROW()-2)/Settings!$B$6)+2</f>
        <v>3</v>
      </c>
      <c r="J20">
        <f>MOD(ROW()-2,Settings!$B$6)+1</f>
        <v>7</v>
      </c>
    </row>
    <row r="21" spans="1:10" x14ac:dyDescent="0.3">
      <c r="A21" t="str">
        <f>IF(OR(INDEX(Matches!$I$2:$I$25,I21-1)="",INDEX(Matches!$J$2:$J$25,I21-1)=""),"",IF(J21&lt;=INDEX(Matches!$I$2:$I$25,I21-1)+INDEX(Matches!$J$2:$J$25,I21-1),INDEX(Matches!$A$2:$A$25,I21-1),""))</f>
        <v/>
      </c>
      <c r="B21" t="str">
        <f>IF(A21="","",IF(J21&lt;=INDEX(Matches!$I$2:$I$25,I21-1),INDEX(Matches!$G$2:$G$25,I21-1),INDEX(Matches!$H$2:$H$25,I21-1)))</f>
        <v/>
      </c>
      <c r="C21" t="str">
        <f>IF(A21="","",COUNTIFS($A$2:A21,A21,$B$2:B21,B21))</f>
        <v/>
      </c>
      <c r="D21" s="2" t="str">
        <f t="shared" si="0"/>
        <v/>
      </c>
      <c r="E21" s="2"/>
      <c r="F21" t="str">
        <f t="shared" si="1"/>
        <v/>
      </c>
      <c r="G21" t="str">
        <f t="shared" si="2"/>
        <v/>
      </c>
      <c r="H21" t="str">
        <f>IF(F21="","",VLOOKUP(F21,Validation!$A$2:$B$17,2,FALSE))</f>
        <v/>
      </c>
      <c r="I21">
        <f>INT((ROW()-2)/Settings!$B$6)+2</f>
        <v>3</v>
      </c>
      <c r="J21">
        <f>MOD(ROW()-2,Settings!$B$6)+1</f>
        <v>8</v>
      </c>
    </row>
    <row r="22" spans="1:10" x14ac:dyDescent="0.3">
      <c r="A22" t="str">
        <f>IF(OR(INDEX(Matches!$I$2:$I$25,I22-1)="",INDEX(Matches!$J$2:$J$25,I22-1)=""),"",IF(J22&lt;=INDEX(Matches!$I$2:$I$25,I22-1)+INDEX(Matches!$J$2:$J$25,I22-1),INDEX(Matches!$A$2:$A$25,I22-1),""))</f>
        <v/>
      </c>
      <c r="B22" t="str">
        <f>IF(A22="","",IF(J22&lt;=INDEX(Matches!$I$2:$I$25,I22-1),INDEX(Matches!$G$2:$G$25,I22-1),INDEX(Matches!$H$2:$H$25,I22-1)))</f>
        <v/>
      </c>
      <c r="C22" t="str">
        <f>IF(A22="","",COUNTIFS($A$2:A22,A22,$B$2:B22,B22))</f>
        <v/>
      </c>
      <c r="D22" s="2" t="str">
        <f t="shared" si="0"/>
        <v/>
      </c>
      <c r="E22" s="2"/>
      <c r="F22" t="str">
        <f t="shared" si="1"/>
        <v/>
      </c>
      <c r="G22" t="str">
        <f t="shared" si="2"/>
        <v/>
      </c>
      <c r="H22" t="str">
        <f>IF(F22="","",VLOOKUP(F22,Validation!$A$2:$B$17,2,FALSE))</f>
        <v/>
      </c>
      <c r="I22">
        <f>INT((ROW()-2)/Settings!$B$6)+2</f>
        <v>3</v>
      </c>
      <c r="J22">
        <f>MOD(ROW()-2,Settings!$B$6)+1</f>
        <v>9</v>
      </c>
    </row>
    <row r="23" spans="1:10" x14ac:dyDescent="0.3">
      <c r="A23" t="str">
        <f>IF(OR(INDEX(Matches!$I$2:$I$25,I23-1)="",INDEX(Matches!$J$2:$J$25,I23-1)=""),"",IF(J23&lt;=INDEX(Matches!$I$2:$I$25,I23-1)+INDEX(Matches!$J$2:$J$25,I23-1),INDEX(Matches!$A$2:$A$25,I23-1),""))</f>
        <v/>
      </c>
      <c r="B23" t="str">
        <f>IF(A23="","",IF(J23&lt;=INDEX(Matches!$I$2:$I$25,I23-1),INDEX(Matches!$G$2:$G$25,I23-1),INDEX(Matches!$H$2:$H$25,I23-1)))</f>
        <v/>
      </c>
      <c r="C23" t="str">
        <f>IF(A23="","",COUNTIFS($A$2:A23,A23,$B$2:B23,B23))</f>
        <v/>
      </c>
      <c r="D23" s="2" t="str">
        <f t="shared" si="0"/>
        <v/>
      </c>
      <c r="E23" s="2"/>
      <c r="F23" t="str">
        <f t="shared" si="1"/>
        <v/>
      </c>
      <c r="G23" t="str">
        <f t="shared" si="2"/>
        <v/>
      </c>
      <c r="H23" t="str">
        <f>IF(F23="","",VLOOKUP(F23,Validation!$A$2:$B$17,2,FALSE))</f>
        <v/>
      </c>
      <c r="I23">
        <f>INT((ROW()-2)/Settings!$B$6)+2</f>
        <v>3</v>
      </c>
      <c r="J23">
        <f>MOD(ROW()-2,Settings!$B$6)+1</f>
        <v>10</v>
      </c>
    </row>
    <row r="24" spans="1:10" x14ac:dyDescent="0.3">
      <c r="A24" t="str">
        <f>IF(OR(INDEX(Matches!$I$2:$I$25,I24-1)="",INDEX(Matches!$J$2:$J$25,I24-1)=""),"",IF(J24&lt;=INDEX(Matches!$I$2:$I$25,I24-1)+INDEX(Matches!$J$2:$J$25,I24-1),INDEX(Matches!$A$2:$A$25,I24-1),""))</f>
        <v/>
      </c>
      <c r="B24" t="str">
        <f>IF(A24="","",IF(J24&lt;=INDEX(Matches!$I$2:$I$25,I24-1),INDEX(Matches!$G$2:$G$25,I24-1),INDEX(Matches!$H$2:$H$25,I24-1)))</f>
        <v/>
      </c>
      <c r="C24" t="str">
        <f>IF(A24="","",COUNTIFS($A$2:A24,A24,$B$2:B24,B24))</f>
        <v/>
      </c>
      <c r="D24" s="2" t="str">
        <f t="shared" si="0"/>
        <v/>
      </c>
      <c r="E24" s="2"/>
      <c r="F24" t="str">
        <f t="shared" si="1"/>
        <v/>
      </c>
      <c r="G24" t="str">
        <f t="shared" si="2"/>
        <v/>
      </c>
      <c r="H24" t="str">
        <f>IF(F24="","",VLOOKUP(F24,Validation!$A$2:$B$17,2,FALSE))</f>
        <v/>
      </c>
      <c r="I24">
        <f>INT((ROW()-2)/Settings!$B$6)+2</f>
        <v>3</v>
      </c>
      <c r="J24">
        <f>MOD(ROW()-2,Settings!$B$6)+1</f>
        <v>11</v>
      </c>
    </row>
    <row r="25" spans="1:10" x14ac:dyDescent="0.3">
      <c r="A25" t="str">
        <f>IF(OR(INDEX(Matches!$I$2:$I$25,I25-1)="",INDEX(Matches!$J$2:$J$25,I25-1)=""),"",IF(J25&lt;=INDEX(Matches!$I$2:$I$25,I25-1)+INDEX(Matches!$J$2:$J$25,I25-1),INDEX(Matches!$A$2:$A$25,I25-1),""))</f>
        <v/>
      </c>
      <c r="B25" t="str">
        <f>IF(A25="","",IF(J25&lt;=INDEX(Matches!$I$2:$I$25,I25-1),INDEX(Matches!$G$2:$G$25,I25-1),INDEX(Matches!$H$2:$H$25,I25-1)))</f>
        <v/>
      </c>
      <c r="C25" t="str">
        <f>IF(A25="","",COUNTIFS($A$2:A25,A25,$B$2:B25,B25))</f>
        <v/>
      </c>
      <c r="D25" s="2" t="str">
        <f t="shared" si="0"/>
        <v/>
      </c>
      <c r="E25" s="2"/>
      <c r="F25" t="str">
        <f t="shared" si="1"/>
        <v/>
      </c>
      <c r="G25" t="str">
        <f t="shared" si="2"/>
        <v/>
      </c>
      <c r="H25" t="str">
        <f>IF(F25="","",VLOOKUP(F25,Validation!$A$2:$B$17,2,FALSE))</f>
        <v/>
      </c>
      <c r="I25">
        <f>INT((ROW()-2)/Settings!$B$6)+2</f>
        <v>3</v>
      </c>
      <c r="J25">
        <f>MOD(ROW()-2,Settings!$B$6)+1</f>
        <v>12</v>
      </c>
    </row>
    <row r="26" spans="1:10" x14ac:dyDescent="0.3">
      <c r="A26" t="str">
        <f>IF(OR(INDEX(Matches!$I$2:$I$25,I26-1)="",INDEX(Matches!$J$2:$J$25,I26-1)=""),"",IF(J26&lt;=INDEX(Matches!$I$2:$I$25,I26-1)+INDEX(Matches!$J$2:$J$25,I26-1),INDEX(Matches!$A$2:$A$25,I26-1),""))</f>
        <v>M03</v>
      </c>
      <c r="B26" t="str">
        <f>IF(A26="","",IF(J26&lt;=INDEX(Matches!$I$2:$I$25,I26-1),INDEX(Matches!$G$2:$G$25,I26-1),INDEX(Matches!$H$2:$H$25,I26-1)))</f>
        <v>Vecchie Glorie Rovigo</v>
      </c>
      <c r="C26">
        <f>IF(A26="","",COUNTIFS($A$2:A26,A26,$B$2:B26,B26))</f>
        <v>1</v>
      </c>
      <c r="D26" s="2" t="str">
        <f t="shared" si="0"/>
        <v>Goal</v>
      </c>
      <c r="E26" s="2" t="s">
        <v>405</v>
      </c>
      <c r="F26" t="str">
        <f t="shared" si="1"/>
        <v>Vecchie Glorie Rovigo</v>
      </c>
      <c r="G26" t="str">
        <f t="shared" si="2"/>
        <v>OK</v>
      </c>
      <c r="H26" t="str">
        <f>IF(F26="","",VLOOKUP(F26,Validation!$A$2:$B$17,2,FALSE))</f>
        <v>Validation!$H$2:$H$31</v>
      </c>
      <c r="I26">
        <f>INT((ROW()-2)/Settings!$B$6)+2</f>
        <v>4</v>
      </c>
      <c r="J26">
        <f>MOD(ROW()-2,Settings!$B$6)+1</f>
        <v>1</v>
      </c>
    </row>
    <row r="27" spans="1:10" x14ac:dyDescent="0.3">
      <c r="A27" t="str">
        <f>IF(OR(INDEX(Matches!$I$2:$I$25,I27-1)="",INDEX(Matches!$J$2:$J$25,I27-1)=""),"",IF(J27&lt;=INDEX(Matches!$I$2:$I$25,I27-1)+INDEX(Matches!$J$2:$J$25,I27-1),INDEX(Matches!$A$2:$A$25,I27-1),""))</f>
        <v>M03</v>
      </c>
      <c r="B27" t="str">
        <f>IF(A27="","",IF(J27&lt;=INDEX(Matches!$I$2:$I$25,I27-1),INDEX(Matches!$G$2:$G$25,I27-1),INDEX(Matches!$H$2:$H$25,I27-1)))</f>
        <v>Vecchie Glorie Rovigo</v>
      </c>
      <c r="C27">
        <f>IF(A27="","",COUNTIFS($A$2:A27,A27,$B$2:B27,B27))</f>
        <v>2</v>
      </c>
      <c r="D27" s="2" t="str">
        <f t="shared" si="0"/>
        <v>Goal</v>
      </c>
      <c r="E27" s="2" t="s">
        <v>405</v>
      </c>
      <c r="F27" t="str">
        <f t="shared" si="1"/>
        <v>Vecchie Glorie Rovigo</v>
      </c>
      <c r="G27" t="str">
        <f t="shared" si="2"/>
        <v>OK</v>
      </c>
      <c r="H27" t="str">
        <f>IF(F27="","",VLOOKUP(F27,Validation!$A$2:$B$17,2,FALSE))</f>
        <v>Validation!$H$2:$H$31</v>
      </c>
      <c r="I27">
        <f>INT((ROW()-2)/Settings!$B$6)+2</f>
        <v>4</v>
      </c>
      <c r="J27">
        <f>MOD(ROW()-2,Settings!$B$6)+1</f>
        <v>2</v>
      </c>
    </row>
    <row r="28" spans="1:10" x14ac:dyDescent="0.3">
      <c r="A28" t="str">
        <f>IF(OR(INDEX(Matches!$I$2:$I$25,I28-1)="",INDEX(Matches!$J$2:$J$25,I28-1)=""),"",IF(J28&lt;=INDEX(Matches!$I$2:$I$25,I28-1)+INDEX(Matches!$J$2:$J$25,I28-1),INDEX(Matches!$A$2:$A$25,I28-1),""))</f>
        <v>M03</v>
      </c>
      <c r="B28" t="str">
        <f>IF(A28="","",IF(J28&lt;=INDEX(Matches!$I$2:$I$25,I28-1),INDEX(Matches!$G$2:$G$25,I28-1),INDEX(Matches!$H$2:$H$25,I28-1)))</f>
        <v>Vecchie Glorie Rovigo</v>
      </c>
      <c r="C28">
        <f>IF(A28="","",COUNTIFS($A$2:A28,A28,$B$2:B28,B28))</f>
        <v>3</v>
      </c>
      <c r="D28" s="2" t="str">
        <f t="shared" si="0"/>
        <v>Goal</v>
      </c>
      <c r="E28" s="2" t="s">
        <v>405</v>
      </c>
      <c r="F28" t="str">
        <f t="shared" si="1"/>
        <v>Vecchie Glorie Rovigo</v>
      </c>
      <c r="G28" t="str">
        <f t="shared" si="2"/>
        <v>OK</v>
      </c>
      <c r="H28" t="str">
        <f>IF(F28="","",VLOOKUP(F28,Validation!$A$2:$B$17,2,FALSE))</f>
        <v>Validation!$H$2:$H$31</v>
      </c>
      <c r="I28">
        <f>INT((ROW()-2)/Settings!$B$6)+2</f>
        <v>4</v>
      </c>
      <c r="J28">
        <f>MOD(ROW()-2,Settings!$B$6)+1</f>
        <v>3</v>
      </c>
    </row>
    <row r="29" spans="1:10" x14ac:dyDescent="0.3">
      <c r="A29" t="str">
        <f>IF(OR(INDEX(Matches!$I$2:$I$25,I29-1)="",INDEX(Matches!$J$2:$J$25,I29-1)=""),"",IF(J29&lt;=INDEX(Matches!$I$2:$I$25,I29-1)+INDEX(Matches!$J$2:$J$25,I29-1),INDEX(Matches!$A$2:$A$25,I29-1),""))</f>
        <v>M03</v>
      </c>
      <c r="B29" t="str">
        <f>IF(A29="","",IF(J29&lt;=INDEX(Matches!$I$2:$I$25,I29-1),INDEX(Matches!$G$2:$G$25,I29-1),INDEX(Matches!$H$2:$H$25,I29-1)))</f>
        <v>Vecchie Glorie Rovigo</v>
      </c>
      <c r="C29">
        <f>IF(A29="","",COUNTIFS($A$2:A29,A29,$B$2:B29,B29))</f>
        <v>4</v>
      </c>
      <c r="D29" s="2" t="str">
        <f t="shared" si="0"/>
        <v>Goal</v>
      </c>
      <c r="E29" s="2" t="s">
        <v>410</v>
      </c>
      <c r="F29" t="str">
        <f t="shared" si="1"/>
        <v>Vecchie Glorie Rovigo</v>
      </c>
      <c r="G29" t="str">
        <f t="shared" si="2"/>
        <v>OK</v>
      </c>
      <c r="H29" t="str">
        <f>IF(F29="","",VLOOKUP(F29,Validation!$A$2:$B$17,2,FALSE))</f>
        <v>Validation!$H$2:$H$31</v>
      </c>
      <c r="I29">
        <f>INT((ROW()-2)/Settings!$B$6)+2</f>
        <v>4</v>
      </c>
      <c r="J29">
        <f>MOD(ROW()-2,Settings!$B$6)+1</f>
        <v>4</v>
      </c>
    </row>
    <row r="30" spans="1:10" x14ac:dyDescent="0.3">
      <c r="A30" t="str">
        <f>IF(OR(INDEX(Matches!$I$2:$I$25,I30-1)="",INDEX(Matches!$J$2:$J$25,I30-1)=""),"",IF(J30&lt;=INDEX(Matches!$I$2:$I$25,I30-1)+INDEX(Matches!$J$2:$J$25,I30-1),INDEX(Matches!$A$2:$A$25,I30-1),""))</f>
        <v>M03</v>
      </c>
      <c r="B30" t="str">
        <f>IF(A30="","",IF(J30&lt;=INDEX(Matches!$I$2:$I$25,I30-1),INDEX(Matches!$G$2:$G$25,I30-1),INDEX(Matches!$H$2:$H$25,I30-1)))</f>
        <v>Vecchie Glorie Rovigo</v>
      </c>
      <c r="C30">
        <f>IF(A30="","",COUNTIFS($A$2:A30,A30,$B$2:B30,B30))</f>
        <v>5</v>
      </c>
      <c r="D30" s="2" t="str">
        <f t="shared" si="0"/>
        <v>Goal</v>
      </c>
      <c r="E30" s="2" t="s">
        <v>410</v>
      </c>
      <c r="F30" t="str">
        <f t="shared" si="1"/>
        <v>Vecchie Glorie Rovigo</v>
      </c>
      <c r="G30" t="str">
        <f t="shared" si="2"/>
        <v>OK</v>
      </c>
      <c r="H30" t="str">
        <f>IF(F30="","",VLOOKUP(F30,Validation!$A$2:$B$17,2,FALSE))</f>
        <v>Validation!$H$2:$H$31</v>
      </c>
      <c r="I30">
        <f>INT((ROW()-2)/Settings!$B$6)+2</f>
        <v>4</v>
      </c>
      <c r="J30">
        <f>MOD(ROW()-2,Settings!$B$6)+1</f>
        <v>5</v>
      </c>
    </row>
    <row r="31" spans="1:10" x14ac:dyDescent="0.3">
      <c r="A31" t="str">
        <f>IF(OR(INDEX(Matches!$I$2:$I$25,I31-1)="",INDEX(Matches!$J$2:$J$25,I31-1)=""),"",IF(J31&lt;=INDEX(Matches!$I$2:$I$25,I31-1)+INDEX(Matches!$J$2:$J$25,I31-1),INDEX(Matches!$A$2:$A$25,I31-1),""))</f>
        <v>M03</v>
      </c>
      <c r="B31" t="str">
        <f>IF(A31="","",IF(J31&lt;=INDEX(Matches!$I$2:$I$25,I31-1),INDEX(Matches!$G$2:$G$25,I31-1),INDEX(Matches!$H$2:$H$25,I31-1)))</f>
        <v>Vecchie Glorie Rovigo</v>
      </c>
      <c r="C31">
        <f>IF(A31="","",COUNTIFS($A$2:A31,A31,$B$2:B31,B31))</f>
        <v>6</v>
      </c>
      <c r="D31" s="2" t="str">
        <f t="shared" si="0"/>
        <v>Goal</v>
      </c>
      <c r="E31" s="2" t="s">
        <v>411</v>
      </c>
      <c r="F31" t="str">
        <f t="shared" si="1"/>
        <v>Vecchie Glorie Rovigo</v>
      </c>
      <c r="G31" t="str">
        <f t="shared" si="2"/>
        <v>OK</v>
      </c>
      <c r="H31" t="str">
        <f>IF(F31="","",VLOOKUP(F31,Validation!$A$2:$B$17,2,FALSE))</f>
        <v>Validation!$H$2:$H$31</v>
      </c>
      <c r="I31">
        <f>INT((ROW()-2)/Settings!$B$6)+2</f>
        <v>4</v>
      </c>
      <c r="J31">
        <f>MOD(ROW()-2,Settings!$B$6)+1</f>
        <v>6</v>
      </c>
    </row>
    <row r="32" spans="1:10" x14ac:dyDescent="0.3">
      <c r="A32" t="str">
        <f>IF(OR(INDEX(Matches!$I$2:$I$25,I32-1)="",INDEX(Matches!$J$2:$J$25,I32-1)=""),"",IF(J32&lt;=INDEX(Matches!$I$2:$I$25,I32-1)+INDEX(Matches!$J$2:$J$25,I32-1),INDEX(Matches!$A$2:$A$25,I32-1),""))</f>
        <v>M03</v>
      </c>
      <c r="B32" t="str">
        <f>IF(A32="","",IF(J32&lt;=INDEX(Matches!$I$2:$I$25,I32-1),INDEX(Matches!$G$2:$G$25,I32-1),INDEX(Matches!$H$2:$H$25,I32-1)))</f>
        <v>Vecchie Glorie Rovigo</v>
      </c>
      <c r="C32">
        <f>IF(A32="","",COUNTIFS($A$2:A32,A32,$B$2:B32,B32))</f>
        <v>7</v>
      </c>
      <c r="D32" s="2" t="str">
        <f t="shared" si="0"/>
        <v>Goal</v>
      </c>
      <c r="E32" s="2" t="s">
        <v>412</v>
      </c>
      <c r="F32" t="str">
        <f t="shared" si="1"/>
        <v>Vecchie Glorie Rovigo</v>
      </c>
      <c r="G32" t="str">
        <f t="shared" si="2"/>
        <v>OK</v>
      </c>
      <c r="H32" t="str">
        <f>IF(F32="","",VLOOKUP(F32,Validation!$A$2:$B$17,2,FALSE))</f>
        <v>Validation!$H$2:$H$31</v>
      </c>
      <c r="I32">
        <f>INT((ROW()-2)/Settings!$B$6)+2</f>
        <v>4</v>
      </c>
      <c r="J32">
        <f>MOD(ROW()-2,Settings!$B$6)+1</f>
        <v>7</v>
      </c>
    </row>
    <row r="33" spans="1:10" x14ac:dyDescent="0.3">
      <c r="A33" t="str">
        <f>IF(OR(INDEX(Matches!$I$2:$I$25,I33-1)="",INDEX(Matches!$J$2:$J$25,I33-1)=""),"",IF(J33&lt;=INDEX(Matches!$I$2:$I$25,I33-1)+INDEX(Matches!$J$2:$J$25,I33-1),INDEX(Matches!$A$2:$A$25,I33-1),""))</f>
        <v>M03</v>
      </c>
      <c r="B33" t="str">
        <f>IF(A33="","",IF(J33&lt;=INDEX(Matches!$I$2:$I$25,I33-1),INDEX(Matches!$G$2:$G$25,I33-1),INDEX(Matches!$H$2:$H$25,I33-1)))</f>
        <v>Vecchie Glorie Rovigo</v>
      </c>
      <c r="C33">
        <f>IF(A33="","",COUNTIFS($A$2:A33,A33,$B$2:B33,B33))</f>
        <v>8</v>
      </c>
      <c r="D33" s="2" t="str">
        <f t="shared" si="0"/>
        <v>Goal</v>
      </c>
      <c r="E33" s="2" t="s">
        <v>413</v>
      </c>
      <c r="F33" t="str">
        <f t="shared" si="1"/>
        <v>Vecchie Glorie Rovigo</v>
      </c>
      <c r="G33" t="str">
        <f t="shared" si="2"/>
        <v>OK</v>
      </c>
      <c r="H33" t="str">
        <f>IF(F33="","",VLOOKUP(F33,Validation!$A$2:$B$17,2,FALSE))</f>
        <v>Validation!$H$2:$H$31</v>
      </c>
      <c r="I33">
        <f>INT((ROW()-2)/Settings!$B$6)+2</f>
        <v>4</v>
      </c>
      <c r="J33">
        <f>MOD(ROW()-2,Settings!$B$6)+1</f>
        <v>8</v>
      </c>
    </row>
    <row r="34" spans="1:10" x14ac:dyDescent="0.3">
      <c r="A34" t="str">
        <f>IF(OR(INDEX(Matches!$I$2:$I$25,I34-1)="",INDEX(Matches!$J$2:$J$25,I34-1)=""),"",IF(J34&lt;=INDEX(Matches!$I$2:$I$25,I34-1)+INDEX(Matches!$J$2:$J$25,I34-1),INDEX(Matches!$A$2:$A$25,I34-1),""))</f>
        <v>M03</v>
      </c>
      <c r="B34" t="str">
        <f>IF(A34="","",IF(J34&lt;=INDEX(Matches!$I$2:$I$25,I34-1),INDEX(Matches!$G$2:$G$25,I34-1),INDEX(Matches!$H$2:$H$25,I34-1)))</f>
        <v>Vecchie Glorie Rovigo</v>
      </c>
      <c r="C34">
        <f>IF(A34="","",COUNTIFS($A$2:A34,A34,$B$2:B34,B34))</f>
        <v>9</v>
      </c>
      <c r="D34" s="2" t="str">
        <f t="shared" si="0"/>
        <v>Goal</v>
      </c>
      <c r="E34" s="2" t="s">
        <v>406</v>
      </c>
      <c r="F34" t="str">
        <f t="shared" si="1"/>
        <v>Vecchie Glorie Rovigo</v>
      </c>
      <c r="G34" t="str">
        <f t="shared" si="2"/>
        <v>OK</v>
      </c>
      <c r="H34" t="str">
        <f>IF(F34="","",VLOOKUP(F34,Validation!$A$2:$B$17,2,FALSE))</f>
        <v>Validation!$H$2:$H$31</v>
      </c>
      <c r="I34">
        <f>INT((ROW()-2)/Settings!$B$6)+2</f>
        <v>4</v>
      </c>
      <c r="J34">
        <f>MOD(ROW()-2,Settings!$B$6)+1</f>
        <v>9</v>
      </c>
    </row>
    <row r="35" spans="1:10" x14ac:dyDescent="0.3">
      <c r="A35" t="str">
        <f>IF(OR(INDEX(Matches!$I$2:$I$25,I35-1)="",INDEX(Matches!$J$2:$J$25,I35-1)=""),"",IF(J35&lt;=INDEX(Matches!$I$2:$I$25,I35-1)+INDEX(Matches!$J$2:$J$25,I35-1),INDEX(Matches!$A$2:$A$25,I35-1),""))</f>
        <v>M03</v>
      </c>
      <c r="B35" t="str">
        <f>IF(A35="","",IF(J35&lt;=INDEX(Matches!$I$2:$I$25,I35-1),INDEX(Matches!$G$2:$G$25,I35-1),INDEX(Matches!$H$2:$H$25,I35-1)))</f>
        <v>Vecchie Glorie Rovigo</v>
      </c>
      <c r="C35">
        <f>IF(A35="","",COUNTIFS($A$2:A35,A35,$B$2:B35,B35))</f>
        <v>10</v>
      </c>
      <c r="D35" s="2" t="str">
        <f t="shared" si="0"/>
        <v>Goal</v>
      </c>
      <c r="E35" s="2" t="s">
        <v>407</v>
      </c>
      <c r="F35" t="str">
        <f t="shared" si="1"/>
        <v>Vecchie Glorie Rovigo</v>
      </c>
      <c r="G35" t="str">
        <f t="shared" si="2"/>
        <v>OK</v>
      </c>
      <c r="H35" t="str">
        <f>IF(F35="","",VLOOKUP(F35,Validation!$A$2:$B$17,2,FALSE))</f>
        <v>Validation!$H$2:$H$31</v>
      </c>
      <c r="I35">
        <f>INT((ROW()-2)/Settings!$B$6)+2</f>
        <v>4</v>
      </c>
      <c r="J35">
        <f>MOD(ROW()-2,Settings!$B$6)+1</f>
        <v>10</v>
      </c>
    </row>
    <row r="36" spans="1:10" x14ac:dyDescent="0.3">
      <c r="A36" t="str">
        <f>IF(OR(INDEX(Matches!$I$2:$I$25,I36-1)="",INDEX(Matches!$J$2:$J$25,I36-1)=""),"",IF(J36&lt;=INDEX(Matches!$I$2:$I$25,I36-1)+INDEX(Matches!$J$2:$J$25,I36-1),INDEX(Matches!$A$2:$A$25,I36-1),""))</f>
        <v/>
      </c>
      <c r="B36" t="str">
        <f>IF(A36="","",IF(J36&lt;=INDEX(Matches!$I$2:$I$25,I36-1),INDEX(Matches!$G$2:$G$25,I36-1),INDEX(Matches!$H$2:$H$25,I36-1)))</f>
        <v/>
      </c>
      <c r="C36" t="str">
        <f>IF(A36="","",COUNTIFS($A$2:A36,A36,$B$2:B36,B36))</f>
        <v/>
      </c>
      <c r="D36" s="2" t="str">
        <f t="shared" si="0"/>
        <v/>
      </c>
      <c r="E36" s="2"/>
      <c r="F36" t="str">
        <f t="shared" si="1"/>
        <v/>
      </c>
      <c r="G36" t="str">
        <f t="shared" si="2"/>
        <v/>
      </c>
      <c r="H36" t="str">
        <f>IF(F36="","",VLOOKUP(F36,Validation!$A$2:$B$17,2,FALSE))</f>
        <v/>
      </c>
      <c r="I36">
        <f>INT((ROW()-2)/Settings!$B$6)+2</f>
        <v>4</v>
      </c>
      <c r="J36">
        <f>MOD(ROW()-2,Settings!$B$6)+1</f>
        <v>11</v>
      </c>
    </row>
    <row r="37" spans="1:10" x14ac:dyDescent="0.3">
      <c r="A37" t="str">
        <f>IF(OR(INDEX(Matches!$I$2:$I$25,I37-1)="",INDEX(Matches!$J$2:$J$25,I37-1)=""),"",IF(J37&lt;=INDEX(Matches!$I$2:$I$25,I37-1)+INDEX(Matches!$J$2:$J$25,I37-1),INDEX(Matches!$A$2:$A$25,I37-1),""))</f>
        <v/>
      </c>
      <c r="B37" t="str">
        <f>IF(A37="","",IF(J37&lt;=INDEX(Matches!$I$2:$I$25,I37-1),INDEX(Matches!$G$2:$G$25,I37-1),INDEX(Matches!$H$2:$H$25,I37-1)))</f>
        <v/>
      </c>
      <c r="C37" t="str">
        <f>IF(A37="","",COUNTIFS($A$2:A37,A37,$B$2:B37,B37))</f>
        <v/>
      </c>
      <c r="D37" s="2" t="str">
        <f t="shared" si="0"/>
        <v/>
      </c>
      <c r="E37" s="2"/>
      <c r="F37" t="str">
        <f t="shared" si="1"/>
        <v/>
      </c>
      <c r="G37" t="str">
        <f t="shared" si="2"/>
        <v/>
      </c>
      <c r="H37" t="str">
        <f>IF(F37="","",VLOOKUP(F37,Validation!$A$2:$B$17,2,FALSE))</f>
        <v/>
      </c>
      <c r="I37">
        <f>INT((ROW()-2)/Settings!$B$6)+2</f>
        <v>4</v>
      </c>
      <c r="J37">
        <f>MOD(ROW()-2,Settings!$B$6)+1</f>
        <v>12</v>
      </c>
    </row>
    <row r="38" spans="1:10" x14ac:dyDescent="0.3">
      <c r="A38" t="str">
        <f>IF(OR(INDEX(Matches!$I$2:$I$25,I38-1)="",INDEX(Matches!$J$2:$J$25,I38-1)=""),"",IF(J38&lt;=INDEX(Matches!$I$2:$I$25,I38-1)+INDEX(Matches!$J$2:$J$25,I38-1),INDEX(Matches!$A$2:$A$25,I38-1),""))</f>
        <v>M04</v>
      </c>
      <c r="B38" t="str">
        <f>IF(A38="","",IF(J38&lt;=INDEX(Matches!$I$2:$I$25,I38-1),INDEX(Matches!$G$2:$G$25,I38-1),INDEX(Matches!$H$2:$H$25,I38-1)))</f>
        <v>Leoni di Ricky</v>
      </c>
      <c r="C38">
        <f>IF(A38="","",COUNTIFS($A$2:A38,A38,$B$2:B38,B38))</f>
        <v>1</v>
      </c>
      <c r="D38" s="2" t="str">
        <f t="shared" si="0"/>
        <v>Goal</v>
      </c>
      <c r="E38" s="2" t="s">
        <v>414</v>
      </c>
      <c r="F38" t="str">
        <f t="shared" si="1"/>
        <v>Leoni di Ricky</v>
      </c>
      <c r="G38" t="str">
        <f t="shared" si="2"/>
        <v>OK</v>
      </c>
      <c r="H38" t="str">
        <f>IF(F38="","",VLOOKUP(F38,Validation!$A$2:$B$17,2,FALSE))</f>
        <v>Validation!$K$2:$K$31</v>
      </c>
      <c r="I38">
        <f>INT((ROW()-2)/Settings!$B$6)+2</f>
        <v>5</v>
      </c>
      <c r="J38">
        <f>MOD(ROW()-2,Settings!$B$6)+1</f>
        <v>1</v>
      </c>
    </row>
    <row r="39" spans="1:10" x14ac:dyDescent="0.3">
      <c r="A39" t="str">
        <f>IF(OR(INDEX(Matches!$I$2:$I$25,I39-1)="",INDEX(Matches!$J$2:$J$25,I39-1)=""),"",IF(J39&lt;=INDEX(Matches!$I$2:$I$25,I39-1)+INDEX(Matches!$J$2:$J$25,I39-1),INDEX(Matches!$A$2:$A$25,I39-1),""))</f>
        <v>M04</v>
      </c>
      <c r="B39" t="str">
        <f>IF(A39="","",IF(J39&lt;=INDEX(Matches!$I$2:$I$25,I39-1),INDEX(Matches!$G$2:$G$25,I39-1),INDEX(Matches!$H$2:$H$25,I39-1)))</f>
        <v>Leoni di Ricky</v>
      </c>
      <c r="C39">
        <f>IF(A39="","",COUNTIFS($A$2:A39,A39,$B$2:B39,B39))</f>
        <v>2</v>
      </c>
      <c r="D39" s="2" t="str">
        <f t="shared" si="0"/>
        <v>Goal</v>
      </c>
      <c r="E39" s="2" t="s">
        <v>414</v>
      </c>
      <c r="F39" t="str">
        <f t="shared" si="1"/>
        <v>Leoni di Ricky</v>
      </c>
      <c r="G39" t="str">
        <f t="shared" si="2"/>
        <v>OK</v>
      </c>
      <c r="H39" t="str">
        <f>IF(F39="","",VLOOKUP(F39,Validation!$A$2:$B$17,2,FALSE))</f>
        <v>Validation!$K$2:$K$31</v>
      </c>
      <c r="I39">
        <f>INT((ROW()-2)/Settings!$B$6)+2</f>
        <v>5</v>
      </c>
      <c r="J39">
        <f>MOD(ROW()-2,Settings!$B$6)+1</f>
        <v>2</v>
      </c>
    </row>
    <row r="40" spans="1:10" x14ac:dyDescent="0.3">
      <c r="A40" t="str">
        <f>IF(OR(INDEX(Matches!$I$2:$I$25,I40-1)="",INDEX(Matches!$J$2:$J$25,I40-1)=""),"",IF(J40&lt;=INDEX(Matches!$I$2:$I$25,I40-1)+INDEX(Matches!$J$2:$J$25,I40-1),INDEX(Matches!$A$2:$A$25,I40-1),""))</f>
        <v>M04</v>
      </c>
      <c r="B40" t="str">
        <f>IF(A40="","",IF(J40&lt;=INDEX(Matches!$I$2:$I$25,I40-1),INDEX(Matches!$G$2:$G$25,I40-1),INDEX(Matches!$H$2:$H$25,I40-1)))</f>
        <v>Leoni di Ricky</v>
      </c>
      <c r="C40">
        <f>IF(A40="","",COUNTIFS($A$2:A40,A40,$B$2:B40,B40))</f>
        <v>3</v>
      </c>
      <c r="D40" s="2" t="str">
        <f t="shared" si="0"/>
        <v>Goal</v>
      </c>
      <c r="E40" s="2" t="s">
        <v>414</v>
      </c>
      <c r="F40" t="str">
        <f t="shared" si="1"/>
        <v>Leoni di Ricky</v>
      </c>
      <c r="G40" t="str">
        <f t="shared" si="2"/>
        <v>OK</v>
      </c>
      <c r="H40" t="str">
        <f>IF(F40="","",VLOOKUP(F40,Validation!$A$2:$B$17,2,FALSE))</f>
        <v>Validation!$K$2:$K$31</v>
      </c>
      <c r="I40">
        <f>INT((ROW()-2)/Settings!$B$6)+2</f>
        <v>5</v>
      </c>
      <c r="J40">
        <f>MOD(ROW()-2,Settings!$B$6)+1</f>
        <v>3</v>
      </c>
    </row>
    <row r="41" spans="1:10" x14ac:dyDescent="0.3">
      <c r="A41" t="str">
        <f>IF(OR(INDEX(Matches!$I$2:$I$25,I41-1)="",INDEX(Matches!$J$2:$J$25,I41-1)=""),"",IF(J41&lt;=INDEX(Matches!$I$2:$I$25,I41-1)+INDEX(Matches!$J$2:$J$25,I41-1),INDEX(Matches!$A$2:$A$25,I41-1),""))</f>
        <v>M04</v>
      </c>
      <c r="B41" t="str">
        <f>IF(A41="","",IF(J41&lt;=INDEX(Matches!$I$2:$I$25,I41-1),INDEX(Matches!$G$2:$G$25,I41-1),INDEX(Matches!$H$2:$H$25,I41-1)))</f>
        <v>Leoni di Ricky</v>
      </c>
      <c r="C41">
        <f>IF(A41="","",COUNTIFS($A$2:A41,A41,$B$2:B41,B41))</f>
        <v>4</v>
      </c>
      <c r="D41" s="2" t="str">
        <f t="shared" si="0"/>
        <v>Goal</v>
      </c>
      <c r="E41" s="2" t="s">
        <v>415</v>
      </c>
      <c r="F41" t="str">
        <f t="shared" si="1"/>
        <v>Leoni di Ricky</v>
      </c>
      <c r="G41" t="str">
        <f t="shared" si="2"/>
        <v>OK</v>
      </c>
      <c r="H41" t="str">
        <f>IF(F41="","",VLOOKUP(F41,Validation!$A$2:$B$17,2,FALSE))</f>
        <v>Validation!$K$2:$K$31</v>
      </c>
      <c r="I41">
        <f>INT((ROW()-2)/Settings!$B$6)+2</f>
        <v>5</v>
      </c>
      <c r="J41">
        <f>MOD(ROW()-2,Settings!$B$6)+1</f>
        <v>4</v>
      </c>
    </row>
    <row r="42" spans="1:10" x14ac:dyDescent="0.3">
      <c r="A42" t="str">
        <f>IF(OR(INDEX(Matches!$I$2:$I$25,I42-1)="",INDEX(Matches!$J$2:$J$25,I42-1)=""),"",IF(J42&lt;=INDEX(Matches!$I$2:$I$25,I42-1)+INDEX(Matches!$J$2:$J$25,I42-1),INDEX(Matches!$A$2:$A$25,I42-1),""))</f>
        <v>M04</v>
      </c>
      <c r="B42" t="str">
        <f>IF(A42="","",IF(J42&lt;=INDEX(Matches!$I$2:$I$25,I42-1),INDEX(Matches!$G$2:$G$25,I42-1),INDEX(Matches!$H$2:$H$25,I42-1)))</f>
        <v>Leoni di Ricky</v>
      </c>
      <c r="C42">
        <f>IF(A42="","",COUNTIFS($A$2:A42,A42,$B$2:B42,B42))</f>
        <v>5</v>
      </c>
      <c r="D42" s="2" t="str">
        <f t="shared" si="0"/>
        <v>Goal</v>
      </c>
      <c r="E42" s="2" t="s">
        <v>416</v>
      </c>
      <c r="F42" t="str">
        <f t="shared" si="1"/>
        <v>Leoni di Ricky</v>
      </c>
      <c r="G42" t="str">
        <f t="shared" si="2"/>
        <v>OK</v>
      </c>
      <c r="H42" t="str">
        <f>IF(F42="","",VLOOKUP(F42,Validation!$A$2:$B$17,2,FALSE))</f>
        <v>Validation!$K$2:$K$31</v>
      </c>
      <c r="I42">
        <f>INT((ROW()-2)/Settings!$B$6)+2</f>
        <v>5</v>
      </c>
      <c r="J42">
        <f>MOD(ROW()-2,Settings!$B$6)+1</f>
        <v>5</v>
      </c>
    </row>
    <row r="43" spans="1:10" x14ac:dyDescent="0.3">
      <c r="A43" t="str">
        <f>IF(OR(INDEX(Matches!$I$2:$I$25,I43-1)="",INDEX(Matches!$J$2:$J$25,I43-1)=""),"",IF(J43&lt;=INDEX(Matches!$I$2:$I$25,I43-1)+INDEX(Matches!$J$2:$J$25,I43-1),INDEX(Matches!$A$2:$A$25,I43-1),""))</f>
        <v/>
      </c>
      <c r="B43" t="str">
        <f>IF(A43="","",IF(J43&lt;=INDEX(Matches!$I$2:$I$25,I43-1),INDEX(Matches!$G$2:$G$25,I43-1),INDEX(Matches!$H$2:$H$25,I43-1)))</f>
        <v/>
      </c>
      <c r="C43" t="str">
        <f>IF(A43="","",COUNTIFS($A$2:A43,A43,$B$2:B43,B43))</f>
        <v/>
      </c>
      <c r="D43" s="2" t="str">
        <f t="shared" si="0"/>
        <v/>
      </c>
      <c r="E43" s="2"/>
      <c r="F43" t="str">
        <f t="shared" si="1"/>
        <v/>
      </c>
      <c r="G43" t="str">
        <f t="shared" si="2"/>
        <v/>
      </c>
      <c r="H43" t="str">
        <f>IF(F43="","",VLOOKUP(F43,Validation!$A$2:$B$17,2,FALSE))</f>
        <v/>
      </c>
      <c r="I43">
        <f>INT((ROW()-2)/Settings!$B$6)+2</f>
        <v>5</v>
      </c>
      <c r="J43">
        <f>MOD(ROW()-2,Settings!$B$6)+1</f>
        <v>6</v>
      </c>
    </row>
    <row r="44" spans="1:10" x14ac:dyDescent="0.3">
      <c r="A44" t="str">
        <f>IF(OR(INDEX(Matches!$I$2:$I$25,I44-1)="",INDEX(Matches!$J$2:$J$25,I44-1)=""),"",IF(J44&lt;=INDEX(Matches!$I$2:$I$25,I44-1)+INDEX(Matches!$J$2:$J$25,I44-1),INDEX(Matches!$A$2:$A$25,I44-1),""))</f>
        <v/>
      </c>
      <c r="B44" t="str">
        <f>IF(A44="","",IF(J44&lt;=INDEX(Matches!$I$2:$I$25,I44-1),INDEX(Matches!$G$2:$G$25,I44-1),INDEX(Matches!$H$2:$H$25,I44-1)))</f>
        <v/>
      </c>
      <c r="C44" t="str">
        <f>IF(A44="","",COUNTIFS($A$2:A44,A44,$B$2:B44,B44))</f>
        <v/>
      </c>
      <c r="D44" s="2" t="str">
        <f t="shared" si="0"/>
        <v/>
      </c>
      <c r="E44" s="2"/>
      <c r="F44" t="str">
        <f t="shared" si="1"/>
        <v/>
      </c>
      <c r="G44" t="str">
        <f t="shared" si="2"/>
        <v/>
      </c>
      <c r="H44" t="str">
        <f>IF(F44="","",VLOOKUP(F44,Validation!$A$2:$B$17,2,FALSE))</f>
        <v/>
      </c>
      <c r="I44">
        <f>INT((ROW()-2)/Settings!$B$6)+2</f>
        <v>5</v>
      </c>
      <c r="J44">
        <f>MOD(ROW()-2,Settings!$B$6)+1</f>
        <v>7</v>
      </c>
    </row>
    <row r="45" spans="1:10" x14ac:dyDescent="0.3">
      <c r="A45" t="str">
        <f>IF(OR(INDEX(Matches!$I$2:$I$25,I45-1)="",INDEX(Matches!$J$2:$J$25,I45-1)=""),"",IF(J45&lt;=INDEX(Matches!$I$2:$I$25,I45-1)+INDEX(Matches!$J$2:$J$25,I45-1),INDEX(Matches!$A$2:$A$25,I45-1),""))</f>
        <v/>
      </c>
      <c r="B45" t="str">
        <f>IF(A45="","",IF(J45&lt;=INDEX(Matches!$I$2:$I$25,I45-1),INDEX(Matches!$G$2:$G$25,I45-1),INDEX(Matches!$H$2:$H$25,I45-1)))</f>
        <v/>
      </c>
      <c r="C45" t="str">
        <f>IF(A45="","",COUNTIFS($A$2:A45,A45,$B$2:B45,B45))</f>
        <v/>
      </c>
      <c r="D45" s="2" t="str">
        <f t="shared" si="0"/>
        <v/>
      </c>
      <c r="E45" s="2"/>
      <c r="F45" t="str">
        <f t="shared" si="1"/>
        <v/>
      </c>
      <c r="G45" t="str">
        <f t="shared" si="2"/>
        <v/>
      </c>
      <c r="H45" t="str">
        <f>IF(F45="","",VLOOKUP(F45,Validation!$A$2:$B$17,2,FALSE))</f>
        <v/>
      </c>
      <c r="I45">
        <f>INT((ROW()-2)/Settings!$B$6)+2</f>
        <v>5</v>
      </c>
      <c r="J45">
        <f>MOD(ROW()-2,Settings!$B$6)+1</f>
        <v>8</v>
      </c>
    </row>
    <row r="46" spans="1:10" x14ac:dyDescent="0.3">
      <c r="A46" t="str">
        <f>IF(OR(INDEX(Matches!$I$2:$I$25,I46-1)="",INDEX(Matches!$J$2:$J$25,I46-1)=""),"",IF(J46&lt;=INDEX(Matches!$I$2:$I$25,I46-1)+INDEX(Matches!$J$2:$J$25,I46-1),INDEX(Matches!$A$2:$A$25,I46-1),""))</f>
        <v/>
      </c>
      <c r="B46" t="str">
        <f>IF(A46="","",IF(J46&lt;=INDEX(Matches!$I$2:$I$25,I46-1),INDEX(Matches!$G$2:$G$25,I46-1),INDEX(Matches!$H$2:$H$25,I46-1)))</f>
        <v/>
      </c>
      <c r="C46" t="str">
        <f>IF(A46="","",COUNTIFS($A$2:A46,A46,$B$2:B46,B46))</f>
        <v/>
      </c>
      <c r="D46" s="2" t="str">
        <f t="shared" si="0"/>
        <v/>
      </c>
      <c r="E46" s="2"/>
      <c r="F46" t="str">
        <f t="shared" si="1"/>
        <v/>
      </c>
      <c r="G46" t="str">
        <f t="shared" si="2"/>
        <v/>
      </c>
      <c r="H46" t="str">
        <f>IF(F46="","",VLOOKUP(F46,Validation!$A$2:$B$17,2,FALSE))</f>
        <v/>
      </c>
      <c r="I46">
        <f>INT((ROW()-2)/Settings!$B$6)+2</f>
        <v>5</v>
      </c>
      <c r="J46">
        <f>MOD(ROW()-2,Settings!$B$6)+1</f>
        <v>9</v>
      </c>
    </row>
    <row r="47" spans="1:10" x14ac:dyDescent="0.3">
      <c r="A47" t="str">
        <f>IF(OR(INDEX(Matches!$I$2:$I$25,I47-1)="",INDEX(Matches!$J$2:$J$25,I47-1)=""),"",IF(J47&lt;=INDEX(Matches!$I$2:$I$25,I47-1)+INDEX(Matches!$J$2:$J$25,I47-1),INDEX(Matches!$A$2:$A$25,I47-1),""))</f>
        <v/>
      </c>
      <c r="B47" t="str">
        <f>IF(A47="","",IF(J47&lt;=INDEX(Matches!$I$2:$I$25,I47-1),INDEX(Matches!$G$2:$G$25,I47-1),INDEX(Matches!$H$2:$H$25,I47-1)))</f>
        <v/>
      </c>
      <c r="C47" t="str">
        <f>IF(A47="","",COUNTIFS($A$2:A47,A47,$B$2:B47,B47))</f>
        <v/>
      </c>
      <c r="D47" s="2" t="str">
        <f t="shared" si="0"/>
        <v/>
      </c>
      <c r="E47" s="2"/>
      <c r="F47" t="str">
        <f t="shared" si="1"/>
        <v/>
      </c>
      <c r="G47" t="str">
        <f t="shared" si="2"/>
        <v/>
      </c>
      <c r="H47" t="str">
        <f>IF(F47="","",VLOOKUP(F47,Validation!$A$2:$B$17,2,FALSE))</f>
        <v/>
      </c>
      <c r="I47">
        <f>INT((ROW()-2)/Settings!$B$6)+2</f>
        <v>5</v>
      </c>
      <c r="J47">
        <f>MOD(ROW()-2,Settings!$B$6)+1</f>
        <v>10</v>
      </c>
    </row>
    <row r="48" spans="1:10" x14ac:dyDescent="0.3">
      <c r="A48" t="str">
        <f>IF(OR(INDEX(Matches!$I$2:$I$25,I48-1)="",INDEX(Matches!$J$2:$J$25,I48-1)=""),"",IF(J48&lt;=INDEX(Matches!$I$2:$I$25,I48-1)+INDEX(Matches!$J$2:$J$25,I48-1),INDEX(Matches!$A$2:$A$25,I48-1),""))</f>
        <v/>
      </c>
      <c r="B48" t="str">
        <f>IF(A48="","",IF(J48&lt;=INDEX(Matches!$I$2:$I$25,I48-1),INDEX(Matches!$G$2:$G$25,I48-1),INDEX(Matches!$H$2:$H$25,I48-1)))</f>
        <v/>
      </c>
      <c r="C48" t="str">
        <f>IF(A48="","",COUNTIFS($A$2:A48,A48,$B$2:B48,B48))</f>
        <v/>
      </c>
      <c r="D48" s="2" t="str">
        <f t="shared" si="0"/>
        <v/>
      </c>
      <c r="E48" s="2"/>
      <c r="F48" t="str">
        <f t="shared" si="1"/>
        <v/>
      </c>
      <c r="G48" t="str">
        <f t="shared" si="2"/>
        <v/>
      </c>
      <c r="H48" t="str">
        <f>IF(F48="","",VLOOKUP(F48,Validation!$A$2:$B$17,2,FALSE))</f>
        <v/>
      </c>
      <c r="I48">
        <f>INT((ROW()-2)/Settings!$B$6)+2</f>
        <v>5</v>
      </c>
      <c r="J48">
        <f>MOD(ROW()-2,Settings!$B$6)+1</f>
        <v>11</v>
      </c>
    </row>
    <row r="49" spans="1:10" x14ac:dyDescent="0.3">
      <c r="A49" t="str">
        <f>IF(OR(INDEX(Matches!$I$2:$I$25,I49-1)="",INDEX(Matches!$J$2:$J$25,I49-1)=""),"",IF(J49&lt;=INDEX(Matches!$I$2:$I$25,I49-1)+INDEX(Matches!$J$2:$J$25,I49-1),INDEX(Matches!$A$2:$A$25,I49-1),""))</f>
        <v/>
      </c>
      <c r="B49" t="str">
        <f>IF(A49="","",IF(J49&lt;=INDEX(Matches!$I$2:$I$25,I49-1),INDEX(Matches!$G$2:$G$25,I49-1),INDEX(Matches!$H$2:$H$25,I49-1)))</f>
        <v/>
      </c>
      <c r="C49" t="str">
        <f>IF(A49="","",COUNTIFS($A$2:A49,A49,$B$2:B49,B49))</f>
        <v/>
      </c>
      <c r="D49" s="2" t="str">
        <f t="shared" si="0"/>
        <v/>
      </c>
      <c r="E49" s="2"/>
      <c r="F49" t="str">
        <f t="shared" si="1"/>
        <v/>
      </c>
      <c r="G49" t="str">
        <f t="shared" si="2"/>
        <v/>
      </c>
      <c r="H49" t="str">
        <f>IF(F49="","",VLOOKUP(F49,Validation!$A$2:$B$17,2,FALSE))</f>
        <v/>
      </c>
      <c r="I49">
        <f>INT((ROW()-2)/Settings!$B$6)+2</f>
        <v>5</v>
      </c>
      <c r="J49">
        <f>MOD(ROW()-2,Settings!$B$6)+1</f>
        <v>12</v>
      </c>
    </row>
    <row r="50" spans="1:10" x14ac:dyDescent="0.3">
      <c r="A50" t="str">
        <f>IF(OR(INDEX(Matches!$I$2:$I$25,I50-1)="",INDEX(Matches!$J$2:$J$25,I50-1)=""),"",IF(J50&lt;=INDEX(Matches!$I$2:$I$25,I50-1)+INDEX(Matches!$J$2:$J$25,I50-1),INDEX(Matches!$A$2:$A$25,I50-1),""))</f>
        <v>M05</v>
      </c>
      <c r="B50" t="str">
        <f>IF(A50="","",IF(J50&lt;=INDEX(Matches!$I$2:$I$25,I50-1),INDEX(Matches!$G$2:$G$25,I50-1),INDEX(Matches!$H$2:$H$25,I50-1)))</f>
        <v>Barrio Boys</v>
      </c>
      <c r="C50">
        <f>IF(A50="","",COUNTIFS($A$2:A50,A50,$B$2:B50,B50))</f>
        <v>1</v>
      </c>
      <c r="D50" s="2" t="str">
        <f t="shared" si="0"/>
        <v>Goal</v>
      </c>
      <c r="E50" s="2" t="s">
        <v>417</v>
      </c>
      <c r="F50" t="str">
        <f t="shared" si="1"/>
        <v>Barrio Boys</v>
      </c>
      <c r="G50" t="str">
        <f t="shared" si="2"/>
        <v>OK</v>
      </c>
      <c r="H50" t="str">
        <f>IF(F50="","",VLOOKUP(F50,Validation!$A$2:$B$17,2,FALSE))</f>
        <v>Validation!$M$2:$M$31</v>
      </c>
      <c r="I50">
        <f>INT((ROW()-2)/Settings!$B$6)+2</f>
        <v>6</v>
      </c>
      <c r="J50">
        <f>MOD(ROW()-2,Settings!$B$6)+1</f>
        <v>1</v>
      </c>
    </row>
    <row r="51" spans="1:10" x14ac:dyDescent="0.3">
      <c r="A51" t="str">
        <f>IF(OR(INDEX(Matches!$I$2:$I$25,I51-1)="",INDEX(Matches!$J$2:$J$25,I51-1)=""),"",IF(J51&lt;=INDEX(Matches!$I$2:$I$25,I51-1)+INDEX(Matches!$J$2:$J$25,I51-1),INDEX(Matches!$A$2:$A$25,I51-1),""))</f>
        <v>M05</v>
      </c>
      <c r="B51" t="str">
        <f>IF(A51="","",IF(J51&lt;=INDEX(Matches!$I$2:$I$25,I51-1),INDEX(Matches!$G$2:$G$25,I51-1),INDEX(Matches!$H$2:$H$25,I51-1)))</f>
        <v>Barrio Boys</v>
      </c>
      <c r="C51">
        <f>IF(A51="","",COUNTIFS($A$2:A51,A51,$B$2:B51,B51))</f>
        <v>2</v>
      </c>
      <c r="D51" s="2" t="str">
        <f t="shared" si="0"/>
        <v>Goal</v>
      </c>
      <c r="E51" s="2" t="s">
        <v>418</v>
      </c>
      <c r="F51" t="str">
        <f t="shared" si="1"/>
        <v>Barrio Boys</v>
      </c>
      <c r="G51" t="str">
        <f t="shared" si="2"/>
        <v>OK</v>
      </c>
      <c r="H51" t="str">
        <f>IF(F51="","",VLOOKUP(F51,Validation!$A$2:$B$17,2,FALSE))</f>
        <v>Validation!$M$2:$M$31</v>
      </c>
      <c r="I51">
        <f>INT((ROW()-2)/Settings!$B$6)+2</f>
        <v>6</v>
      </c>
      <c r="J51">
        <f>MOD(ROW()-2,Settings!$B$6)+1</f>
        <v>2</v>
      </c>
    </row>
    <row r="52" spans="1:10" x14ac:dyDescent="0.3">
      <c r="A52" t="str">
        <f>IF(OR(INDEX(Matches!$I$2:$I$25,I52-1)="",INDEX(Matches!$J$2:$J$25,I52-1)=""),"",IF(J52&lt;=INDEX(Matches!$I$2:$I$25,I52-1)+INDEX(Matches!$J$2:$J$25,I52-1),INDEX(Matches!$A$2:$A$25,I52-1),""))</f>
        <v/>
      </c>
      <c r="B52" t="str">
        <f>IF(A52="","",IF(J52&lt;=INDEX(Matches!$I$2:$I$25,I52-1),INDEX(Matches!$G$2:$G$25,I52-1),INDEX(Matches!$H$2:$H$25,I52-1)))</f>
        <v/>
      </c>
      <c r="C52" t="str">
        <f>IF(A52="","",COUNTIFS($A$2:A52,A52,$B$2:B52,B52))</f>
        <v/>
      </c>
      <c r="D52" s="2" t="str">
        <f t="shared" si="0"/>
        <v/>
      </c>
      <c r="E52" s="2"/>
      <c r="F52" t="str">
        <f t="shared" si="1"/>
        <v/>
      </c>
      <c r="G52" t="str">
        <f t="shared" si="2"/>
        <v/>
      </c>
      <c r="H52" t="str">
        <f>IF(F52="","",VLOOKUP(F52,Validation!$A$2:$B$17,2,FALSE))</f>
        <v/>
      </c>
      <c r="I52">
        <f>INT((ROW()-2)/Settings!$B$6)+2</f>
        <v>6</v>
      </c>
      <c r="J52">
        <f>MOD(ROW()-2,Settings!$B$6)+1</f>
        <v>3</v>
      </c>
    </row>
    <row r="53" spans="1:10" x14ac:dyDescent="0.3">
      <c r="A53" t="str">
        <f>IF(OR(INDEX(Matches!$I$2:$I$25,I53-1)="",INDEX(Matches!$J$2:$J$25,I53-1)=""),"",IF(J53&lt;=INDEX(Matches!$I$2:$I$25,I53-1)+INDEX(Matches!$J$2:$J$25,I53-1),INDEX(Matches!$A$2:$A$25,I53-1),""))</f>
        <v/>
      </c>
      <c r="B53" t="str">
        <f>IF(A53="","",IF(J53&lt;=INDEX(Matches!$I$2:$I$25,I53-1),INDEX(Matches!$G$2:$G$25,I53-1),INDEX(Matches!$H$2:$H$25,I53-1)))</f>
        <v/>
      </c>
      <c r="C53" t="str">
        <f>IF(A53="","",COUNTIFS($A$2:A53,A53,$B$2:B53,B53))</f>
        <v/>
      </c>
      <c r="D53" s="2" t="str">
        <f t="shared" si="0"/>
        <v/>
      </c>
      <c r="E53" s="2"/>
      <c r="F53" t="str">
        <f t="shared" si="1"/>
        <v/>
      </c>
      <c r="G53" t="str">
        <f t="shared" si="2"/>
        <v/>
      </c>
      <c r="H53" t="str">
        <f>IF(F53="","",VLOOKUP(F53,Validation!$A$2:$B$17,2,FALSE))</f>
        <v/>
      </c>
      <c r="I53">
        <f>INT((ROW()-2)/Settings!$B$6)+2</f>
        <v>6</v>
      </c>
      <c r="J53">
        <f>MOD(ROW()-2,Settings!$B$6)+1</f>
        <v>4</v>
      </c>
    </row>
    <row r="54" spans="1:10" x14ac:dyDescent="0.3">
      <c r="A54" t="str">
        <f>IF(OR(INDEX(Matches!$I$2:$I$25,I54-1)="",INDEX(Matches!$J$2:$J$25,I54-1)=""),"",IF(J54&lt;=INDEX(Matches!$I$2:$I$25,I54-1)+INDEX(Matches!$J$2:$J$25,I54-1),INDEX(Matches!$A$2:$A$25,I54-1),""))</f>
        <v/>
      </c>
      <c r="B54" t="str">
        <f>IF(A54="","",IF(J54&lt;=INDEX(Matches!$I$2:$I$25,I54-1),INDEX(Matches!$G$2:$G$25,I54-1),INDEX(Matches!$H$2:$H$25,I54-1)))</f>
        <v/>
      </c>
      <c r="C54" t="str">
        <f>IF(A54="","",COUNTIFS($A$2:A54,A54,$B$2:B54,B54))</f>
        <v/>
      </c>
      <c r="D54" s="2" t="str">
        <f t="shared" si="0"/>
        <v/>
      </c>
      <c r="E54" s="2"/>
      <c r="F54" t="str">
        <f t="shared" si="1"/>
        <v/>
      </c>
      <c r="G54" t="str">
        <f t="shared" si="2"/>
        <v/>
      </c>
      <c r="H54" t="str">
        <f>IF(F54="","",VLOOKUP(F54,Validation!$A$2:$B$17,2,FALSE))</f>
        <v/>
      </c>
      <c r="I54">
        <f>INT((ROW()-2)/Settings!$B$6)+2</f>
        <v>6</v>
      </c>
      <c r="J54">
        <f>MOD(ROW()-2,Settings!$B$6)+1</f>
        <v>5</v>
      </c>
    </row>
    <row r="55" spans="1:10" x14ac:dyDescent="0.3">
      <c r="A55" t="str">
        <f>IF(OR(INDEX(Matches!$I$2:$I$25,I55-1)="",INDEX(Matches!$J$2:$J$25,I55-1)=""),"",IF(J55&lt;=INDEX(Matches!$I$2:$I$25,I55-1)+INDEX(Matches!$J$2:$J$25,I55-1),INDEX(Matches!$A$2:$A$25,I55-1),""))</f>
        <v/>
      </c>
      <c r="B55" t="str">
        <f>IF(A55="","",IF(J55&lt;=INDEX(Matches!$I$2:$I$25,I55-1),INDEX(Matches!$G$2:$G$25,I55-1),INDEX(Matches!$H$2:$H$25,I55-1)))</f>
        <v/>
      </c>
      <c r="C55" t="str">
        <f>IF(A55="","",COUNTIFS($A$2:A55,A55,$B$2:B55,B55))</f>
        <v/>
      </c>
      <c r="D55" s="2" t="str">
        <f t="shared" si="0"/>
        <v/>
      </c>
      <c r="E55" s="2"/>
      <c r="F55" t="str">
        <f t="shared" si="1"/>
        <v/>
      </c>
      <c r="G55" t="str">
        <f t="shared" si="2"/>
        <v/>
      </c>
      <c r="H55" t="str">
        <f>IF(F55="","",VLOOKUP(F55,Validation!$A$2:$B$17,2,FALSE))</f>
        <v/>
      </c>
      <c r="I55">
        <f>INT((ROW()-2)/Settings!$B$6)+2</f>
        <v>6</v>
      </c>
      <c r="J55">
        <f>MOD(ROW()-2,Settings!$B$6)+1</f>
        <v>6</v>
      </c>
    </row>
    <row r="56" spans="1:10" x14ac:dyDescent="0.3">
      <c r="A56" t="str">
        <f>IF(OR(INDEX(Matches!$I$2:$I$25,I56-1)="",INDEX(Matches!$J$2:$J$25,I56-1)=""),"",IF(J56&lt;=INDEX(Matches!$I$2:$I$25,I56-1)+INDEX(Matches!$J$2:$J$25,I56-1),INDEX(Matches!$A$2:$A$25,I56-1),""))</f>
        <v/>
      </c>
      <c r="B56" t="str">
        <f>IF(A56="","",IF(J56&lt;=INDEX(Matches!$I$2:$I$25,I56-1),INDEX(Matches!$G$2:$G$25,I56-1),INDEX(Matches!$H$2:$H$25,I56-1)))</f>
        <v/>
      </c>
      <c r="C56" t="str">
        <f>IF(A56="","",COUNTIFS($A$2:A56,A56,$B$2:B56,B56))</f>
        <v/>
      </c>
      <c r="D56" s="2" t="str">
        <f t="shared" si="0"/>
        <v/>
      </c>
      <c r="E56" s="2"/>
      <c r="F56" t="str">
        <f t="shared" si="1"/>
        <v/>
      </c>
      <c r="G56" t="str">
        <f t="shared" si="2"/>
        <v/>
      </c>
      <c r="H56" t="str">
        <f>IF(F56="","",VLOOKUP(F56,Validation!$A$2:$B$17,2,FALSE))</f>
        <v/>
      </c>
      <c r="I56">
        <f>INT((ROW()-2)/Settings!$B$6)+2</f>
        <v>6</v>
      </c>
      <c r="J56">
        <f>MOD(ROW()-2,Settings!$B$6)+1</f>
        <v>7</v>
      </c>
    </row>
    <row r="57" spans="1:10" x14ac:dyDescent="0.3">
      <c r="A57" t="str">
        <f>IF(OR(INDEX(Matches!$I$2:$I$25,I57-1)="",INDEX(Matches!$J$2:$J$25,I57-1)=""),"",IF(J57&lt;=INDEX(Matches!$I$2:$I$25,I57-1)+INDEX(Matches!$J$2:$J$25,I57-1),INDEX(Matches!$A$2:$A$25,I57-1),""))</f>
        <v/>
      </c>
      <c r="B57" t="str">
        <f>IF(A57="","",IF(J57&lt;=INDEX(Matches!$I$2:$I$25,I57-1),INDEX(Matches!$G$2:$G$25,I57-1),INDEX(Matches!$H$2:$H$25,I57-1)))</f>
        <v/>
      </c>
      <c r="C57" t="str">
        <f>IF(A57="","",COUNTIFS($A$2:A57,A57,$B$2:B57,B57))</f>
        <v/>
      </c>
      <c r="D57" s="2" t="str">
        <f t="shared" si="0"/>
        <v/>
      </c>
      <c r="E57" s="2"/>
      <c r="F57" t="str">
        <f t="shared" si="1"/>
        <v/>
      </c>
      <c r="G57" t="str">
        <f t="shared" si="2"/>
        <v/>
      </c>
      <c r="H57" t="str">
        <f>IF(F57="","",VLOOKUP(F57,Validation!$A$2:$B$17,2,FALSE))</f>
        <v/>
      </c>
      <c r="I57">
        <f>INT((ROW()-2)/Settings!$B$6)+2</f>
        <v>6</v>
      </c>
      <c r="J57">
        <f>MOD(ROW()-2,Settings!$B$6)+1</f>
        <v>8</v>
      </c>
    </row>
    <row r="58" spans="1:10" x14ac:dyDescent="0.3">
      <c r="A58" t="str">
        <f>IF(OR(INDEX(Matches!$I$2:$I$25,I58-1)="",INDEX(Matches!$J$2:$J$25,I58-1)=""),"",IF(J58&lt;=INDEX(Matches!$I$2:$I$25,I58-1)+INDEX(Matches!$J$2:$J$25,I58-1),INDEX(Matches!$A$2:$A$25,I58-1),""))</f>
        <v/>
      </c>
      <c r="B58" t="str">
        <f>IF(A58="","",IF(J58&lt;=INDEX(Matches!$I$2:$I$25,I58-1),INDEX(Matches!$G$2:$G$25,I58-1),INDEX(Matches!$H$2:$H$25,I58-1)))</f>
        <v/>
      </c>
      <c r="C58" t="str">
        <f>IF(A58="","",COUNTIFS($A$2:A58,A58,$B$2:B58,B58))</f>
        <v/>
      </c>
      <c r="D58" s="2" t="str">
        <f t="shared" si="0"/>
        <v/>
      </c>
      <c r="E58" s="2"/>
      <c r="F58" t="str">
        <f t="shared" si="1"/>
        <v/>
      </c>
      <c r="G58" t="str">
        <f t="shared" si="2"/>
        <v/>
      </c>
      <c r="H58" t="str">
        <f>IF(F58="","",VLOOKUP(F58,Validation!$A$2:$B$17,2,FALSE))</f>
        <v/>
      </c>
      <c r="I58">
        <f>INT((ROW()-2)/Settings!$B$6)+2</f>
        <v>6</v>
      </c>
      <c r="J58">
        <f>MOD(ROW()-2,Settings!$B$6)+1</f>
        <v>9</v>
      </c>
    </row>
    <row r="59" spans="1:10" x14ac:dyDescent="0.3">
      <c r="A59" t="str">
        <f>IF(OR(INDEX(Matches!$I$2:$I$25,I59-1)="",INDEX(Matches!$J$2:$J$25,I59-1)=""),"",IF(J59&lt;=INDEX(Matches!$I$2:$I$25,I59-1)+INDEX(Matches!$J$2:$J$25,I59-1),INDEX(Matches!$A$2:$A$25,I59-1),""))</f>
        <v/>
      </c>
      <c r="B59" t="str">
        <f>IF(A59="","",IF(J59&lt;=INDEX(Matches!$I$2:$I$25,I59-1),INDEX(Matches!$G$2:$G$25,I59-1),INDEX(Matches!$H$2:$H$25,I59-1)))</f>
        <v/>
      </c>
      <c r="C59" t="str">
        <f>IF(A59="","",COUNTIFS($A$2:A59,A59,$B$2:B59,B59))</f>
        <v/>
      </c>
      <c r="D59" s="2" t="str">
        <f t="shared" si="0"/>
        <v/>
      </c>
      <c r="E59" s="2"/>
      <c r="F59" t="str">
        <f t="shared" si="1"/>
        <v/>
      </c>
      <c r="G59" t="str">
        <f t="shared" si="2"/>
        <v/>
      </c>
      <c r="H59" t="str">
        <f>IF(F59="","",VLOOKUP(F59,Validation!$A$2:$B$17,2,FALSE))</f>
        <v/>
      </c>
      <c r="I59">
        <f>INT((ROW()-2)/Settings!$B$6)+2</f>
        <v>6</v>
      </c>
      <c r="J59">
        <f>MOD(ROW()-2,Settings!$B$6)+1</f>
        <v>10</v>
      </c>
    </row>
    <row r="60" spans="1:10" x14ac:dyDescent="0.3">
      <c r="A60" t="str">
        <f>IF(OR(INDEX(Matches!$I$2:$I$25,I60-1)="",INDEX(Matches!$J$2:$J$25,I60-1)=""),"",IF(J60&lt;=INDEX(Matches!$I$2:$I$25,I60-1)+INDEX(Matches!$J$2:$J$25,I60-1),INDEX(Matches!$A$2:$A$25,I60-1),""))</f>
        <v/>
      </c>
      <c r="B60" t="str">
        <f>IF(A60="","",IF(J60&lt;=INDEX(Matches!$I$2:$I$25,I60-1),INDEX(Matches!$G$2:$G$25,I60-1),INDEX(Matches!$H$2:$H$25,I60-1)))</f>
        <v/>
      </c>
      <c r="C60" t="str">
        <f>IF(A60="","",COUNTIFS($A$2:A60,A60,$B$2:B60,B60))</f>
        <v/>
      </c>
      <c r="D60" s="2" t="str">
        <f t="shared" si="0"/>
        <v/>
      </c>
      <c r="E60" s="2"/>
      <c r="F60" t="str">
        <f t="shared" si="1"/>
        <v/>
      </c>
      <c r="G60" t="str">
        <f t="shared" si="2"/>
        <v/>
      </c>
      <c r="H60" t="str">
        <f>IF(F60="","",VLOOKUP(F60,Validation!$A$2:$B$17,2,FALSE))</f>
        <v/>
      </c>
      <c r="I60">
        <f>INT((ROW()-2)/Settings!$B$6)+2</f>
        <v>6</v>
      </c>
      <c r="J60">
        <f>MOD(ROW()-2,Settings!$B$6)+1</f>
        <v>11</v>
      </c>
    </row>
    <row r="61" spans="1:10" x14ac:dyDescent="0.3">
      <c r="A61" t="str">
        <f>IF(OR(INDEX(Matches!$I$2:$I$25,I61-1)="",INDEX(Matches!$J$2:$J$25,I61-1)=""),"",IF(J61&lt;=INDEX(Matches!$I$2:$I$25,I61-1)+INDEX(Matches!$J$2:$J$25,I61-1),INDEX(Matches!$A$2:$A$25,I61-1),""))</f>
        <v/>
      </c>
      <c r="B61" t="str">
        <f>IF(A61="","",IF(J61&lt;=INDEX(Matches!$I$2:$I$25,I61-1),INDEX(Matches!$G$2:$G$25,I61-1),INDEX(Matches!$H$2:$H$25,I61-1)))</f>
        <v/>
      </c>
      <c r="C61" t="str">
        <f>IF(A61="","",COUNTIFS($A$2:A61,A61,$B$2:B61,B61))</f>
        <v/>
      </c>
      <c r="D61" s="2" t="str">
        <f t="shared" si="0"/>
        <v/>
      </c>
      <c r="E61" s="2"/>
      <c r="F61" t="str">
        <f t="shared" si="1"/>
        <v/>
      </c>
      <c r="G61" t="str">
        <f t="shared" si="2"/>
        <v/>
      </c>
      <c r="H61" t="str">
        <f>IF(F61="","",VLOOKUP(F61,Validation!$A$2:$B$17,2,FALSE))</f>
        <v/>
      </c>
      <c r="I61">
        <f>INT((ROW()-2)/Settings!$B$6)+2</f>
        <v>6</v>
      </c>
      <c r="J61">
        <f>MOD(ROW()-2,Settings!$B$6)+1</f>
        <v>12</v>
      </c>
    </row>
    <row r="62" spans="1:10" x14ac:dyDescent="0.3">
      <c r="A62" t="str">
        <f>IF(OR(INDEX(Matches!$I$2:$I$25,I62-1)="",INDEX(Matches!$J$2:$J$25,I62-1)=""),"",IF(J62&lt;=INDEX(Matches!$I$2:$I$25,I62-1)+INDEX(Matches!$J$2:$J$25,I62-1),INDEX(Matches!$A$2:$A$25,I62-1),""))</f>
        <v>M06</v>
      </c>
      <c r="B62" t="str">
        <f>IF(A62="","",IF(J62&lt;=INDEX(Matches!$I$2:$I$25,I62-1),INDEX(Matches!$G$2:$G$25,I62-1),INDEX(Matches!$H$2:$H$25,I62-1)))</f>
        <v>AS Bancatore</v>
      </c>
      <c r="C62">
        <f>IF(A62="","",COUNTIFS($A$2:A62,A62,$B$2:B62,B62))</f>
        <v>1</v>
      </c>
      <c r="D62" s="2" t="str">
        <f t="shared" si="0"/>
        <v>Goal</v>
      </c>
      <c r="E62" s="2" t="s">
        <v>419</v>
      </c>
      <c r="F62" t="str">
        <f t="shared" si="1"/>
        <v>AS Bancatore</v>
      </c>
      <c r="G62" t="str">
        <f t="shared" si="2"/>
        <v>OK</v>
      </c>
      <c r="H62" t="str">
        <f>IF(F62="","",VLOOKUP(F62,Validation!$A$2:$B$17,2,FALSE))</f>
        <v>Validation!$I$2:$I$31</v>
      </c>
      <c r="I62">
        <f>INT((ROW()-2)/Settings!$B$6)+2</f>
        <v>7</v>
      </c>
      <c r="J62">
        <f>MOD(ROW()-2,Settings!$B$6)+1</f>
        <v>1</v>
      </c>
    </row>
    <row r="63" spans="1:10" x14ac:dyDescent="0.3">
      <c r="A63" t="str">
        <f>IF(OR(INDEX(Matches!$I$2:$I$25,I63-1)="",INDEX(Matches!$J$2:$J$25,I63-1)=""),"",IF(J63&lt;=INDEX(Matches!$I$2:$I$25,I63-1)+INDEX(Matches!$J$2:$J$25,I63-1),INDEX(Matches!$A$2:$A$25,I63-1),""))</f>
        <v>M06</v>
      </c>
      <c r="B63" t="str">
        <f>IF(A63="","",IF(J63&lt;=INDEX(Matches!$I$2:$I$25,I63-1),INDEX(Matches!$G$2:$G$25,I63-1),INDEX(Matches!$H$2:$H$25,I63-1)))</f>
        <v>AS Bancatore</v>
      </c>
      <c r="C63">
        <f>IF(A63="","",COUNTIFS($A$2:A63,A63,$B$2:B63,B63))</f>
        <v>2</v>
      </c>
      <c r="D63" s="2" t="str">
        <f t="shared" si="0"/>
        <v>Goal</v>
      </c>
      <c r="E63" s="2" t="s">
        <v>419</v>
      </c>
      <c r="F63" t="str">
        <f t="shared" si="1"/>
        <v>AS Bancatore</v>
      </c>
      <c r="G63" t="str">
        <f t="shared" si="2"/>
        <v>OK</v>
      </c>
      <c r="H63" t="str">
        <f>IF(F63="","",VLOOKUP(F63,Validation!$A$2:$B$17,2,FALSE))</f>
        <v>Validation!$I$2:$I$31</v>
      </c>
      <c r="I63">
        <f>INT((ROW()-2)/Settings!$B$6)+2</f>
        <v>7</v>
      </c>
      <c r="J63">
        <f>MOD(ROW()-2,Settings!$B$6)+1</f>
        <v>2</v>
      </c>
    </row>
    <row r="64" spans="1:10" x14ac:dyDescent="0.3">
      <c r="A64" t="str">
        <f>IF(OR(INDEX(Matches!$I$2:$I$25,I64-1)="",INDEX(Matches!$J$2:$J$25,I64-1)=""),"",IF(J64&lt;=INDEX(Matches!$I$2:$I$25,I64-1)+INDEX(Matches!$J$2:$J$25,I64-1),INDEX(Matches!$A$2:$A$25,I64-1),""))</f>
        <v>M06</v>
      </c>
      <c r="B64" t="str">
        <f>IF(A64="","",IF(J64&lt;=INDEX(Matches!$I$2:$I$25,I64-1),INDEX(Matches!$G$2:$G$25,I64-1),INDEX(Matches!$H$2:$H$25,I64-1)))</f>
        <v>AS Bancatore</v>
      </c>
      <c r="C64">
        <f>IF(A64="","",COUNTIFS($A$2:A64,A64,$B$2:B64,B64))</f>
        <v>3</v>
      </c>
      <c r="D64" s="2" t="str">
        <f t="shared" si="0"/>
        <v>Goal</v>
      </c>
      <c r="E64" s="2" t="s">
        <v>420</v>
      </c>
      <c r="F64" t="str">
        <f t="shared" si="1"/>
        <v>AS Bancatore</v>
      </c>
      <c r="G64" t="str">
        <f t="shared" si="2"/>
        <v>OK</v>
      </c>
      <c r="H64" t="str">
        <f>IF(F64="","",VLOOKUP(F64,Validation!$A$2:$B$17,2,FALSE))</f>
        <v>Validation!$I$2:$I$31</v>
      </c>
      <c r="I64">
        <f>INT((ROW()-2)/Settings!$B$6)+2</f>
        <v>7</v>
      </c>
      <c r="J64">
        <f>MOD(ROW()-2,Settings!$B$6)+1</f>
        <v>3</v>
      </c>
    </row>
    <row r="65" spans="1:10" x14ac:dyDescent="0.3">
      <c r="A65" t="str">
        <f>IF(OR(INDEX(Matches!$I$2:$I$25,I65-1)="",INDEX(Matches!$J$2:$J$25,I65-1)=""),"",IF(J65&lt;=INDEX(Matches!$I$2:$I$25,I65-1)+INDEX(Matches!$J$2:$J$25,I65-1),INDEX(Matches!$A$2:$A$25,I65-1),""))</f>
        <v>M06</v>
      </c>
      <c r="B65" t="str">
        <f>IF(A65="","",IF(J65&lt;=INDEX(Matches!$I$2:$I$25,I65-1),INDEX(Matches!$G$2:$G$25,I65-1),INDEX(Matches!$H$2:$H$25,I65-1)))</f>
        <v>AS Bancatore</v>
      </c>
      <c r="C65">
        <f>IF(A65="","",COUNTIFS($A$2:A65,A65,$B$2:B65,B65))</f>
        <v>4</v>
      </c>
      <c r="D65" s="2" t="str">
        <f t="shared" si="0"/>
        <v>Goal</v>
      </c>
      <c r="E65" s="2" t="s">
        <v>421</v>
      </c>
      <c r="F65" t="str">
        <f t="shared" si="1"/>
        <v>AS Bancatore</v>
      </c>
      <c r="G65" t="str">
        <f t="shared" si="2"/>
        <v>OK</v>
      </c>
      <c r="H65" t="str">
        <f>IF(F65="","",VLOOKUP(F65,Validation!$A$2:$B$17,2,FALSE))</f>
        <v>Validation!$I$2:$I$31</v>
      </c>
      <c r="I65">
        <f>INT((ROW()-2)/Settings!$B$6)+2</f>
        <v>7</v>
      </c>
      <c r="J65">
        <f>MOD(ROW()-2,Settings!$B$6)+1</f>
        <v>4</v>
      </c>
    </row>
    <row r="66" spans="1:10" x14ac:dyDescent="0.3">
      <c r="A66" t="str">
        <f>IF(OR(INDEX(Matches!$I$2:$I$25,I66-1)="",INDEX(Matches!$J$2:$J$25,I66-1)=""),"",IF(J66&lt;=INDEX(Matches!$I$2:$I$25,I66-1)+INDEX(Matches!$J$2:$J$25,I66-1),INDEX(Matches!$A$2:$A$25,I66-1),""))</f>
        <v>M06</v>
      </c>
      <c r="B66" t="str">
        <f>IF(A66="","",IF(J66&lt;=INDEX(Matches!$I$2:$I$25,I66-1),INDEX(Matches!$G$2:$G$25,I66-1),INDEX(Matches!$H$2:$H$25,I66-1)))</f>
        <v>AS Bancatore</v>
      </c>
      <c r="C66">
        <f>IF(A66="","",COUNTIFS($A$2:A66,A66,$B$2:B66,B66))</f>
        <v>5</v>
      </c>
      <c r="D66" s="2" t="str">
        <f t="shared" ref="D66:D129" si="3">IF(A66="","","Goal")</f>
        <v>Goal</v>
      </c>
      <c r="E66" s="2" t="s">
        <v>422</v>
      </c>
      <c r="F66" t="str">
        <f t="shared" ref="F66:F129" si="4">IF(A66="","",IF(D66="Autogol","",IF(D66="Goal",B66,"")))</f>
        <v>AS Bancatore</v>
      </c>
      <c r="G66" t="str">
        <f t="shared" ref="G66:G129" si="5">IF(A66="","",IF(D66="","Manca tipo",IF(D66="Goal",IF(E66="","Manca giocatore","OK"),IF(D66="Autogol",IF(E66&lt;&gt;"","Autogol: svuota Player","OK"),"Tipo non valido"))))</f>
        <v>OK</v>
      </c>
      <c r="H66" t="str">
        <f>IF(F66="","",VLOOKUP(F66,Validation!$A$2:$B$17,2,FALSE))</f>
        <v>Validation!$I$2:$I$31</v>
      </c>
      <c r="I66">
        <f>INT((ROW()-2)/Settings!$B$6)+2</f>
        <v>7</v>
      </c>
      <c r="J66">
        <f>MOD(ROW()-2,Settings!$B$6)+1</f>
        <v>5</v>
      </c>
    </row>
    <row r="67" spans="1:10" x14ac:dyDescent="0.3">
      <c r="A67" t="str">
        <f>IF(OR(INDEX(Matches!$I$2:$I$25,I67-1)="",INDEX(Matches!$J$2:$J$25,I67-1)=""),"",IF(J67&lt;=INDEX(Matches!$I$2:$I$25,I67-1)+INDEX(Matches!$J$2:$J$25,I67-1),INDEX(Matches!$A$2:$A$25,I67-1),""))</f>
        <v/>
      </c>
      <c r="B67" t="str">
        <f>IF(A67="","",IF(J67&lt;=INDEX(Matches!$I$2:$I$25,I67-1),INDEX(Matches!$G$2:$G$25,I67-1),INDEX(Matches!$H$2:$H$25,I67-1)))</f>
        <v/>
      </c>
      <c r="C67" t="str">
        <f>IF(A67="","",COUNTIFS($A$2:A67,A67,$B$2:B67,B67))</f>
        <v/>
      </c>
      <c r="D67" s="2" t="str">
        <f t="shared" si="3"/>
        <v/>
      </c>
      <c r="E67" s="2"/>
      <c r="F67" t="str">
        <f t="shared" si="4"/>
        <v/>
      </c>
      <c r="G67" t="str">
        <f t="shared" si="5"/>
        <v/>
      </c>
      <c r="H67" t="str">
        <f>IF(F67="","",VLOOKUP(F67,Validation!$A$2:$B$17,2,FALSE))</f>
        <v/>
      </c>
      <c r="I67">
        <f>INT((ROW()-2)/Settings!$B$6)+2</f>
        <v>7</v>
      </c>
      <c r="J67">
        <f>MOD(ROW()-2,Settings!$B$6)+1</f>
        <v>6</v>
      </c>
    </row>
    <row r="68" spans="1:10" x14ac:dyDescent="0.3">
      <c r="A68" t="str">
        <f>IF(OR(INDEX(Matches!$I$2:$I$25,I68-1)="",INDEX(Matches!$J$2:$J$25,I68-1)=""),"",IF(J68&lt;=INDEX(Matches!$I$2:$I$25,I68-1)+INDEX(Matches!$J$2:$J$25,I68-1),INDEX(Matches!$A$2:$A$25,I68-1),""))</f>
        <v/>
      </c>
      <c r="B68" t="str">
        <f>IF(A68="","",IF(J68&lt;=INDEX(Matches!$I$2:$I$25,I68-1),INDEX(Matches!$G$2:$G$25,I68-1),INDEX(Matches!$H$2:$H$25,I68-1)))</f>
        <v/>
      </c>
      <c r="C68" t="str">
        <f>IF(A68="","",COUNTIFS($A$2:A68,A68,$B$2:B68,B68))</f>
        <v/>
      </c>
      <c r="D68" s="2" t="str">
        <f t="shared" si="3"/>
        <v/>
      </c>
      <c r="E68" s="2"/>
      <c r="F68" t="str">
        <f t="shared" si="4"/>
        <v/>
      </c>
      <c r="G68" t="str">
        <f t="shared" si="5"/>
        <v/>
      </c>
      <c r="H68" t="str">
        <f>IF(F68="","",VLOOKUP(F68,Validation!$A$2:$B$17,2,FALSE))</f>
        <v/>
      </c>
      <c r="I68">
        <f>INT((ROW()-2)/Settings!$B$6)+2</f>
        <v>7</v>
      </c>
      <c r="J68">
        <f>MOD(ROW()-2,Settings!$B$6)+1</f>
        <v>7</v>
      </c>
    </row>
    <row r="69" spans="1:10" x14ac:dyDescent="0.3">
      <c r="A69" t="str">
        <f>IF(OR(INDEX(Matches!$I$2:$I$25,I69-1)="",INDEX(Matches!$J$2:$J$25,I69-1)=""),"",IF(J69&lt;=INDEX(Matches!$I$2:$I$25,I69-1)+INDEX(Matches!$J$2:$J$25,I69-1),INDEX(Matches!$A$2:$A$25,I69-1),""))</f>
        <v/>
      </c>
      <c r="B69" t="str">
        <f>IF(A69="","",IF(J69&lt;=INDEX(Matches!$I$2:$I$25,I69-1),INDEX(Matches!$G$2:$G$25,I69-1),INDEX(Matches!$H$2:$H$25,I69-1)))</f>
        <v/>
      </c>
      <c r="C69" t="str">
        <f>IF(A69="","",COUNTIFS($A$2:A69,A69,$B$2:B69,B69))</f>
        <v/>
      </c>
      <c r="D69" s="2" t="str">
        <f t="shared" si="3"/>
        <v/>
      </c>
      <c r="E69" s="2"/>
      <c r="F69" t="str">
        <f t="shared" si="4"/>
        <v/>
      </c>
      <c r="G69" t="str">
        <f t="shared" si="5"/>
        <v/>
      </c>
      <c r="H69" t="str">
        <f>IF(F69="","",VLOOKUP(F69,Validation!$A$2:$B$17,2,FALSE))</f>
        <v/>
      </c>
      <c r="I69">
        <f>INT((ROW()-2)/Settings!$B$6)+2</f>
        <v>7</v>
      </c>
      <c r="J69">
        <f>MOD(ROW()-2,Settings!$B$6)+1</f>
        <v>8</v>
      </c>
    </row>
    <row r="70" spans="1:10" x14ac:dyDescent="0.3">
      <c r="A70" t="str">
        <f>IF(OR(INDEX(Matches!$I$2:$I$25,I70-1)="",INDEX(Matches!$J$2:$J$25,I70-1)=""),"",IF(J70&lt;=INDEX(Matches!$I$2:$I$25,I70-1)+INDEX(Matches!$J$2:$J$25,I70-1),INDEX(Matches!$A$2:$A$25,I70-1),""))</f>
        <v/>
      </c>
      <c r="B70" t="str">
        <f>IF(A70="","",IF(J70&lt;=INDEX(Matches!$I$2:$I$25,I70-1),INDEX(Matches!$G$2:$G$25,I70-1),INDEX(Matches!$H$2:$H$25,I70-1)))</f>
        <v/>
      </c>
      <c r="C70" t="str">
        <f>IF(A70="","",COUNTIFS($A$2:A70,A70,$B$2:B70,B70))</f>
        <v/>
      </c>
      <c r="D70" s="2" t="str">
        <f t="shared" si="3"/>
        <v/>
      </c>
      <c r="E70" s="2"/>
      <c r="F70" t="str">
        <f t="shared" si="4"/>
        <v/>
      </c>
      <c r="G70" t="str">
        <f t="shared" si="5"/>
        <v/>
      </c>
      <c r="H70" t="str">
        <f>IF(F70="","",VLOOKUP(F70,Validation!$A$2:$B$17,2,FALSE))</f>
        <v/>
      </c>
      <c r="I70">
        <f>INT((ROW()-2)/Settings!$B$6)+2</f>
        <v>7</v>
      </c>
      <c r="J70">
        <f>MOD(ROW()-2,Settings!$B$6)+1</f>
        <v>9</v>
      </c>
    </row>
    <row r="71" spans="1:10" x14ac:dyDescent="0.3">
      <c r="A71" t="str">
        <f>IF(OR(INDEX(Matches!$I$2:$I$25,I71-1)="",INDEX(Matches!$J$2:$J$25,I71-1)=""),"",IF(J71&lt;=INDEX(Matches!$I$2:$I$25,I71-1)+INDEX(Matches!$J$2:$J$25,I71-1),INDEX(Matches!$A$2:$A$25,I71-1),""))</f>
        <v/>
      </c>
      <c r="B71" t="str">
        <f>IF(A71="","",IF(J71&lt;=INDEX(Matches!$I$2:$I$25,I71-1),INDEX(Matches!$G$2:$G$25,I71-1),INDEX(Matches!$H$2:$H$25,I71-1)))</f>
        <v/>
      </c>
      <c r="C71" t="str">
        <f>IF(A71="","",COUNTIFS($A$2:A71,A71,$B$2:B71,B71))</f>
        <v/>
      </c>
      <c r="D71" s="2" t="str">
        <f t="shared" si="3"/>
        <v/>
      </c>
      <c r="E71" s="2"/>
      <c r="F71" t="str">
        <f t="shared" si="4"/>
        <v/>
      </c>
      <c r="G71" t="str">
        <f t="shared" si="5"/>
        <v/>
      </c>
      <c r="H71" t="str">
        <f>IF(F71="","",VLOOKUP(F71,Validation!$A$2:$B$17,2,FALSE))</f>
        <v/>
      </c>
      <c r="I71">
        <f>INT((ROW()-2)/Settings!$B$6)+2</f>
        <v>7</v>
      </c>
      <c r="J71">
        <f>MOD(ROW()-2,Settings!$B$6)+1</f>
        <v>10</v>
      </c>
    </row>
    <row r="72" spans="1:10" x14ac:dyDescent="0.3">
      <c r="A72" t="str">
        <f>IF(OR(INDEX(Matches!$I$2:$I$25,I72-1)="",INDEX(Matches!$J$2:$J$25,I72-1)=""),"",IF(J72&lt;=INDEX(Matches!$I$2:$I$25,I72-1)+INDEX(Matches!$J$2:$J$25,I72-1),INDEX(Matches!$A$2:$A$25,I72-1),""))</f>
        <v/>
      </c>
      <c r="B72" t="str">
        <f>IF(A72="","",IF(J72&lt;=INDEX(Matches!$I$2:$I$25,I72-1),INDEX(Matches!$G$2:$G$25,I72-1),INDEX(Matches!$H$2:$H$25,I72-1)))</f>
        <v/>
      </c>
      <c r="C72" t="str">
        <f>IF(A72="","",COUNTIFS($A$2:A72,A72,$B$2:B72,B72))</f>
        <v/>
      </c>
      <c r="D72" s="2" t="str">
        <f t="shared" si="3"/>
        <v/>
      </c>
      <c r="E72" s="2"/>
      <c r="F72" t="str">
        <f t="shared" si="4"/>
        <v/>
      </c>
      <c r="G72" t="str">
        <f t="shared" si="5"/>
        <v/>
      </c>
      <c r="H72" t="str">
        <f>IF(F72="","",VLOOKUP(F72,Validation!$A$2:$B$17,2,FALSE))</f>
        <v/>
      </c>
      <c r="I72">
        <f>INT((ROW()-2)/Settings!$B$6)+2</f>
        <v>7</v>
      </c>
      <c r="J72">
        <f>MOD(ROW()-2,Settings!$B$6)+1</f>
        <v>11</v>
      </c>
    </row>
    <row r="73" spans="1:10" x14ac:dyDescent="0.3">
      <c r="A73" t="str">
        <f>IF(OR(INDEX(Matches!$I$2:$I$25,I73-1)="",INDEX(Matches!$J$2:$J$25,I73-1)=""),"",IF(J73&lt;=INDEX(Matches!$I$2:$I$25,I73-1)+INDEX(Matches!$J$2:$J$25,I73-1),INDEX(Matches!$A$2:$A$25,I73-1),""))</f>
        <v/>
      </c>
      <c r="B73" t="str">
        <f>IF(A73="","",IF(J73&lt;=INDEX(Matches!$I$2:$I$25,I73-1),INDEX(Matches!$G$2:$G$25,I73-1),INDEX(Matches!$H$2:$H$25,I73-1)))</f>
        <v/>
      </c>
      <c r="C73" t="str">
        <f>IF(A73="","",COUNTIFS($A$2:A73,A73,$B$2:B73,B73))</f>
        <v/>
      </c>
      <c r="D73" s="2" t="str">
        <f t="shared" si="3"/>
        <v/>
      </c>
      <c r="E73" s="2"/>
      <c r="F73" t="str">
        <f t="shared" si="4"/>
        <v/>
      </c>
      <c r="G73" t="str">
        <f t="shared" si="5"/>
        <v/>
      </c>
      <c r="H73" t="str">
        <f>IF(F73="","",VLOOKUP(F73,Validation!$A$2:$B$17,2,FALSE))</f>
        <v/>
      </c>
      <c r="I73">
        <f>INT((ROW()-2)/Settings!$B$6)+2</f>
        <v>7</v>
      </c>
      <c r="J73">
        <f>MOD(ROW()-2,Settings!$B$6)+1</f>
        <v>12</v>
      </c>
    </row>
    <row r="74" spans="1:10" x14ac:dyDescent="0.3">
      <c r="A74" t="str">
        <f>IF(OR(INDEX(Matches!$I$2:$I$25,I74-1)="",INDEX(Matches!$J$2:$J$25,I74-1)=""),"",IF(J74&lt;=INDEX(Matches!$I$2:$I$25,I74-1)+INDEX(Matches!$J$2:$J$25,I74-1),INDEX(Matches!$A$2:$A$25,I74-1),""))</f>
        <v/>
      </c>
      <c r="B74" t="str">
        <f>IF(A74="","",IF(J74&lt;=INDEX(Matches!$I$2:$I$25,I74-1),INDEX(Matches!$G$2:$G$25,I74-1),INDEX(Matches!$H$2:$H$25,I74-1)))</f>
        <v/>
      </c>
      <c r="C74" t="str">
        <f>IF(A74="","",COUNTIFS($A$2:A74,A74,$B$2:B74,B74))</f>
        <v/>
      </c>
      <c r="D74" s="2" t="str">
        <f t="shared" si="3"/>
        <v/>
      </c>
      <c r="E74" s="2"/>
      <c r="F74" t="str">
        <f t="shared" si="4"/>
        <v/>
      </c>
      <c r="G74" t="str">
        <f t="shared" si="5"/>
        <v/>
      </c>
      <c r="H74" t="str">
        <f>IF(F74="","",VLOOKUP(F74,Validation!$A$2:$B$17,2,FALSE))</f>
        <v/>
      </c>
      <c r="I74">
        <f>INT((ROW()-2)/Settings!$B$6)+2</f>
        <v>8</v>
      </c>
      <c r="J74">
        <f>MOD(ROW()-2,Settings!$B$6)+1</f>
        <v>1</v>
      </c>
    </row>
    <row r="75" spans="1:10" x14ac:dyDescent="0.3">
      <c r="A75" t="str">
        <f>IF(OR(INDEX(Matches!$I$2:$I$25,I75-1)="",INDEX(Matches!$J$2:$J$25,I75-1)=""),"",IF(J75&lt;=INDEX(Matches!$I$2:$I$25,I75-1)+INDEX(Matches!$J$2:$J$25,I75-1),INDEX(Matches!$A$2:$A$25,I75-1),""))</f>
        <v/>
      </c>
      <c r="B75" t="str">
        <f>IF(A75="","",IF(J75&lt;=INDEX(Matches!$I$2:$I$25,I75-1),INDEX(Matches!$G$2:$G$25,I75-1),INDEX(Matches!$H$2:$H$25,I75-1)))</f>
        <v/>
      </c>
      <c r="C75" t="str">
        <f>IF(A75="","",COUNTIFS($A$2:A75,A75,$B$2:B75,B75))</f>
        <v/>
      </c>
      <c r="D75" s="2" t="str">
        <f t="shared" si="3"/>
        <v/>
      </c>
      <c r="E75" s="2"/>
      <c r="F75" t="str">
        <f t="shared" si="4"/>
        <v/>
      </c>
      <c r="G75" t="str">
        <f t="shared" si="5"/>
        <v/>
      </c>
      <c r="H75" t="str">
        <f>IF(F75="","",VLOOKUP(F75,Validation!$A$2:$B$17,2,FALSE))</f>
        <v/>
      </c>
      <c r="I75">
        <f>INT((ROW()-2)/Settings!$B$6)+2</f>
        <v>8</v>
      </c>
      <c r="J75">
        <f>MOD(ROW()-2,Settings!$B$6)+1</f>
        <v>2</v>
      </c>
    </row>
    <row r="76" spans="1:10" x14ac:dyDescent="0.3">
      <c r="A76" t="str">
        <f>IF(OR(INDEX(Matches!$I$2:$I$25,I76-1)="",INDEX(Matches!$J$2:$J$25,I76-1)=""),"",IF(J76&lt;=INDEX(Matches!$I$2:$I$25,I76-1)+INDEX(Matches!$J$2:$J$25,I76-1),INDEX(Matches!$A$2:$A$25,I76-1),""))</f>
        <v/>
      </c>
      <c r="B76" t="str">
        <f>IF(A76="","",IF(J76&lt;=INDEX(Matches!$I$2:$I$25,I76-1),INDEX(Matches!$G$2:$G$25,I76-1),INDEX(Matches!$H$2:$H$25,I76-1)))</f>
        <v/>
      </c>
      <c r="C76" t="str">
        <f>IF(A76="","",COUNTIFS($A$2:A76,A76,$B$2:B76,B76))</f>
        <v/>
      </c>
      <c r="D76" s="2" t="str">
        <f t="shared" si="3"/>
        <v/>
      </c>
      <c r="E76" s="2"/>
      <c r="F76" t="str">
        <f t="shared" si="4"/>
        <v/>
      </c>
      <c r="G76" t="str">
        <f t="shared" si="5"/>
        <v/>
      </c>
      <c r="H76" t="str">
        <f>IF(F76="","",VLOOKUP(F76,Validation!$A$2:$B$17,2,FALSE))</f>
        <v/>
      </c>
      <c r="I76">
        <f>INT((ROW()-2)/Settings!$B$6)+2</f>
        <v>8</v>
      </c>
      <c r="J76">
        <f>MOD(ROW()-2,Settings!$B$6)+1</f>
        <v>3</v>
      </c>
    </row>
    <row r="77" spans="1:10" x14ac:dyDescent="0.3">
      <c r="A77" t="str">
        <f>IF(OR(INDEX(Matches!$I$2:$I$25,I77-1)="",INDEX(Matches!$J$2:$J$25,I77-1)=""),"",IF(J77&lt;=INDEX(Matches!$I$2:$I$25,I77-1)+INDEX(Matches!$J$2:$J$25,I77-1),INDEX(Matches!$A$2:$A$25,I77-1),""))</f>
        <v/>
      </c>
      <c r="B77" t="str">
        <f>IF(A77="","",IF(J77&lt;=INDEX(Matches!$I$2:$I$25,I77-1),INDEX(Matches!$G$2:$G$25,I77-1),INDEX(Matches!$H$2:$H$25,I77-1)))</f>
        <v/>
      </c>
      <c r="C77" t="str">
        <f>IF(A77="","",COUNTIFS($A$2:A77,A77,$B$2:B77,B77))</f>
        <v/>
      </c>
      <c r="D77" s="2" t="str">
        <f t="shared" si="3"/>
        <v/>
      </c>
      <c r="E77" s="2"/>
      <c r="F77" t="str">
        <f t="shared" si="4"/>
        <v/>
      </c>
      <c r="G77" t="str">
        <f t="shared" si="5"/>
        <v/>
      </c>
      <c r="H77" t="str">
        <f>IF(F77="","",VLOOKUP(F77,Validation!$A$2:$B$17,2,FALSE))</f>
        <v/>
      </c>
      <c r="I77">
        <f>INT((ROW()-2)/Settings!$B$6)+2</f>
        <v>8</v>
      </c>
      <c r="J77">
        <f>MOD(ROW()-2,Settings!$B$6)+1</f>
        <v>4</v>
      </c>
    </row>
    <row r="78" spans="1:10" x14ac:dyDescent="0.3">
      <c r="A78" t="str">
        <f>IF(OR(INDEX(Matches!$I$2:$I$25,I78-1)="",INDEX(Matches!$J$2:$J$25,I78-1)=""),"",IF(J78&lt;=INDEX(Matches!$I$2:$I$25,I78-1)+INDEX(Matches!$J$2:$J$25,I78-1),INDEX(Matches!$A$2:$A$25,I78-1),""))</f>
        <v/>
      </c>
      <c r="B78" t="str">
        <f>IF(A78="","",IF(J78&lt;=INDEX(Matches!$I$2:$I$25,I78-1),INDEX(Matches!$G$2:$G$25,I78-1),INDEX(Matches!$H$2:$H$25,I78-1)))</f>
        <v/>
      </c>
      <c r="C78" t="str">
        <f>IF(A78="","",COUNTIFS($A$2:A78,A78,$B$2:B78,B78))</f>
        <v/>
      </c>
      <c r="D78" s="2" t="str">
        <f t="shared" si="3"/>
        <v/>
      </c>
      <c r="E78" s="2"/>
      <c r="F78" t="str">
        <f t="shared" si="4"/>
        <v/>
      </c>
      <c r="G78" t="str">
        <f t="shared" si="5"/>
        <v/>
      </c>
      <c r="H78" t="str">
        <f>IF(F78="","",VLOOKUP(F78,Validation!$A$2:$B$17,2,FALSE))</f>
        <v/>
      </c>
      <c r="I78">
        <f>INT((ROW()-2)/Settings!$B$6)+2</f>
        <v>8</v>
      </c>
      <c r="J78">
        <f>MOD(ROW()-2,Settings!$B$6)+1</f>
        <v>5</v>
      </c>
    </row>
    <row r="79" spans="1:10" x14ac:dyDescent="0.3">
      <c r="A79" t="str">
        <f>IF(OR(INDEX(Matches!$I$2:$I$25,I79-1)="",INDEX(Matches!$J$2:$J$25,I79-1)=""),"",IF(J79&lt;=INDEX(Matches!$I$2:$I$25,I79-1)+INDEX(Matches!$J$2:$J$25,I79-1),INDEX(Matches!$A$2:$A$25,I79-1),""))</f>
        <v/>
      </c>
      <c r="B79" t="str">
        <f>IF(A79="","",IF(J79&lt;=INDEX(Matches!$I$2:$I$25,I79-1),INDEX(Matches!$G$2:$G$25,I79-1),INDEX(Matches!$H$2:$H$25,I79-1)))</f>
        <v/>
      </c>
      <c r="C79" t="str">
        <f>IF(A79="","",COUNTIFS($A$2:A79,A79,$B$2:B79,B79))</f>
        <v/>
      </c>
      <c r="D79" s="2" t="str">
        <f t="shared" si="3"/>
        <v/>
      </c>
      <c r="E79" s="2"/>
      <c r="F79" t="str">
        <f t="shared" si="4"/>
        <v/>
      </c>
      <c r="G79" t="str">
        <f t="shared" si="5"/>
        <v/>
      </c>
      <c r="H79" t="str">
        <f>IF(F79="","",VLOOKUP(F79,Validation!$A$2:$B$17,2,FALSE))</f>
        <v/>
      </c>
      <c r="I79">
        <f>INT((ROW()-2)/Settings!$B$6)+2</f>
        <v>8</v>
      </c>
      <c r="J79">
        <f>MOD(ROW()-2,Settings!$B$6)+1</f>
        <v>6</v>
      </c>
    </row>
    <row r="80" spans="1:10" x14ac:dyDescent="0.3">
      <c r="A80" t="str">
        <f>IF(OR(INDEX(Matches!$I$2:$I$25,I80-1)="",INDEX(Matches!$J$2:$J$25,I80-1)=""),"",IF(J80&lt;=INDEX(Matches!$I$2:$I$25,I80-1)+INDEX(Matches!$J$2:$J$25,I80-1),INDEX(Matches!$A$2:$A$25,I80-1),""))</f>
        <v/>
      </c>
      <c r="B80" t="str">
        <f>IF(A80="","",IF(J80&lt;=INDEX(Matches!$I$2:$I$25,I80-1),INDEX(Matches!$G$2:$G$25,I80-1),INDEX(Matches!$H$2:$H$25,I80-1)))</f>
        <v/>
      </c>
      <c r="C80" t="str">
        <f>IF(A80="","",COUNTIFS($A$2:A80,A80,$B$2:B80,B80))</f>
        <v/>
      </c>
      <c r="D80" s="2" t="str">
        <f t="shared" si="3"/>
        <v/>
      </c>
      <c r="E80" s="2"/>
      <c r="F80" t="str">
        <f t="shared" si="4"/>
        <v/>
      </c>
      <c r="G80" t="str">
        <f t="shared" si="5"/>
        <v/>
      </c>
      <c r="H80" t="str">
        <f>IF(F80="","",VLOOKUP(F80,Validation!$A$2:$B$17,2,FALSE))</f>
        <v/>
      </c>
      <c r="I80">
        <f>INT((ROW()-2)/Settings!$B$6)+2</f>
        <v>8</v>
      </c>
      <c r="J80">
        <f>MOD(ROW()-2,Settings!$B$6)+1</f>
        <v>7</v>
      </c>
    </row>
    <row r="81" spans="1:10" x14ac:dyDescent="0.3">
      <c r="A81" t="str">
        <f>IF(OR(INDEX(Matches!$I$2:$I$25,I81-1)="",INDEX(Matches!$J$2:$J$25,I81-1)=""),"",IF(J81&lt;=INDEX(Matches!$I$2:$I$25,I81-1)+INDEX(Matches!$J$2:$J$25,I81-1),INDEX(Matches!$A$2:$A$25,I81-1),""))</f>
        <v/>
      </c>
      <c r="B81" t="str">
        <f>IF(A81="","",IF(J81&lt;=INDEX(Matches!$I$2:$I$25,I81-1),INDEX(Matches!$G$2:$G$25,I81-1),INDEX(Matches!$H$2:$H$25,I81-1)))</f>
        <v/>
      </c>
      <c r="C81" t="str">
        <f>IF(A81="","",COUNTIFS($A$2:A81,A81,$B$2:B81,B81))</f>
        <v/>
      </c>
      <c r="D81" s="2" t="str">
        <f t="shared" si="3"/>
        <v/>
      </c>
      <c r="E81" s="2"/>
      <c r="F81" t="str">
        <f t="shared" si="4"/>
        <v/>
      </c>
      <c r="G81" t="str">
        <f t="shared" si="5"/>
        <v/>
      </c>
      <c r="H81" t="str">
        <f>IF(F81="","",VLOOKUP(F81,Validation!$A$2:$B$17,2,FALSE))</f>
        <v/>
      </c>
      <c r="I81">
        <f>INT((ROW()-2)/Settings!$B$6)+2</f>
        <v>8</v>
      </c>
      <c r="J81">
        <f>MOD(ROW()-2,Settings!$B$6)+1</f>
        <v>8</v>
      </c>
    </row>
    <row r="82" spans="1:10" x14ac:dyDescent="0.3">
      <c r="A82" t="str">
        <f>IF(OR(INDEX(Matches!$I$2:$I$25,I82-1)="",INDEX(Matches!$J$2:$J$25,I82-1)=""),"",IF(J82&lt;=INDEX(Matches!$I$2:$I$25,I82-1)+INDEX(Matches!$J$2:$J$25,I82-1),INDEX(Matches!$A$2:$A$25,I82-1),""))</f>
        <v/>
      </c>
      <c r="B82" t="str">
        <f>IF(A82="","",IF(J82&lt;=INDEX(Matches!$I$2:$I$25,I82-1),INDEX(Matches!$G$2:$G$25,I82-1),INDEX(Matches!$H$2:$H$25,I82-1)))</f>
        <v/>
      </c>
      <c r="C82" t="str">
        <f>IF(A82="","",COUNTIFS($A$2:A82,A82,$B$2:B82,B82))</f>
        <v/>
      </c>
      <c r="D82" s="2" t="str">
        <f t="shared" si="3"/>
        <v/>
      </c>
      <c r="E82" s="2"/>
      <c r="F82" t="str">
        <f t="shared" si="4"/>
        <v/>
      </c>
      <c r="G82" t="str">
        <f t="shared" si="5"/>
        <v/>
      </c>
      <c r="H82" t="str">
        <f>IF(F82="","",VLOOKUP(F82,Validation!$A$2:$B$17,2,FALSE))</f>
        <v/>
      </c>
      <c r="I82">
        <f>INT((ROW()-2)/Settings!$B$6)+2</f>
        <v>8</v>
      </c>
      <c r="J82">
        <f>MOD(ROW()-2,Settings!$B$6)+1</f>
        <v>9</v>
      </c>
    </row>
    <row r="83" spans="1:10" x14ac:dyDescent="0.3">
      <c r="A83" t="str">
        <f>IF(OR(INDEX(Matches!$I$2:$I$25,I83-1)="",INDEX(Matches!$J$2:$J$25,I83-1)=""),"",IF(J83&lt;=INDEX(Matches!$I$2:$I$25,I83-1)+INDEX(Matches!$J$2:$J$25,I83-1),INDEX(Matches!$A$2:$A$25,I83-1),""))</f>
        <v/>
      </c>
      <c r="B83" t="str">
        <f>IF(A83="","",IF(J83&lt;=INDEX(Matches!$I$2:$I$25,I83-1),INDEX(Matches!$G$2:$G$25,I83-1),INDEX(Matches!$H$2:$H$25,I83-1)))</f>
        <v/>
      </c>
      <c r="C83" t="str">
        <f>IF(A83="","",COUNTIFS($A$2:A83,A83,$B$2:B83,B83))</f>
        <v/>
      </c>
      <c r="D83" s="2" t="str">
        <f t="shared" si="3"/>
        <v/>
      </c>
      <c r="E83" s="2"/>
      <c r="F83" t="str">
        <f t="shared" si="4"/>
        <v/>
      </c>
      <c r="G83" t="str">
        <f t="shared" si="5"/>
        <v/>
      </c>
      <c r="H83" t="str">
        <f>IF(F83="","",VLOOKUP(F83,Validation!$A$2:$B$17,2,FALSE))</f>
        <v/>
      </c>
      <c r="I83">
        <f>INT((ROW()-2)/Settings!$B$6)+2</f>
        <v>8</v>
      </c>
      <c r="J83">
        <f>MOD(ROW()-2,Settings!$B$6)+1</f>
        <v>10</v>
      </c>
    </row>
    <row r="84" spans="1:10" x14ac:dyDescent="0.3">
      <c r="A84" t="str">
        <f>IF(OR(INDEX(Matches!$I$2:$I$25,I84-1)="",INDEX(Matches!$J$2:$J$25,I84-1)=""),"",IF(J84&lt;=INDEX(Matches!$I$2:$I$25,I84-1)+INDEX(Matches!$J$2:$J$25,I84-1),INDEX(Matches!$A$2:$A$25,I84-1),""))</f>
        <v/>
      </c>
      <c r="B84" t="str">
        <f>IF(A84="","",IF(J84&lt;=INDEX(Matches!$I$2:$I$25,I84-1),INDEX(Matches!$G$2:$G$25,I84-1),INDEX(Matches!$H$2:$H$25,I84-1)))</f>
        <v/>
      </c>
      <c r="C84" t="str">
        <f>IF(A84="","",COUNTIFS($A$2:A84,A84,$B$2:B84,B84))</f>
        <v/>
      </c>
      <c r="D84" s="2" t="str">
        <f t="shared" si="3"/>
        <v/>
      </c>
      <c r="E84" s="2"/>
      <c r="F84" t="str">
        <f t="shared" si="4"/>
        <v/>
      </c>
      <c r="G84" t="str">
        <f t="shared" si="5"/>
        <v/>
      </c>
      <c r="H84" t="str">
        <f>IF(F84="","",VLOOKUP(F84,Validation!$A$2:$B$17,2,FALSE))</f>
        <v/>
      </c>
      <c r="I84">
        <f>INT((ROW()-2)/Settings!$B$6)+2</f>
        <v>8</v>
      </c>
      <c r="J84">
        <f>MOD(ROW()-2,Settings!$B$6)+1</f>
        <v>11</v>
      </c>
    </row>
    <row r="85" spans="1:10" x14ac:dyDescent="0.3">
      <c r="A85" t="str">
        <f>IF(OR(INDEX(Matches!$I$2:$I$25,I85-1)="",INDEX(Matches!$J$2:$J$25,I85-1)=""),"",IF(J85&lt;=INDEX(Matches!$I$2:$I$25,I85-1)+INDEX(Matches!$J$2:$J$25,I85-1),INDEX(Matches!$A$2:$A$25,I85-1),""))</f>
        <v/>
      </c>
      <c r="B85" t="str">
        <f>IF(A85="","",IF(J85&lt;=INDEX(Matches!$I$2:$I$25,I85-1),INDEX(Matches!$G$2:$G$25,I85-1),INDEX(Matches!$H$2:$H$25,I85-1)))</f>
        <v/>
      </c>
      <c r="C85" t="str">
        <f>IF(A85="","",COUNTIFS($A$2:A85,A85,$B$2:B85,B85))</f>
        <v/>
      </c>
      <c r="D85" s="2" t="str">
        <f t="shared" si="3"/>
        <v/>
      </c>
      <c r="E85" s="2"/>
      <c r="F85" t="str">
        <f t="shared" si="4"/>
        <v/>
      </c>
      <c r="G85" t="str">
        <f t="shared" si="5"/>
        <v/>
      </c>
      <c r="H85" t="str">
        <f>IF(F85="","",VLOOKUP(F85,Validation!$A$2:$B$17,2,FALSE))</f>
        <v/>
      </c>
      <c r="I85">
        <f>INT((ROW()-2)/Settings!$B$6)+2</f>
        <v>8</v>
      </c>
      <c r="J85">
        <f>MOD(ROW()-2,Settings!$B$6)+1</f>
        <v>12</v>
      </c>
    </row>
    <row r="86" spans="1:10" x14ac:dyDescent="0.3">
      <c r="A86" t="str">
        <f>IF(OR(INDEX(Matches!$I$2:$I$25,I86-1)="",INDEX(Matches!$J$2:$J$25,I86-1)=""),"",IF(J86&lt;=INDEX(Matches!$I$2:$I$25,I86-1)+INDEX(Matches!$J$2:$J$25,I86-1),INDEX(Matches!$A$2:$A$25,I86-1),""))</f>
        <v/>
      </c>
      <c r="B86" t="str">
        <f>IF(A86="","",IF(J86&lt;=INDEX(Matches!$I$2:$I$25,I86-1),INDEX(Matches!$G$2:$G$25,I86-1),INDEX(Matches!$H$2:$H$25,I86-1)))</f>
        <v/>
      </c>
      <c r="C86" t="str">
        <f>IF(A86="","",COUNTIFS($A$2:A86,A86,$B$2:B86,B86))</f>
        <v/>
      </c>
      <c r="D86" s="2" t="str">
        <f t="shared" si="3"/>
        <v/>
      </c>
      <c r="E86" s="2"/>
      <c r="F86" t="str">
        <f t="shared" si="4"/>
        <v/>
      </c>
      <c r="G86" t="str">
        <f t="shared" si="5"/>
        <v/>
      </c>
      <c r="H86" t="str">
        <f>IF(F86="","",VLOOKUP(F86,Validation!$A$2:$B$17,2,FALSE))</f>
        <v/>
      </c>
      <c r="I86">
        <f>INT((ROW()-2)/Settings!$B$6)+2</f>
        <v>9</v>
      </c>
      <c r="J86">
        <f>MOD(ROW()-2,Settings!$B$6)+1</f>
        <v>1</v>
      </c>
    </row>
    <row r="87" spans="1:10" x14ac:dyDescent="0.3">
      <c r="A87" t="str">
        <f>IF(OR(INDEX(Matches!$I$2:$I$25,I87-1)="",INDEX(Matches!$J$2:$J$25,I87-1)=""),"",IF(J87&lt;=INDEX(Matches!$I$2:$I$25,I87-1)+INDEX(Matches!$J$2:$J$25,I87-1),INDEX(Matches!$A$2:$A$25,I87-1),""))</f>
        <v/>
      </c>
      <c r="B87" t="str">
        <f>IF(A87="","",IF(J87&lt;=INDEX(Matches!$I$2:$I$25,I87-1),INDEX(Matches!$G$2:$G$25,I87-1),INDEX(Matches!$H$2:$H$25,I87-1)))</f>
        <v/>
      </c>
      <c r="C87" t="str">
        <f>IF(A87="","",COUNTIFS($A$2:A87,A87,$B$2:B87,B87))</f>
        <v/>
      </c>
      <c r="D87" s="2" t="str">
        <f t="shared" si="3"/>
        <v/>
      </c>
      <c r="E87" s="2"/>
      <c r="F87" t="str">
        <f t="shared" si="4"/>
        <v/>
      </c>
      <c r="G87" t="str">
        <f t="shared" si="5"/>
        <v/>
      </c>
      <c r="H87" t="str">
        <f>IF(F87="","",VLOOKUP(F87,Validation!$A$2:$B$17,2,FALSE))</f>
        <v/>
      </c>
      <c r="I87">
        <f>INT((ROW()-2)/Settings!$B$6)+2</f>
        <v>9</v>
      </c>
      <c r="J87">
        <f>MOD(ROW()-2,Settings!$B$6)+1</f>
        <v>2</v>
      </c>
    </row>
    <row r="88" spans="1:10" x14ac:dyDescent="0.3">
      <c r="A88" t="str">
        <f>IF(OR(INDEX(Matches!$I$2:$I$25,I88-1)="",INDEX(Matches!$J$2:$J$25,I88-1)=""),"",IF(J88&lt;=INDEX(Matches!$I$2:$I$25,I88-1)+INDEX(Matches!$J$2:$J$25,I88-1),INDEX(Matches!$A$2:$A$25,I88-1),""))</f>
        <v/>
      </c>
      <c r="B88" t="str">
        <f>IF(A88="","",IF(J88&lt;=INDEX(Matches!$I$2:$I$25,I88-1),INDEX(Matches!$G$2:$G$25,I88-1),INDEX(Matches!$H$2:$H$25,I88-1)))</f>
        <v/>
      </c>
      <c r="C88" t="str">
        <f>IF(A88="","",COUNTIFS($A$2:A88,A88,$B$2:B88,B88))</f>
        <v/>
      </c>
      <c r="D88" s="2" t="str">
        <f t="shared" si="3"/>
        <v/>
      </c>
      <c r="E88" s="2"/>
      <c r="F88" t="str">
        <f t="shared" si="4"/>
        <v/>
      </c>
      <c r="G88" t="str">
        <f t="shared" si="5"/>
        <v/>
      </c>
      <c r="H88" t="str">
        <f>IF(F88="","",VLOOKUP(F88,Validation!$A$2:$B$17,2,FALSE))</f>
        <v/>
      </c>
      <c r="I88">
        <f>INT((ROW()-2)/Settings!$B$6)+2</f>
        <v>9</v>
      </c>
      <c r="J88">
        <f>MOD(ROW()-2,Settings!$B$6)+1</f>
        <v>3</v>
      </c>
    </row>
    <row r="89" spans="1:10" x14ac:dyDescent="0.3">
      <c r="A89" t="str">
        <f>IF(OR(INDEX(Matches!$I$2:$I$25,I89-1)="",INDEX(Matches!$J$2:$J$25,I89-1)=""),"",IF(J89&lt;=INDEX(Matches!$I$2:$I$25,I89-1)+INDEX(Matches!$J$2:$J$25,I89-1),INDEX(Matches!$A$2:$A$25,I89-1),""))</f>
        <v/>
      </c>
      <c r="B89" t="str">
        <f>IF(A89="","",IF(J89&lt;=INDEX(Matches!$I$2:$I$25,I89-1),INDEX(Matches!$G$2:$G$25,I89-1),INDEX(Matches!$H$2:$H$25,I89-1)))</f>
        <v/>
      </c>
      <c r="C89" t="str">
        <f>IF(A89="","",COUNTIFS($A$2:A89,A89,$B$2:B89,B89))</f>
        <v/>
      </c>
      <c r="D89" s="2" t="str">
        <f t="shared" si="3"/>
        <v/>
      </c>
      <c r="E89" s="2"/>
      <c r="F89" t="str">
        <f t="shared" si="4"/>
        <v/>
      </c>
      <c r="G89" t="str">
        <f t="shared" si="5"/>
        <v/>
      </c>
      <c r="H89" t="str">
        <f>IF(F89="","",VLOOKUP(F89,Validation!$A$2:$B$17,2,FALSE))</f>
        <v/>
      </c>
      <c r="I89">
        <f>INT((ROW()-2)/Settings!$B$6)+2</f>
        <v>9</v>
      </c>
      <c r="J89">
        <f>MOD(ROW()-2,Settings!$B$6)+1</f>
        <v>4</v>
      </c>
    </row>
    <row r="90" spans="1:10" x14ac:dyDescent="0.3">
      <c r="A90" t="str">
        <f>IF(OR(INDEX(Matches!$I$2:$I$25,I90-1)="",INDEX(Matches!$J$2:$J$25,I90-1)=""),"",IF(J90&lt;=INDEX(Matches!$I$2:$I$25,I90-1)+INDEX(Matches!$J$2:$J$25,I90-1),INDEX(Matches!$A$2:$A$25,I90-1),""))</f>
        <v/>
      </c>
      <c r="B90" t="str">
        <f>IF(A90="","",IF(J90&lt;=INDEX(Matches!$I$2:$I$25,I90-1),INDEX(Matches!$G$2:$G$25,I90-1),INDEX(Matches!$H$2:$H$25,I90-1)))</f>
        <v/>
      </c>
      <c r="C90" t="str">
        <f>IF(A90="","",COUNTIFS($A$2:A90,A90,$B$2:B90,B90))</f>
        <v/>
      </c>
      <c r="D90" s="2" t="str">
        <f t="shared" si="3"/>
        <v/>
      </c>
      <c r="E90" s="2"/>
      <c r="F90" t="str">
        <f t="shared" si="4"/>
        <v/>
      </c>
      <c r="G90" t="str">
        <f t="shared" si="5"/>
        <v/>
      </c>
      <c r="H90" t="str">
        <f>IF(F90="","",VLOOKUP(F90,Validation!$A$2:$B$17,2,FALSE))</f>
        <v/>
      </c>
      <c r="I90">
        <f>INT((ROW()-2)/Settings!$B$6)+2</f>
        <v>9</v>
      </c>
      <c r="J90">
        <f>MOD(ROW()-2,Settings!$B$6)+1</f>
        <v>5</v>
      </c>
    </row>
    <row r="91" spans="1:10" x14ac:dyDescent="0.3">
      <c r="A91" t="str">
        <f>IF(OR(INDEX(Matches!$I$2:$I$25,I91-1)="",INDEX(Matches!$J$2:$J$25,I91-1)=""),"",IF(J91&lt;=INDEX(Matches!$I$2:$I$25,I91-1)+INDEX(Matches!$J$2:$J$25,I91-1),INDEX(Matches!$A$2:$A$25,I91-1),""))</f>
        <v/>
      </c>
      <c r="B91" t="str">
        <f>IF(A91="","",IF(J91&lt;=INDEX(Matches!$I$2:$I$25,I91-1),INDEX(Matches!$G$2:$G$25,I91-1),INDEX(Matches!$H$2:$H$25,I91-1)))</f>
        <v/>
      </c>
      <c r="C91" t="str">
        <f>IF(A91="","",COUNTIFS($A$2:A91,A91,$B$2:B91,B91))</f>
        <v/>
      </c>
      <c r="D91" s="2" t="str">
        <f t="shared" si="3"/>
        <v/>
      </c>
      <c r="E91" s="2"/>
      <c r="F91" t="str">
        <f t="shared" si="4"/>
        <v/>
      </c>
      <c r="G91" t="str">
        <f t="shared" si="5"/>
        <v/>
      </c>
      <c r="H91" t="str">
        <f>IF(F91="","",VLOOKUP(F91,Validation!$A$2:$B$17,2,FALSE))</f>
        <v/>
      </c>
      <c r="I91">
        <f>INT((ROW()-2)/Settings!$B$6)+2</f>
        <v>9</v>
      </c>
      <c r="J91">
        <f>MOD(ROW()-2,Settings!$B$6)+1</f>
        <v>6</v>
      </c>
    </row>
    <row r="92" spans="1:10" x14ac:dyDescent="0.3">
      <c r="A92" t="str">
        <f>IF(OR(INDEX(Matches!$I$2:$I$25,I92-1)="",INDEX(Matches!$J$2:$J$25,I92-1)=""),"",IF(J92&lt;=INDEX(Matches!$I$2:$I$25,I92-1)+INDEX(Matches!$J$2:$J$25,I92-1),INDEX(Matches!$A$2:$A$25,I92-1),""))</f>
        <v/>
      </c>
      <c r="B92" t="str">
        <f>IF(A92="","",IF(J92&lt;=INDEX(Matches!$I$2:$I$25,I92-1),INDEX(Matches!$G$2:$G$25,I92-1),INDEX(Matches!$H$2:$H$25,I92-1)))</f>
        <v/>
      </c>
      <c r="C92" t="str">
        <f>IF(A92="","",COUNTIFS($A$2:A92,A92,$B$2:B92,B92))</f>
        <v/>
      </c>
      <c r="D92" s="2" t="str">
        <f t="shared" si="3"/>
        <v/>
      </c>
      <c r="E92" s="2"/>
      <c r="F92" t="str">
        <f t="shared" si="4"/>
        <v/>
      </c>
      <c r="G92" t="str">
        <f t="shared" si="5"/>
        <v/>
      </c>
      <c r="H92" t="str">
        <f>IF(F92="","",VLOOKUP(F92,Validation!$A$2:$B$17,2,FALSE))</f>
        <v/>
      </c>
      <c r="I92">
        <f>INT((ROW()-2)/Settings!$B$6)+2</f>
        <v>9</v>
      </c>
      <c r="J92">
        <f>MOD(ROW()-2,Settings!$B$6)+1</f>
        <v>7</v>
      </c>
    </row>
    <row r="93" spans="1:10" x14ac:dyDescent="0.3">
      <c r="A93" t="str">
        <f>IF(OR(INDEX(Matches!$I$2:$I$25,I93-1)="",INDEX(Matches!$J$2:$J$25,I93-1)=""),"",IF(J93&lt;=INDEX(Matches!$I$2:$I$25,I93-1)+INDEX(Matches!$J$2:$J$25,I93-1),INDEX(Matches!$A$2:$A$25,I93-1),""))</f>
        <v/>
      </c>
      <c r="B93" t="str">
        <f>IF(A93="","",IF(J93&lt;=INDEX(Matches!$I$2:$I$25,I93-1),INDEX(Matches!$G$2:$G$25,I93-1),INDEX(Matches!$H$2:$H$25,I93-1)))</f>
        <v/>
      </c>
      <c r="C93" t="str">
        <f>IF(A93="","",COUNTIFS($A$2:A93,A93,$B$2:B93,B93))</f>
        <v/>
      </c>
      <c r="D93" s="2" t="str">
        <f t="shared" si="3"/>
        <v/>
      </c>
      <c r="E93" s="2"/>
      <c r="F93" t="str">
        <f t="shared" si="4"/>
        <v/>
      </c>
      <c r="G93" t="str">
        <f t="shared" si="5"/>
        <v/>
      </c>
      <c r="H93" t="str">
        <f>IF(F93="","",VLOOKUP(F93,Validation!$A$2:$B$17,2,FALSE))</f>
        <v/>
      </c>
      <c r="I93">
        <f>INT((ROW()-2)/Settings!$B$6)+2</f>
        <v>9</v>
      </c>
      <c r="J93">
        <f>MOD(ROW()-2,Settings!$B$6)+1</f>
        <v>8</v>
      </c>
    </row>
    <row r="94" spans="1:10" x14ac:dyDescent="0.3">
      <c r="A94" t="str">
        <f>IF(OR(INDEX(Matches!$I$2:$I$25,I94-1)="",INDEX(Matches!$J$2:$J$25,I94-1)=""),"",IF(J94&lt;=INDEX(Matches!$I$2:$I$25,I94-1)+INDEX(Matches!$J$2:$J$25,I94-1),INDEX(Matches!$A$2:$A$25,I94-1),""))</f>
        <v/>
      </c>
      <c r="B94" t="str">
        <f>IF(A94="","",IF(J94&lt;=INDEX(Matches!$I$2:$I$25,I94-1),INDEX(Matches!$G$2:$G$25,I94-1),INDEX(Matches!$H$2:$H$25,I94-1)))</f>
        <v/>
      </c>
      <c r="C94" t="str">
        <f>IF(A94="","",COUNTIFS($A$2:A94,A94,$B$2:B94,B94))</f>
        <v/>
      </c>
      <c r="D94" s="2" t="str">
        <f t="shared" si="3"/>
        <v/>
      </c>
      <c r="E94" s="2"/>
      <c r="F94" t="str">
        <f t="shared" si="4"/>
        <v/>
      </c>
      <c r="G94" t="str">
        <f t="shared" si="5"/>
        <v/>
      </c>
      <c r="H94" t="str">
        <f>IF(F94="","",VLOOKUP(F94,Validation!$A$2:$B$17,2,FALSE))</f>
        <v/>
      </c>
      <c r="I94">
        <f>INT((ROW()-2)/Settings!$B$6)+2</f>
        <v>9</v>
      </c>
      <c r="J94">
        <f>MOD(ROW()-2,Settings!$B$6)+1</f>
        <v>9</v>
      </c>
    </row>
    <row r="95" spans="1:10" x14ac:dyDescent="0.3">
      <c r="A95" t="str">
        <f>IF(OR(INDEX(Matches!$I$2:$I$25,I95-1)="",INDEX(Matches!$J$2:$J$25,I95-1)=""),"",IF(J95&lt;=INDEX(Matches!$I$2:$I$25,I95-1)+INDEX(Matches!$J$2:$J$25,I95-1),INDEX(Matches!$A$2:$A$25,I95-1),""))</f>
        <v/>
      </c>
      <c r="B95" t="str">
        <f>IF(A95="","",IF(J95&lt;=INDEX(Matches!$I$2:$I$25,I95-1),INDEX(Matches!$G$2:$G$25,I95-1),INDEX(Matches!$H$2:$H$25,I95-1)))</f>
        <v/>
      </c>
      <c r="C95" t="str">
        <f>IF(A95="","",COUNTIFS($A$2:A95,A95,$B$2:B95,B95))</f>
        <v/>
      </c>
      <c r="D95" s="2" t="str">
        <f t="shared" si="3"/>
        <v/>
      </c>
      <c r="E95" s="2"/>
      <c r="F95" t="str">
        <f t="shared" si="4"/>
        <v/>
      </c>
      <c r="G95" t="str">
        <f t="shared" si="5"/>
        <v/>
      </c>
      <c r="H95" t="str">
        <f>IF(F95="","",VLOOKUP(F95,Validation!$A$2:$B$17,2,FALSE))</f>
        <v/>
      </c>
      <c r="I95">
        <f>INT((ROW()-2)/Settings!$B$6)+2</f>
        <v>9</v>
      </c>
      <c r="J95">
        <f>MOD(ROW()-2,Settings!$B$6)+1</f>
        <v>10</v>
      </c>
    </row>
    <row r="96" spans="1:10" x14ac:dyDescent="0.3">
      <c r="A96" t="str">
        <f>IF(OR(INDEX(Matches!$I$2:$I$25,I96-1)="",INDEX(Matches!$J$2:$J$25,I96-1)=""),"",IF(J96&lt;=INDEX(Matches!$I$2:$I$25,I96-1)+INDEX(Matches!$J$2:$J$25,I96-1),INDEX(Matches!$A$2:$A$25,I96-1),""))</f>
        <v/>
      </c>
      <c r="B96" t="str">
        <f>IF(A96="","",IF(J96&lt;=INDEX(Matches!$I$2:$I$25,I96-1),INDEX(Matches!$G$2:$G$25,I96-1),INDEX(Matches!$H$2:$H$25,I96-1)))</f>
        <v/>
      </c>
      <c r="C96" t="str">
        <f>IF(A96="","",COUNTIFS($A$2:A96,A96,$B$2:B96,B96))</f>
        <v/>
      </c>
      <c r="D96" s="2" t="str">
        <f t="shared" si="3"/>
        <v/>
      </c>
      <c r="E96" s="2"/>
      <c r="F96" t="str">
        <f t="shared" si="4"/>
        <v/>
      </c>
      <c r="G96" t="str">
        <f t="shared" si="5"/>
        <v/>
      </c>
      <c r="H96" t="str">
        <f>IF(F96="","",VLOOKUP(F96,Validation!$A$2:$B$17,2,FALSE))</f>
        <v/>
      </c>
      <c r="I96">
        <f>INT((ROW()-2)/Settings!$B$6)+2</f>
        <v>9</v>
      </c>
      <c r="J96">
        <f>MOD(ROW()-2,Settings!$B$6)+1</f>
        <v>11</v>
      </c>
    </row>
    <row r="97" spans="1:10" x14ac:dyDescent="0.3">
      <c r="A97" t="str">
        <f>IF(OR(INDEX(Matches!$I$2:$I$25,I97-1)="",INDEX(Matches!$J$2:$J$25,I97-1)=""),"",IF(J97&lt;=INDEX(Matches!$I$2:$I$25,I97-1)+INDEX(Matches!$J$2:$J$25,I97-1),INDEX(Matches!$A$2:$A$25,I97-1),""))</f>
        <v/>
      </c>
      <c r="B97" t="str">
        <f>IF(A97="","",IF(J97&lt;=INDEX(Matches!$I$2:$I$25,I97-1),INDEX(Matches!$G$2:$G$25,I97-1),INDEX(Matches!$H$2:$H$25,I97-1)))</f>
        <v/>
      </c>
      <c r="C97" t="str">
        <f>IF(A97="","",COUNTIFS($A$2:A97,A97,$B$2:B97,B97))</f>
        <v/>
      </c>
      <c r="D97" s="2" t="str">
        <f t="shared" si="3"/>
        <v/>
      </c>
      <c r="E97" s="2"/>
      <c r="F97" t="str">
        <f t="shared" si="4"/>
        <v/>
      </c>
      <c r="G97" t="str">
        <f t="shared" si="5"/>
        <v/>
      </c>
      <c r="H97" t="str">
        <f>IF(F97="","",VLOOKUP(F97,Validation!$A$2:$B$17,2,FALSE))</f>
        <v/>
      </c>
      <c r="I97">
        <f>INT((ROW()-2)/Settings!$B$6)+2</f>
        <v>9</v>
      </c>
      <c r="J97">
        <f>MOD(ROW()-2,Settings!$B$6)+1</f>
        <v>12</v>
      </c>
    </row>
    <row r="98" spans="1:10" x14ac:dyDescent="0.3">
      <c r="A98" t="str">
        <f>IF(OR(INDEX(Matches!$I$2:$I$25,I98-1)="",INDEX(Matches!$J$2:$J$25,I98-1)=""),"",IF(J98&lt;=INDEX(Matches!$I$2:$I$25,I98-1)+INDEX(Matches!$J$2:$J$25,I98-1),INDEX(Matches!$A$2:$A$25,I98-1),""))</f>
        <v/>
      </c>
      <c r="B98" t="str">
        <f>IF(A98="","",IF(J98&lt;=INDEX(Matches!$I$2:$I$25,I98-1),INDEX(Matches!$G$2:$G$25,I98-1),INDEX(Matches!$H$2:$H$25,I98-1)))</f>
        <v/>
      </c>
      <c r="C98" t="str">
        <f>IF(A98="","",COUNTIFS($A$2:A98,A98,$B$2:B98,B98))</f>
        <v/>
      </c>
      <c r="D98" s="2" t="str">
        <f t="shared" si="3"/>
        <v/>
      </c>
      <c r="E98" s="2"/>
      <c r="F98" t="str">
        <f t="shared" si="4"/>
        <v/>
      </c>
      <c r="G98" t="str">
        <f t="shared" si="5"/>
        <v/>
      </c>
      <c r="H98" t="str">
        <f>IF(F98="","",VLOOKUP(F98,Validation!$A$2:$B$17,2,FALSE))</f>
        <v/>
      </c>
      <c r="I98">
        <f>INT((ROW()-2)/Settings!$B$6)+2</f>
        <v>10</v>
      </c>
      <c r="J98">
        <f>MOD(ROW()-2,Settings!$B$6)+1</f>
        <v>1</v>
      </c>
    </row>
    <row r="99" spans="1:10" x14ac:dyDescent="0.3">
      <c r="A99" t="str">
        <f>IF(OR(INDEX(Matches!$I$2:$I$25,I99-1)="",INDEX(Matches!$J$2:$J$25,I99-1)=""),"",IF(J99&lt;=INDEX(Matches!$I$2:$I$25,I99-1)+INDEX(Matches!$J$2:$J$25,I99-1),INDEX(Matches!$A$2:$A$25,I99-1),""))</f>
        <v/>
      </c>
      <c r="B99" t="str">
        <f>IF(A99="","",IF(J99&lt;=INDEX(Matches!$I$2:$I$25,I99-1),INDEX(Matches!$G$2:$G$25,I99-1),INDEX(Matches!$H$2:$H$25,I99-1)))</f>
        <v/>
      </c>
      <c r="C99" t="str">
        <f>IF(A99="","",COUNTIFS($A$2:A99,A99,$B$2:B99,B99))</f>
        <v/>
      </c>
      <c r="D99" s="2" t="str">
        <f t="shared" si="3"/>
        <v/>
      </c>
      <c r="E99" s="2"/>
      <c r="F99" t="str">
        <f t="shared" si="4"/>
        <v/>
      </c>
      <c r="G99" t="str">
        <f t="shared" si="5"/>
        <v/>
      </c>
      <c r="H99" t="str">
        <f>IF(F99="","",VLOOKUP(F99,Validation!$A$2:$B$17,2,FALSE))</f>
        <v/>
      </c>
      <c r="I99">
        <f>INT((ROW()-2)/Settings!$B$6)+2</f>
        <v>10</v>
      </c>
      <c r="J99">
        <f>MOD(ROW()-2,Settings!$B$6)+1</f>
        <v>2</v>
      </c>
    </row>
    <row r="100" spans="1:10" x14ac:dyDescent="0.3">
      <c r="A100" t="str">
        <f>IF(OR(INDEX(Matches!$I$2:$I$25,I100-1)="",INDEX(Matches!$J$2:$J$25,I100-1)=""),"",IF(J100&lt;=INDEX(Matches!$I$2:$I$25,I100-1)+INDEX(Matches!$J$2:$J$25,I100-1),INDEX(Matches!$A$2:$A$25,I100-1),""))</f>
        <v/>
      </c>
      <c r="B100" t="str">
        <f>IF(A100="","",IF(J100&lt;=INDEX(Matches!$I$2:$I$25,I100-1),INDEX(Matches!$G$2:$G$25,I100-1),INDEX(Matches!$H$2:$H$25,I100-1)))</f>
        <v/>
      </c>
      <c r="C100" t="str">
        <f>IF(A100="","",COUNTIFS($A$2:A100,A100,$B$2:B100,B100))</f>
        <v/>
      </c>
      <c r="D100" s="2" t="str">
        <f t="shared" si="3"/>
        <v/>
      </c>
      <c r="E100" s="2"/>
      <c r="F100" t="str">
        <f t="shared" si="4"/>
        <v/>
      </c>
      <c r="G100" t="str">
        <f t="shared" si="5"/>
        <v/>
      </c>
      <c r="H100" t="str">
        <f>IF(F100="","",VLOOKUP(F100,Validation!$A$2:$B$17,2,FALSE))</f>
        <v/>
      </c>
      <c r="I100">
        <f>INT((ROW()-2)/Settings!$B$6)+2</f>
        <v>10</v>
      </c>
      <c r="J100">
        <f>MOD(ROW()-2,Settings!$B$6)+1</f>
        <v>3</v>
      </c>
    </row>
    <row r="101" spans="1:10" x14ac:dyDescent="0.3">
      <c r="A101" t="str">
        <f>IF(OR(INDEX(Matches!$I$2:$I$25,I101-1)="",INDEX(Matches!$J$2:$J$25,I101-1)=""),"",IF(J101&lt;=INDEX(Matches!$I$2:$I$25,I101-1)+INDEX(Matches!$J$2:$J$25,I101-1),INDEX(Matches!$A$2:$A$25,I101-1),""))</f>
        <v/>
      </c>
      <c r="B101" t="str">
        <f>IF(A101="","",IF(J101&lt;=INDEX(Matches!$I$2:$I$25,I101-1),INDEX(Matches!$G$2:$G$25,I101-1),INDEX(Matches!$H$2:$H$25,I101-1)))</f>
        <v/>
      </c>
      <c r="C101" t="str">
        <f>IF(A101="","",COUNTIFS($A$2:A101,A101,$B$2:B101,B101))</f>
        <v/>
      </c>
      <c r="D101" s="2" t="str">
        <f t="shared" si="3"/>
        <v/>
      </c>
      <c r="E101" s="2"/>
      <c r="F101" t="str">
        <f t="shared" si="4"/>
        <v/>
      </c>
      <c r="G101" t="str">
        <f t="shared" si="5"/>
        <v/>
      </c>
      <c r="H101" t="str">
        <f>IF(F101="","",VLOOKUP(F101,Validation!$A$2:$B$17,2,FALSE))</f>
        <v/>
      </c>
      <c r="I101">
        <f>INT((ROW()-2)/Settings!$B$6)+2</f>
        <v>10</v>
      </c>
      <c r="J101">
        <f>MOD(ROW()-2,Settings!$B$6)+1</f>
        <v>4</v>
      </c>
    </row>
    <row r="102" spans="1:10" x14ac:dyDescent="0.3">
      <c r="A102" t="str">
        <f>IF(OR(INDEX(Matches!$I$2:$I$25,I102-1)="",INDEX(Matches!$J$2:$J$25,I102-1)=""),"",IF(J102&lt;=INDEX(Matches!$I$2:$I$25,I102-1)+INDEX(Matches!$J$2:$J$25,I102-1),INDEX(Matches!$A$2:$A$25,I102-1),""))</f>
        <v/>
      </c>
      <c r="B102" t="str">
        <f>IF(A102="","",IF(J102&lt;=INDEX(Matches!$I$2:$I$25,I102-1),INDEX(Matches!$G$2:$G$25,I102-1),INDEX(Matches!$H$2:$H$25,I102-1)))</f>
        <v/>
      </c>
      <c r="C102" t="str">
        <f>IF(A102="","",COUNTIFS($A$2:A102,A102,$B$2:B102,B102))</f>
        <v/>
      </c>
      <c r="D102" s="2" t="str">
        <f t="shared" si="3"/>
        <v/>
      </c>
      <c r="E102" s="2"/>
      <c r="F102" t="str">
        <f t="shared" si="4"/>
        <v/>
      </c>
      <c r="G102" t="str">
        <f t="shared" si="5"/>
        <v/>
      </c>
      <c r="H102" t="str">
        <f>IF(F102="","",VLOOKUP(F102,Validation!$A$2:$B$17,2,FALSE))</f>
        <v/>
      </c>
      <c r="I102">
        <f>INT((ROW()-2)/Settings!$B$6)+2</f>
        <v>10</v>
      </c>
      <c r="J102">
        <f>MOD(ROW()-2,Settings!$B$6)+1</f>
        <v>5</v>
      </c>
    </row>
    <row r="103" spans="1:10" x14ac:dyDescent="0.3">
      <c r="A103" t="str">
        <f>IF(OR(INDEX(Matches!$I$2:$I$25,I103-1)="",INDEX(Matches!$J$2:$J$25,I103-1)=""),"",IF(J103&lt;=INDEX(Matches!$I$2:$I$25,I103-1)+INDEX(Matches!$J$2:$J$25,I103-1),INDEX(Matches!$A$2:$A$25,I103-1),""))</f>
        <v/>
      </c>
      <c r="B103" t="str">
        <f>IF(A103="","",IF(J103&lt;=INDEX(Matches!$I$2:$I$25,I103-1),INDEX(Matches!$G$2:$G$25,I103-1),INDEX(Matches!$H$2:$H$25,I103-1)))</f>
        <v/>
      </c>
      <c r="C103" t="str">
        <f>IF(A103="","",COUNTIFS($A$2:A103,A103,$B$2:B103,B103))</f>
        <v/>
      </c>
      <c r="D103" s="2" t="str">
        <f t="shared" si="3"/>
        <v/>
      </c>
      <c r="E103" s="2"/>
      <c r="F103" t="str">
        <f t="shared" si="4"/>
        <v/>
      </c>
      <c r="G103" t="str">
        <f t="shared" si="5"/>
        <v/>
      </c>
      <c r="H103" t="str">
        <f>IF(F103="","",VLOOKUP(F103,Validation!$A$2:$B$17,2,FALSE))</f>
        <v/>
      </c>
      <c r="I103">
        <f>INT((ROW()-2)/Settings!$B$6)+2</f>
        <v>10</v>
      </c>
      <c r="J103">
        <f>MOD(ROW()-2,Settings!$B$6)+1</f>
        <v>6</v>
      </c>
    </row>
    <row r="104" spans="1:10" x14ac:dyDescent="0.3">
      <c r="A104" t="str">
        <f>IF(OR(INDEX(Matches!$I$2:$I$25,I104-1)="",INDEX(Matches!$J$2:$J$25,I104-1)=""),"",IF(J104&lt;=INDEX(Matches!$I$2:$I$25,I104-1)+INDEX(Matches!$J$2:$J$25,I104-1),INDEX(Matches!$A$2:$A$25,I104-1),""))</f>
        <v/>
      </c>
      <c r="B104" t="str">
        <f>IF(A104="","",IF(J104&lt;=INDEX(Matches!$I$2:$I$25,I104-1),INDEX(Matches!$G$2:$G$25,I104-1),INDEX(Matches!$H$2:$H$25,I104-1)))</f>
        <v/>
      </c>
      <c r="C104" t="str">
        <f>IF(A104="","",COUNTIFS($A$2:A104,A104,$B$2:B104,B104))</f>
        <v/>
      </c>
      <c r="D104" s="2" t="str">
        <f t="shared" si="3"/>
        <v/>
      </c>
      <c r="E104" s="2"/>
      <c r="F104" t="str">
        <f t="shared" si="4"/>
        <v/>
      </c>
      <c r="G104" t="str">
        <f t="shared" si="5"/>
        <v/>
      </c>
      <c r="H104" t="str">
        <f>IF(F104="","",VLOOKUP(F104,Validation!$A$2:$B$17,2,FALSE))</f>
        <v/>
      </c>
      <c r="I104">
        <f>INT((ROW()-2)/Settings!$B$6)+2</f>
        <v>10</v>
      </c>
      <c r="J104">
        <f>MOD(ROW()-2,Settings!$B$6)+1</f>
        <v>7</v>
      </c>
    </row>
    <row r="105" spans="1:10" x14ac:dyDescent="0.3">
      <c r="A105" t="str">
        <f>IF(OR(INDEX(Matches!$I$2:$I$25,I105-1)="",INDEX(Matches!$J$2:$J$25,I105-1)=""),"",IF(J105&lt;=INDEX(Matches!$I$2:$I$25,I105-1)+INDEX(Matches!$J$2:$J$25,I105-1),INDEX(Matches!$A$2:$A$25,I105-1),""))</f>
        <v/>
      </c>
      <c r="B105" t="str">
        <f>IF(A105="","",IF(J105&lt;=INDEX(Matches!$I$2:$I$25,I105-1),INDEX(Matches!$G$2:$G$25,I105-1),INDEX(Matches!$H$2:$H$25,I105-1)))</f>
        <v/>
      </c>
      <c r="C105" t="str">
        <f>IF(A105="","",COUNTIFS($A$2:A105,A105,$B$2:B105,B105))</f>
        <v/>
      </c>
      <c r="D105" s="2" t="str">
        <f t="shared" si="3"/>
        <v/>
      </c>
      <c r="E105" s="2"/>
      <c r="F105" t="str">
        <f t="shared" si="4"/>
        <v/>
      </c>
      <c r="G105" t="str">
        <f t="shared" si="5"/>
        <v/>
      </c>
      <c r="H105" t="str">
        <f>IF(F105="","",VLOOKUP(F105,Validation!$A$2:$B$17,2,FALSE))</f>
        <v/>
      </c>
      <c r="I105">
        <f>INT((ROW()-2)/Settings!$B$6)+2</f>
        <v>10</v>
      </c>
      <c r="J105">
        <f>MOD(ROW()-2,Settings!$B$6)+1</f>
        <v>8</v>
      </c>
    </row>
    <row r="106" spans="1:10" x14ac:dyDescent="0.3">
      <c r="A106" t="str">
        <f>IF(OR(INDEX(Matches!$I$2:$I$25,I106-1)="",INDEX(Matches!$J$2:$J$25,I106-1)=""),"",IF(J106&lt;=INDEX(Matches!$I$2:$I$25,I106-1)+INDEX(Matches!$J$2:$J$25,I106-1),INDEX(Matches!$A$2:$A$25,I106-1),""))</f>
        <v/>
      </c>
      <c r="B106" t="str">
        <f>IF(A106="","",IF(J106&lt;=INDEX(Matches!$I$2:$I$25,I106-1),INDEX(Matches!$G$2:$G$25,I106-1),INDEX(Matches!$H$2:$H$25,I106-1)))</f>
        <v/>
      </c>
      <c r="C106" t="str">
        <f>IF(A106="","",COUNTIFS($A$2:A106,A106,$B$2:B106,B106))</f>
        <v/>
      </c>
      <c r="D106" s="2" t="str">
        <f t="shared" si="3"/>
        <v/>
      </c>
      <c r="E106" s="2"/>
      <c r="F106" t="str">
        <f t="shared" si="4"/>
        <v/>
      </c>
      <c r="G106" t="str">
        <f t="shared" si="5"/>
        <v/>
      </c>
      <c r="H106" t="str">
        <f>IF(F106="","",VLOOKUP(F106,Validation!$A$2:$B$17,2,FALSE))</f>
        <v/>
      </c>
      <c r="I106">
        <f>INT((ROW()-2)/Settings!$B$6)+2</f>
        <v>10</v>
      </c>
      <c r="J106">
        <f>MOD(ROW()-2,Settings!$B$6)+1</f>
        <v>9</v>
      </c>
    </row>
    <row r="107" spans="1:10" x14ac:dyDescent="0.3">
      <c r="A107" t="str">
        <f>IF(OR(INDEX(Matches!$I$2:$I$25,I107-1)="",INDEX(Matches!$J$2:$J$25,I107-1)=""),"",IF(J107&lt;=INDEX(Matches!$I$2:$I$25,I107-1)+INDEX(Matches!$J$2:$J$25,I107-1),INDEX(Matches!$A$2:$A$25,I107-1),""))</f>
        <v/>
      </c>
      <c r="B107" t="str">
        <f>IF(A107="","",IF(J107&lt;=INDEX(Matches!$I$2:$I$25,I107-1),INDEX(Matches!$G$2:$G$25,I107-1),INDEX(Matches!$H$2:$H$25,I107-1)))</f>
        <v/>
      </c>
      <c r="C107" t="str">
        <f>IF(A107="","",COUNTIFS($A$2:A107,A107,$B$2:B107,B107))</f>
        <v/>
      </c>
      <c r="D107" s="2" t="str">
        <f t="shared" si="3"/>
        <v/>
      </c>
      <c r="E107" s="2"/>
      <c r="F107" t="str">
        <f t="shared" si="4"/>
        <v/>
      </c>
      <c r="G107" t="str">
        <f t="shared" si="5"/>
        <v/>
      </c>
      <c r="H107" t="str">
        <f>IF(F107="","",VLOOKUP(F107,Validation!$A$2:$B$17,2,FALSE))</f>
        <v/>
      </c>
      <c r="I107">
        <f>INT((ROW()-2)/Settings!$B$6)+2</f>
        <v>10</v>
      </c>
      <c r="J107">
        <f>MOD(ROW()-2,Settings!$B$6)+1</f>
        <v>10</v>
      </c>
    </row>
    <row r="108" spans="1:10" x14ac:dyDescent="0.3">
      <c r="A108" t="str">
        <f>IF(OR(INDEX(Matches!$I$2:$I$25,I108-1)="",INDEX(Matches!$J$2:$J$25,I108-1)=""),"",IF(J108&lt;=INDEX(Matches!$I$2:$I$25,I108-1)+INDEX(Matches!$J$2:$J$25,I108-1),INDEX(Matches!$A$2:$A$25,I108-1),""))</f>
        <v/>
      </c>
      <c r="B108" t="str">
        <f>IF(A108="","",IF(J108&lt;=INDEX(Matches!$I$2:$I$25,I108-1),INDEX(Matches!$G$2:$G$25,I108-1),INDEX(Matches!$H$2:$H$25,I108-1)))</f>
        <v/>
      </c>
      <c r="C108" t="str">
        <f>IF(A108="","",COUNTIFS($A$2:A108,A108,$B$2:B108,B108))</f>
        <v/>
      </c>
      <c r="D108" s="2" t="str">
        <f t="shared" si="3"/>
        <v/>
      </c>
      <c r="E108" s="2"/>
      <c r="F108" t="str">
        <f t="shared" si="4"/>
        <v/>
      </c>
      <c r="G108" t="str">
        <f t="shared" si="5"/>
        <v/>
      </c>
      <c r="H108" t="str">
        <f>IF(F108="","",VLOOKUP(F108,Validation!$A$2:$B$17,2,FALSE))</f>
        <v/>
      </c>
      <c r="I108">
        <f>INT((ROW()-2)/Settings!$B$6)+2</f>
        <v>10</v>
      </c>
      <c r="J108">
        <f>MOD(ROW()-2,Settings!$B$6)+1</f>
        <v>11</v>
      </c>
    </row>
    <row r="109" spans="1:10" x14ac:dyDescent="0.3">
      <c r="A109" t="str">
        <f>IF(OR(INDEX(Matches!$I$2:$I$25,I109-1)="",INDEX(Matches!$J$2:$J$25,I109-1)=""),"",IF(J109&lt;=INDEX(Matches!$I$2:$I$25,I109-1)+INDEX(Matches!$J$2:$J$25,I109-1),INDEX(Matches!$A$2:$A$25,I109-1),""))</f>
        <v/>
      </c>
      <c r="B109" t="str">
        <f>IF(A109="","",IF(J109&lt;=INDEX(Matches!$I$2:$I$25,I109-1),INDEX(Matches!$G$2:$G$25,I109-1),INDEX(Matches!$H$2:$H$25,I109-1)))</f>
        <v/>
      </c>
      <c r="C109" t="str">
        <f>IF(A109="","",COUNTIFS($A$2:A109,A109,$B$2:B109,B109))</f>
        <v/>
      </c>
      <c r="D109" s="2" t="str">
        <f t="shared" si="3"/>
        <v/>
      </c>
      <c r="E109" s="2"/>
      <c r="F109" t="str">
        <f t="shared" si="4"/>
        <v/>
      </c>
      <c r="G109" t="str">
        <f t="shared" si="5"/>
        <v/>
      </c>
      <c r="H109" t="str">
        <f>IF(F109="","",VLOOKUP(F109,Validation!$A$2:$B$17,2,FALSE))</f>
        <v/>
      </c>
      <c r="I109">
        <f>INT((ROW()-2)/Settings!$B$6)+2</f>
        <v>10</v>
      </c>
      <c r="J109">
        <f>MOD(ROW()-2,Settings!$B$6)+1</f>
        <v>12</v>
      </c>
    </row>
    <row r="110" spans="1:10" x14ac:dyDescent="0.3">
      <c r="A110" t="str">
        <f>IF(OR(INDEX(Matches!$I$2:$I$25,I110-1)="",INDEX(Matches!$J$2:$J$25,I110-1)=""),"",IF(J110&lt;=INDEX(Matches!$I$2:$I$25,I110-1)+INDEX(Matches!$J$2:$J$25,I110-1),INDEX(Matches!$A$2:$A$25,I110-1),""))</f>
        <v/>
      </c>
      <c r="B110" t="str">
        <f>IF(A110="","",IF(J110&lt;=INDEX(Matches!$I$2:$I$25,I110-1),INDEX(Matches!$G$2:$G$25,I110-1),INDEX(Matches!$H$2:$H$25,I110-1)))</f>
        <v/>
      </c>
      <c r="C110" t="str">
        <f>IF(A110="","",COUNTIFS($A$2:A110,A110,$B$2:B110,B110))</f>
        <v/>
      </c>
      <c r="D110" s="2" t="str">
        <f t="shared" si="3"/>
        <v/>
      </c>
      <c r="E110" s="2"/>
      <c r="F110" t="str">
        <f t="shared" si="4"/>
        <v/>
      </c>
      <c r="G110" t="str">
        <f t="shared" si="5"/>
        <v/>
      </c>
      <c r="H110" t="str">
        <f>IF(F110="","",VLOOKUP(F110,Validation!$A$2:$B$17,2,FALSE))</f>
        <v/>
      </c>
      <c r="I110">
        <f>INT((ROW()-2)/Settings!$B$6)+2</f>
        <v>11</v>
      </c>
      <c r="J110">
        <f>MOD(ROW()-2,Settings!$B$6)+1</f>
        <v>1</v>
      </c>
    </row>
    <row r="111" spans="1:10" x14ac:dyDescent="0.3">
      <c r="A111" t="str">
        <f>IF(OR(INDEX(Matches!$I$2:$I$25,I111-1)="",INDEX(Matches!$J$2:$J$25,I111-1)=""),"",IF(J111&lt;=INDEX(Matches!$I$2:$I$25,I111-1)+INDEX(Matches!$J$2:$J$25,I111-1),INDEX(Matches!$A$2:$A$25,I111-1),""))</f>
        <v/>
      </c>
      <c r="B111" t="str">
        <f>IF(A111="","",IF(J111&lt;=INDEX(Matches!$I$2:$I$25,I111-1),INDEX(Matches!$G$2:$G$25,I111-1),INDEX(Matches!$H$2:$H$25,I111-1)))</f>
        <v/>
      </c>
      <c r="C111" t="str">
        <f>IF(A111="","",COUNTIFS($A$2:A111,A111,$B$2:B111,B111))</f>
        <v/>
      </c>
      <c r="D111" s="2" t="str">
        <f t="shared" si="3"/>
        <v/>
      </c>
      <c r="E111" s="2"/>
      <c r="F111" t="str">
        <f t="shared" si="4"/>
        <v/>
      </c>
      <c r="G111" t="str">
        <f t="shared" si="5"/>
        <v/>
      </c>
      <c r="H111" t="str">
        <f>IF(F111="","",VLOOKUP(F111,Validation!$A$2:$B$17,2,FALSE))</f>
        <v/>
      </c>
      <c r="I111">
        <f>INT((ROW()-2)/Settings!$B$6)+2</f>
        <v>11</v>
      </c>
      <c r="J111">
        <f>MOD(ROW()-2,Settings!$B$6)+1</f>
        <v>2</v>
      </c>
    </row>
    <row r="112" spans="1:10" x14ac:dyDescent="0.3">
      <c r="A112" t="str">
        <f>IF(OR(INDEX(Matches!$I$2:$I$25,I112-1)="",INDEX(Matches!$J$2:$J$25,I112-1)=""),"",IF(J112&lt;=INDEX(Matches!$I$2:$I$25,I112-1)+INDEX(Matches!$J$2:$J$25,I112-1),INDEX(Matches!$A$2:$A$25,I112-1),""))</f>
        <v/>
      </c>
      <c r="B112" t="str">
        <f>IF(A112="","",IF(J112&lt;=INDEX(Matches!$I$2:$I$25,I112-1),INDEX(Matches!$G$2:$G$25,I112-1),INDEX(Matches!$H$2:$H$25,I112-1)))</f>
        <v/>
      </c>
      <c r="C112" t="str">
        <f>IF(A112="","",COUNTIFS($A$2:A112,A112,$B$2:B112,B112))</f>
        <v/>
      </c>
      <c r="D112" s="2" t="str">
        <f t="shared" si="3"/>
        <v/>
      </c>
      <c r="E112" s="2"/>
      <c r="F112" t="str">
        <f t="shared" si="4"/>
        <v/>
      </c>
      <c r="G112" t="str">
        <f t="shared" si="5"/>
        <v/>
      </c>
      <c r="H112" t="str">
        <f>IF(F112="","",VLOOKUP(F112,Validation!$A$2:$B$17,2,FALSE))</f>
        <v/>
      </c>
      <c r="I112">
        <f>INT((ROW()-2)/Settings!$B$6)+2</f>
        <v>11</v>
      </c>
      <c r="J112">
        <f>MOD(ROW()-2,Settings!$B$6)+1</f>
        <v>3</v>
      </c>
    </row>
    <row r="113" spans="1:10" x14ac:dyDescent="0.3">
      <c r="A113" t="str">
        <f>IF(OR(INDEX(Matches!$I$2:$I$25,I113-1)="",INDEX(Matches!$J$2:$J$25,I113-1)=""),"",IF(J113&lt;=INDEX(Matches!$I$2:$I$25,I113-1)+INDEX(Matches!$J$2:$J$25,I113-1),INDEX(Matches!$A$2:$A$25,I113-1),""))</f>
        <v/>
      </c>
      <c r="B113" t="str">
        <f>IF(A113="","",IF(J113&lt;=INDEX(Matches!$I$2:$I$25,I113-1),INDEX(Matches!$G$2:$G$25,I113-1),INDEX(Matches!$H$2:$H$25,I113-1)))</f>
        <v/>
      </c>
      <c r="C113" t="str">
        <f>IF(A113="","",COUNTIFS($A$2:A113,A113,$B$2:B113,B113))</f>
        <v/>
      </c>
      <c r="D113" s="2" t="str">
        <f t="shared" si="3"/>
        <v/>
      </c>
      <c r="E113" s="2"/>
      <c r="F113" t="str">
        <f t="shared" si="4"/>
        <v/>
      </c>
      <c r="G113" t="str">
        <f t="shared" si="5"/>
        <v/>
      </c>
      <c r="H113" t="str">
        <f>IF(F113="","",VLOOKUP(F113,Validation!$A$2:$B$17,2,FALSE))</f>
        <v/>
      </c>
      <c r="I113">
        <f>INT((ROW()-2)/Settings!$B$6)+2</f>
        <v>11</v>
      </c>
      <c r="J113">
        <f>MOD(ROW()-2,Settings!$B$6)+1</f>
        <v>4</v>
      </c>
    </row>
    <row r="114" spans="1:10" x14ac:dyDescent="0.3">
      <c r="A114" t="str">
        <f>IF(OR(INDEX(Matches!$I$2:$I$25,I114-1)="",INDEX(Matches!$J$2:$J$25,I114-1)=""),"",IF(J114&lt;=INDEX(Matches!$I$2:$I$25,I114-1)+INDEX(Matches!$J$2:$J$25,I114-1),INDEX(Matches!$A$2:$A$25,I114-1),""))</f>
        <v/>
      </c>
      <c r="B114" t="str">
        <f>IF(A114="","",IF(J114&lt;=INDEX(Matches!$I$2:$I$25,I114-1),INDEX(Matches!$G$2:$G$25,I114-1),INDEX(Matches!$H$2:$H$25,I114-1)))</f>
        <v/>
      </c>
      <c r="C114" t="str">
        <f>IF(A114="","",COUNTIFS($A$2:A114,A114,$B$2:B114,B114))</f>
        <v/>
      </c>
      <c r="D114" s="2" t="str">
        <f t="shared" si="3"/>
        <v/>
      </c>
      <c r="E114" s="2"/>
      <c r="F114" t="str">
        <f t="shared" si="4"/>
        <v/>
      </c>
      <c r="G114" t="str">
        <f t="shared" si="5"/>
        <v/>
      </c>
      <c r="H114" t="str">
        <f>IF(F114="","",VLOOKUP(F114,Validation!$A$2:$B$17,2,FALSE))</f>
        <v/>
      </c>
      <c r="I114">
        <f>INT((ROW()-2)/Settings!$B$6)+2</f>
        <v>11</v>
      </c>
      <c r="J114">
        <f>MOD(ROW()-2,Settings!$B$6)+1</f>
        <v>5</v>
      </c>
    </row>
    <row r="115" spans="1:10" x14ac:dyDescent="0.3">
      <c r="A115" t="str">
        <f>IF(OR(INDEX(Matches!$I$2:$I$25,I115-1)="",INDEX(Matches!$J$2:$J$25,I115-1)=""),"",IF(J115&lt;=INDEX(Matches!$I$2:$I$25,I115-1)+INDEX(Matches!$J$2:$J$25,I115-1),INDEX(Matches!$A$2:$A$25,I115-1),""))</f>
        <v/>
      </c>
      <c r="B115" t="str">
        <f>IF(A115="","",IF(J115&lt;=INDEX(Matches!$I$2:$I$25,I115-1),INDEX(Matches!$G$2:$G$25,I115-1),INDEX(Matches!$H$2:$H$25,I115-1)))</f>
        <v/>
      </c>
      <c r="C115" t="str">
        <f>IF(A115="","",COUNTIFS($A$2:A115,A115,$B$2:B115,B115))</f>
        <v/>
      </c>
      <c r="D115" s="2" t="str">
        <f t="shared" si="3"/>
        <v/>
      </c>
      <c r="E115" s="2"/>
      <c r="F115" t="str">
        <f t="shared" si="4"/>
        <v/>
      </c>
      <c r="G115" t="str">
        <f t="shared" si="5"/>
        <v/>
      </c>
      <c r="H115" t="str">
        <f>IF(F115="","",VLOOKUP(F115,Validation!$A$2:$B$17,2,FALSE))</f>
        <v/>
      </c>
      <c r="I115">
        <f>INT((ROW()-2)/Settings!$B$6)+2</f>
        <v>11</v>
      </c>
      <c r="J115">
        <f>MOD(ROW()-2,Settings!$B$6)+1</f>
        <v>6</v>
      </c>
    </row>
    <row r="116" spans="1:10" x14ac:dyDescent="0.3">
      <c r="A116" t="str">
        <f>IF(OR(INDEX(Matches!$I$2:$I$25,I116-1)="",INDEX(Matches!$J$2:$J$25,I116-1)=""),"",IF(J116&lt;=INDEX(Matches!$I$2:$I$25,I116-1)+INDEX(Matches!$J$2:$J$25,I116-1),INDEX(Matches!$A$2:$A$25,I116-1),""))</f>
        <v/>
      </c>
      <c r="B116" t="str">
        <f>IF(A116="","",IF(J116&lt;=INDEX(Matches!$I$2:$I$25,I116-1),INDEX(Matches!$G$2:$G$25,I116-1),INDEX(Matches!$H$2:$H$25,I116-1)))</f>
        <v/>
      </c>
      <c r="C116" t="str">
        <f>IF(A116="","",COUNTIFS($A$2:A116,A116,$B$2:B116,B116))</f>
        <v/>
      </c>
      <c r="D116" s="2" t="str">
        <f t="shared" si="3"/>
        <v/>
      </c>
      <c r="E116" s="2"/>
      <c r="F116" t="str">
        <f t="shared" si="4"/>
        <v/>
      </c>
      <c r="G116" t="str">
        <f t="shared" si="5"/>
        <v/>
      </c>
      <c r="H116" t="str">
        <f>IF(F116="","",VLOOKUP(F116,Validation!$A$2:$B$17,2,FALSE))</f>
        <v/>
      </c>
      <c r="I116">
        <f>INT((ROW()-2)/Settings!$B$6)+2</f>
        <v>11</v>
      </c>
      <c r="J116">
        <f>MOD(ROW()-2,Settings!$B$6)+1</f>
        <v>7</v>
      </c>
    </row>
    <row r="117" spans="1:10" x14ac:dyDescent="0.3">
      <c r="A117" t="str">
        <f>IF(OR(INDEX(Matches!$I$2:$I$25,I117-1)="",INDEX(Matches!$J$2:$J$25,I117-1)=""),"",IF(J117&lt;=INDEX(Matches!$I$2:$I$25,I117-1)+INDEX(Matches!$J$2:$J$25,I117-1),INDEX(Matches!$A$2:$A$25,I117-1),""))</f>
        <v/>
      </c>
      <c r="B117" t="str">
        <f>IF(A117="","",IF(J117&lt;=INDEX(Matches!$I$2:$I$25,I117-1),INDEX(Matches!$G$2:$G$25,I117-1),INDEX(Matches!$H$2:$H$25,I117-1)))</f>
        <v/>
      </c>
      <c r="C117" t="str">
        <f>IF(A117="","",COUNTIFS($A$2:A117,A117,$B$2:B117,B117))</f>
        <v/>
      </c>
      <c r="D117" s="2" t="str">
        <f t="shared" si="3"/>
        <v/>
      </c>
      <c r="E117" s="2"/>
      <c r="F117" t="str">
        <f t="shared" si="4"/>
        <v/>
      </c>
      <c r="G117" t="str">
        <f t="shared" si="5"/>
        <v/>
      </c>
      <c r="H117" t="str">
        <f>IF(F117="","",VLOOKUP(F117,Validation!$A$2:$B$17,2,FALSE))</f>
        <v/>
      </c>
      <c r="I117">
        <f>INT((ROW()-2)/Settings!$B$6)+2</f>
        <v>11</v>
      </c>
      <c r="J117">
        <f>MOD(ROW()-2,Settings!$B$6)+1</f>
        <v>8</v>
      </c>
    </row>
    <row r="118" spans="1:10" x14ac:dyDescent="0.3">
      <c r="A118" t="str">
        <f>IF(OR(INDEX(Matches!$I$2:$I$25,I118-1)="",INDEX(Matches!$J$2:$J$25,I118-1)=""),"",IF(J118&lt;=INDEX(Matches!$I$2:$I$25,I118-1)+INDEX(Matches!$J$2:$J$25,I118-1),INDEX(Matches!$A$2:$A$25,I118-1),""))</f>
        <v/>
      </c>
      <c r="B118" t="str">
        <f>IF(A118="","",IF(J118&lt;=INDEX(Matches!$I$2:$I$25,I118-1),INDEX(Matches!$G$2:$G$25,I118-1),INDEX(Matches!$H$2:$H$25,I118-1)))</f>
        <v/>
      </c>
      <c r="C118" t="str">
        <f>IF(A118="","",COUNTIFS($A$2:A118,A118,$B$2:B118,B118))</f>
        <v/>
      </c>
      <c r="D118" s="2" t="str">
        <f t="shared" si="3"/>
        <v/>
      </c>
      <c r="E118" s="2"/>
      <c r="F118" t="str">
        <f t="shared" si="4"/>
        <v/>
      </c>
      <c r="G118" t="str">
        <f t="shared" si="5"/>
        <v/>
      </c>
      <c r="H118" t="str">
        <f>IF(F118="","",VLOOKUP(F118,Validation!$A$2:$B$17,2,FALSE))</f>
        <v/>
      </c>
      <c r="I118">
        <f>INT((ROW()-2)/Settings!$B$6)+2</f>
        <v>11</v>
      </c>
      <c r="J118">
        <f>MOD(ROW()-2,Settings!$B$6)+1</f>
        <v>9</v>
      </c>
    </row>
    <row r="119" spans="1:10" x14ac:dyDescent="0.3">
      <c r="A119" t="str">
        <f>IF(OR(INDEX(Matches!$I$2:$I$25,I119-1)="",INDEX(Matches!$J$2:$J$25,I119-1)=""),"",IF(J119&lt;=INDEX(Matches!$I$2:$I$25,I119-1)+INDEX(Matches!$J$2:$J$25,I119-1),INDEX(Matches!$A$2:$A$25,I119-1),""))</f>
        <v/>
      </c>
      <c r="B119" t="str">
        <f>IF(A119="","",IF(J119&lt;=INDEX(Matches!$I$2:$I$25,I119-1),INDEX(Matches!$G$2:$G$25,I119-1),INDEX(Matches!$H$2:$H$25,I119-1)))</f>
        <v/>
      </c>
      <c r="C119" t="str">
        <f>IF(A119="","",COUNTIFS($A$2:A119,A119,$B$2:B119,B119))</f>
        <v/>
      </c>
      <c r="D119" s="2" t="str">
        <f t="shared" si="3"/>
        <v/>
      </c>
      <c r="E119" s="2"/>
      <c r="F119" t="str">
        <f t="shared" si="4"/>
        <v/>
      </c>
      <c r="G119" t="str">
        <f t="shared" si="5"/>
        <v/>
      </c>
      <c r="H119" t="str">
        <f>IF(F119="","",VLOOKUP(F119,Validation!$A$2:$B$17,2,FALSE))</f>
        <v/>
      </c>
      <c r="I119">
        <f>INT((ROW()-2)/Settings!$B$6)+2</f>
        <v>11</v>
      </c>
      <c r="J119">
        <f>MOD(ROW()-2,Settings!$B$6)+1</f>
        <v>10</v>
      </c>
    </row>
    <row r="120" spans="1:10" x14ac:dyDescent="0.3">
      <c r="A120" t="str">
        <f>IF(OR(INDEX(Matches!$I$2:$I$25,I120-1)="",INDEX(Matches!$J$2:$J$25,I120-1)=""),"",IF(J120&lt;=INDEX(Matches!$I$2:$I$25,I120-1)+INDEX(Matches!$J$2:$J$25,I120-1),INDEX(Matches!$A$2:$A$25,I120-1),""))</f>
        <v/>
      </c>
      <c r="B120" t="str">
        <f>IF(A120="","",IF(J120&lt;=INDEX(Matches!$I$2:$I$25,I120-1),INDEX(Matches!$G$2:$G$25,I120-1),INDEX(Matches!$H$2:$H$25,I120-1)))</f>
        <v/>
      </c>
      <c r="C120" t="str">
        <f>IF(A120="","",COUNTIFS($A$2:A120,A120,$B$2:B120,B120))</f>
        <v/>
      </c>
      <c r="D120" s="2" t="str">
        <f t="shared" si="3"/>
        <v/>
      </c>
      <c r="E120" s="2"/>
      <c r="F120" t="str">
        <f t="shared" si="4"/>
        <v/>
      </c>
      <c r="G120" t="str">
        <f t="shared" si="5"/>
        <v/>
      </c>
      <c r="H120" t="str">
        <f>IF(F120="","",VLOOKUP(F120,Validation!$A$2:$B$17,2,FALSE))</f>
        <v/>
      </c>
      <c r="I120">
        <f>INT((ROW()-2)/Settings!$B$6)+2</f>
        <v>11</v>
      </c>
      <c r="J120">
        <f>MOD(ROW()-2,Settings!$B$6)+1</f>
        <v>11</v>
      </c>
    </row>
    <row r="121" spans="1:10" x14ac:dyDescent="0.3">
      <c r="A121" t="str">
        <f>IF(OR(INDEX(Matches!$I$2:$I$25,I121-1)="",INDEX(Matches!$J$2:$J$25,I121-1)=""),"",IF(J121&lt;=INDEX(Matches!$I$2:$I$25,I121-1)+INDEX(Matches!$J$2:$J$25,I121-1),INDEX(Matches!$A$2:$A$25,I121-1),""))</f>
        <v/>
      </c>
      <c r="B121" t="str">
        <f>IF(A121="","",IF(J121&lt;=INDEX(Matches!$I$2:$I$25,I121-1),INDEX(Matches!$G$2:$G$25,I121-1),INDEX(Matches!$H$2:$H$25,I121-1)))</f>
        <v/>
      </c>
      <c r="C121" t="str">
        <f>IF(A121="","",COUNTIFS($A$2:A121,A121,$B$2:B121,B121))</f>
        <v/>
      </c>
      <c r="D121" s="2" t="str">
        <f t="shared" si="3"/>
        <v/>
      </c>
      <c r="E121" s="2"/>
      <c r="F121" t="str">
        <f t="shared" si="4"/>
        <v/>
      </c>
      <c r="G121" t="str">
        <f t="shared" si="5"/>
        <v/>
      </c>
      <c r="H121" t="str">
        <f>IF(F121="","",VLOOKUP(F121,Validation!$A$2:$B$17,2,FALSE))</f>
        <v/>
      </c>
      <c r="I121">
        <f>INT((ROW()-2)/Settings!$B$6)+2</f>
        <v>11</v>
      </c>
      <c r="J121">
        <f>MOD(ROW()-2,Settings!$B$6)+1</f>
        <v>12</v>
      </c>
    </row>
    <row r="122" spans="1:10" x14ac:dyDescent="0.3">
      <c r="A122" t="str">
        <f>IF(OR(INDEX(Matches!$I$2:$I$25,I122-1)="",INDEX(Matches!$J$2:$J$25,I122-1)=""),"",IF(J122&lt;=INDEX(Matches!$I$2:$I$25,I122-1)+INDEX(Matches!$J$2:$J$25,I122-1),INDEX(Matches!$A$2:$A$25,I122-1),""))</f>
        <v/>
      </c>
      <c r="B122" t="str">
        <f>IF(A122="","",IF(J122&lt;=INDEX(Matches!$I$2:$I$25,I122-1),INDEX(Matches!$G$2:$G$25,I122-1),INDEX(Matches!$H$2:$H$25,I122-1)))</f>
        <v/>
      </c>
      <c r="C122" t="str">
        <f>IF(A122="","",COUNTIFS($A$2:A122,A122,$B$2:B122,B122))</f>
        <v/>
      </c>
      <c r="D122" s="2" t="str">
        <f t="shared" si="3"/>
        <v/>
      </c>
      <c r="E122" s="2"/>
      <c r="F122" t="str">
        <f t="shared" si="4"/>
        <v/>
      </c>
      <c r="G122" t="str">
        <f t="shared" si="5"/>
        <v/>
      </c>
      <c r="H122" t="str">
        <f>IF(F122="","",VLOOKUP(F122,Validation!$A$2:$B$17,2,FALSE))</f>
        <v/>
      </c>
      <c r="I122">
        <f>INT((ROW()-2)/Settings!$B$6)+2</f>
        <v>12</v>
      </c>
      <c r="J122">
        <f>MOD(ROW()-2,Settings!$B$6)+1</f>
        <v>1</v>
      </c>
    </row>
    <row r="123" spans="1:10" x14ac:dyDescent="0.3">
      <c r="A123" t="str">
        <f>IF(OR(INDEX(Matches!$I$2:$I$25,I123-1)="",INDEX(Matches!$J$2:$J$25,I123-1)=""),"",IF(J123&lt;=INDEX(Matches!$I$2:$I$25,I123-1)+INDEX(Matches!$J$2:$J$25,I123-1),INDEX(Matches!$A$2:$A$25,I123-1),""))</f>
        <v/>
      </c>
      <c r="B123" t="str">
        <f>IF(A123="","",IF(J123&lt;=INDEX(Matches!$I$2:$I$25,I123-1),INDEX(Matches!$G$2:$G$25,I123-1),INDEX(Matches!$H$2:$H$25,I123-1)))</f>
        <v/>
      </c>
      <c r="C123" t="str">
        <f>IF(A123="","",COUNTIFS($A$2:A123,A123,$B$2:B123,B123))</f>
        <v/>
      </c>
      <c r="D123" s="2" t="str">
        <f t="shared" si="3"/>
        <v/>
      </c>
      <c r="E123" s="2"/>
      <c r="F123" t="str">
        <f t="shared" si="4"/>
        <v/>
      </c>
      <c r="G123" t="str">
        <f t="shared" si="5"/>
        <v/>
      </c>
      <c r="H123" t="str">
        <f>IF(F123="","",VLOOKUP(F123,Validation!$A$2:$B$17,2,FALSE))</f>
        <v/>
      </c>
      <c r="I123">
        <f>INT((ROW()-2)/Settings!$B$6)+2</f>
        <v>12</v>
      </c>
      <c r="J123">
        <f>MOD(ROW()-2,Settings!$B$6)+1</f>
        <v>2</v>
      </c>
    </row>
    <row r="124" spans="1:10" x14ac:dyDescent="0.3">
      <c r="A124" t="str">
        <f>IF(OR(INDEX(Matches!$I$2:$I$25,I124-1)="",INDEX(Matches!$J$2:$J$25,I124-1)=""),"",IF(J124&lt;=INDEX(Matches!$I$2:$I$25,I124-1)+INDEX(Matches!$J$2:$J$25,I124-1),INDEX(Matches!$A$2:$A$25,I124-1),""))</f>
        <v/>
      </c>
      <c r="B124" t="str">
        <f>IF(A124="","",IF(J124&lt;=INDEX(Matches!$I$2:$I$25,I124-1),INDEX(Matches!$G$2:$G$25,I124-1),INDEX(Matches!$H$2:$H$25,I124-1)))</f>
        <v/>
      </c>
      <c r="C124" t="str">
        <f>IF(A124="","",COUNTIFS($A$2:A124,A124,$B$2:B124,B124))</f>
        <v/>
      </c>
      <c r="D124" s="2" t="str">
        <f t="shared" si="3"/>
        <v/>
      </c>
      <c r="E124" s="2"/>
      <c r="F124" t="str">
        <f t="shared" si="4"/>
        <v/>
      </c>
      <c r="G124" t="str">
        <f t="shared" si="5"/>
        <v/>
      </c>
      <c r="H124" t="str">
        <f>IF(F124="","",VLOOKUP(F124,Validation!$A$2:$B$17,2,FALSE))</f>
        <v/>
      </c>
      <c r="I124">
        <f>INT((ROW()-2)/Settings!$B$6)+2</f>
        <v>12</v>
      </c>
      <c r="J124">
        <f>MOD(ROW()-2,Settings!$B$6)+1</f>
        <v>3</v>
      </c>
    </row>
    <row r="125" spans="1:10" x14ac:dyDescent="0.3">
      <c r="A125" t="str">
        <f>IF(OR(INDEX(Matches!$I$2:$I$25,I125-1)="",INDEX(Matches!$J$2:$J$25,I125-1)=""),"",IF(J125&lt;=INDEX(Matches!$I$2:$I$25,I125-1)+INDEX(Matches!$J$2:$J$25,I125-1),INDEX(Matches!$A$2:$A$25,I125-1),""))</f>
        <v/>
      </c>
      <c r="B125" t="str">
        <f>IF(A125="","",IF(J125&lt;=INDEX(Matches!$I$2:$I$25,I125-1),INDEX(Matches!$G$2:$G$25,I125-1),INDEX(Matches!$H$2:$H$25,I125-1)))</f>
        <v/>
      </c>
      <c r="C125" t="str">
        <f>IF(A125="","",COUNTIFS($A$2:A125,A125,$B$2:B125,B125))</f>
        <v/>
      </c>
      <c r="D125" s="2" t="str">
        <f t="shared" si="3"/>
        <v/>
      </c>
      <c r="E125" s="2"/>
      <c r="F125" t="str">
        <f t="shared" si="4"/>
        <v/>
      </c>
      <c r="G125" t="str">
        <f t="shared" si="5"/>
        <v/>
      </c>
      <c r="H125" t="str">
        <f>IF(F125="","",VLOOKUP(F125,Validation!$A$2:$B$17,2,FALSE))</f>
        <v/>
      </c>
      <c r="I125">
        <f>INT((ROW()-2)/Settings!$B$6)+2</f>
        <v>12</v>
      </c>
      <c r="J125">
        <f>MOD(ROW()-2,Settings!$B$6)+1</f>
        <v>4</v>
      </c>
    </row>
    <row r="126" spans="1:10" x14ac:dyDescent="0.3">
      <c r="A126" t="str">
        <f>IF(OR(INDEX(Matches!$I$2:$I$25,I126-1)="",INDEX(Matches!$J$2:$J$25,I126-1)=""),"",IF(J126&lt;=INDEX(Matches!$I$2:$I$25,I126-1)+INDEX(Matches!$J$2:$J$25,I126-1),INDEX(Matches!$A$2:$A$25,I126-1),""))</f>
        <v/>
      </c>
      <c r="B126" t="str">
        <f>IF(A126="","",IF(J126&lt;=INDEX(Matches!$I$2:$I$25,I126-1),INDEX(Matches!$G$2:$G$25,I126-1),INDEX(Matches!$H$2:$H$25,I126-1)))</f>
        <v/>
      </c>
      <c r="C126" t="str">
        <f>IF(A126="","",COUNTIFS($A$2:A126,A126,$B$2:B126,B126))</f>
        <v/>
      </c>
      <c r="D126" s="2" t="str">
        <f t="shared" si="3"/>
        <v/>
      </c>
      <c r="E126" s="2"/>
      <c r="F126" t="str">
        <f t="shared" si="4"/>
        <v/>
      </c>
      <c r="G126" t="str">
        <f t="shared" si="5"/>
        <v/>
      </c>
      <c r="H126" t="str">
        <f>IF(F126="","",VLOOKUP(F126,Validation!$A$2:$B$17,2,FALSE))</f>
        <v/>
      </c>
      <c r="I126">
        <f>INT((ROW()-2)/Settings!$B$6)+2</f>
        <v>12</v>
      </c>
      <c r="J126">
        <f>MOD(ROW()-2,Settings!$B$6)+1</f>
        <v>5</v>
      </c>
    </row>
    <row r="127" spans="1:10" x14ac:dyDescent="0.3">
      <c r="A127" t="str">
        <f>IF(OR(INDEX(Matches!$I$2:$I$25,I127-1)="",INDEX(Matches!$J$2:$J$25,I127-1)=""),"",IF(J127&lt;=INDEX(Matches!$I$2:$I$25,I127-1)+INDEX(Matches!$J$2:$J$25,I127-1),INDEX(Matches!$A$2:$A$25,I127-1),""))</f>
        <v/>
      </c>
      <c r="B127" t="str">
        <f>IF(A127="","",IF(J127&lt;=INDEX(Matches!$I$2:$I$25,I127-1),INDEX(Matches!$G$2:$G$25,I127-1),INDEX(Matches!$H$2:$H$25,I127-1)))</f>
        <v/>
      </c>
      <c r="C127" t="str">
        <f>IF(A127="","",COUNTIFS($A$2:A127,A127,$B$2:B127,B127))</f>
        <v/>
      </c>
      <c r="D127" s="2" t="str">
        <f t="shared" si="3"/>
        <v/>
      </c>
      <c r="E127" s="2"/>
      <c r="F127" t="str">
        <f t="shared" si="4"/>
        <v/>
      </c>
      <c r="G127" t="str">
        <f t="shared" si="5"/>
        <v/>
      </c>
      <c r="H127" t="str">
        <f>IF(F127="","",VLOOKUP(F127,Validation!$A$2:$B$17,2,FALSE))</f>
        <v/>
      </c>
      <c r="I127">
        <f>INT((ROW()-2)/Settings!$B$6)+2</f>
        <v>12</v>
      </c>
      <c r="J127">
        <f>MOD(ROW()-2,Settings!$B$6)+1</f>
        <v>6</v>
      </c>
    </row>
    <row r="128" spans="1:10" x14ac:dyDescent="0.3">
      <c r="A128" t="str">
        <f>IF(OR(INDEX(Matches!$I$2:$I$25,I128-1)="",INDEX(Matches!$J$2:$J$25,I128-1)=""),"",IF(J128&lt;=INDEX(Matches!$I$2:$I$25,I128-1)+INDEX(Matches!$J$2:$J$25,I128-1),INDEX(Matches!$A$2:$A$25,I128-1),""))</f>
        <v/>
      </c>
      <c r="B128" t="str">
        <f>IF(A128="","",IF(J128&lt;=INDEX(Matches!$I$2:$I$25,I128-1),INDEX(Matches!$G$2:$G$25,I128-1),INDEX(Matches!$H$2:$H$25,I128-1)))</f>
        <v/>
      </c>
      <c r="C128" t="str">
        <f>IF(A128="","",COUNTIFS($A$2:A128,A128,$B$2:B128,B128))</f>
        <v/>
      </c>
      <c r="D128" s="2" t="str">
        <f t="shared" si="3"/>
        <v/>
      </c>
      <c r="E128" s="2"/>
      <c r="F128" t="str">
        <f t="shared" si="4"/>
        <v/>
      </c>
      <c r="G128" t="str">
        <f t="shared" si="5"/>
        <v/>
      </c>
      <c r="H128" t="str">
        <f>IF(F128="","",VLOOKUP(F128,Validation!$A$2:$B$17,2,FALSE))</f>
        <v/>
      </c>
      <c r="I128">
        <f>INT((ROW()-2)/Settings!$B$6)+2</f>
        <v>12</v>
      </c>
      <c r="J128">
        <f>MOD(ROW()-2,Settings!$B$6)+1</f>
        <v>7</v>
      </c>
    </row>
    <row r="129" spans="1:10" x14ac:dyDescent="0.3">
      <c r="A129" t="str">
        <f>IF(OR(INDEX(Matches!$I$2:$I$25,I129-1)="",INDEX(Matches!$J$2:$J$25,I129-1)=""),"",IF(J129&lt;=INDEX(Matches!$I$2:$I$25,I129-1)+INDEX(Matches!$J$2:$J$25,I129-1),INDEX(Matches!$A$2:$A$25,I129-1),""))</f>
        <v/>
      </c>
      <c r="B129" t="str">
        <f>IF(A129="","",IF(J129&lt;=INDEX(Matches!$I$2:$I$25,I129-1),INDEX(Matches!$G$2:$G$25,I129-1),INDEX(Matches!$H$2:$H$25,I129-1)))</f>
        <v/>
      </c>
      <c r="C129" t="str">
        <f>IF(A129="","",COUNTIFS($A$2:A129,A129,$B$2:B129,B129))</f>
        <v/>
      </c>
      <c r="D129" s="2" t="str">
        <f t="shared" si="3"/>
        <v/>
      </c>
      <c r="E129" s="2"/>
      <c r="F129" t="str">
        <f t="shared" si="4"/>
        <v/>
      </c>
      <c r="G129" t="str">
        <f t="shared" si="5"/>
        <v/>
      </c>
      <c r="H129" t="str">
        <f>IF(F129="","",VLOOKUP(F129,Validation!$A$2:$B$17,2,FALSE))</f>
        <v/>
      </c>
      <c r="I129">
        <f>INT((ROW()-2)/Settings!$B$6)+2</f>
        <v>12</v>
      </c>
      <c r="J129">
        <f>MOD(ROW()-2,Settings!$B$6)+1</f>
        <v>8</v>
      </c>
    </row>
    <row r="130" spans="1:10" x14ac:dyDescent="0.3">
      <c r="A130" t="str">
        <f>IF(OR(INDEX(Matches!$I$2:$I$25,I130-1)="",INDEX(Matches!$J$2:$J$25,I130-1)=""),"",IF(J130&lt;=INDEX(Matches!$I$2:$I$25,I130-1)+INDEX(Matches!$J$2:$J$25,I130-1),INDEX(Matches!$A$2:$A$25,I130-1),""))</f>
        <v/>
      </c>
      <c r="B130" t="str">
        <f>IF(A130="","",IF(J130&lt;=INDEX(Matches!$I$2:$I$25,I130-1),INDEX(Matches!$G$2:$G$25,I130-1),INDEX(Matches!$H$2:$H$25,I130-1)))</f>
        <v/>
      </c>
      <c r="C130" t="str">
        <f>IF(A130="","",COUNTIFS($A$2:A130,A130,$B$2:B130,B130))</f>
        <v/>
      </c>
      <c r="D130" s="2" t="str">
        <f t="shared" ref="D130:D193" si="6">IF(A130="","","Goal")</f>
        <v/>
      </c>
      <c r="E130" s="2"/>
      <c r="F130" t="str">
        <f t="shared" ref="F130:F193" si="7">IF(A130="","",IF(D130="Autogol","",IF(D130="Goal",B130,"")))</f>
        <v/>
      </c>
      <c r="G130" t="str">
        <f t="shared" ref="G130:G193" si="8">IF(A130="","",IF(D130="","Manca tipo",IF(D130="Goal",IF(E130="","Manca giocatore","OK"),IF(D130="Autogol",IF(E130&lt;&gt;"","Autogol: svuota Player","OK"),"Tipo non valido"))))</f>
        <v/>
      </c>
      <c r="H130" t="str">
        <f>IF(F130="","",VLOOKUP(F130,Validation!$A$2:$B$17,2,FALSE))</f>
        <v/>
      </c>
      <c r="I130">
        <f>INT((ROW()-2)/Settings!$B$6)+2</f>
        <v>12</v>
      </c>
      <c r="J130">
        <f>MOD(ROW()-2,Settings!$B$6)+1</f>
        <v>9</v>
      </c>
    </row>
    <row r="131" spans="1:10" x14ac:dyDescent="0.3">
      <c r="A131" t="str">
        <f>IF(OR(INDEX(Matches!$I$2:$I$25,I131-1)="",INDEX(Matches!$J$2:$J$25,I131-1)=""),"",IF(J131&lt;=INDEX(Matches!$I$2:$I$25,I131-1)+INDEX(Matches!$J$2:$J$25,I131-1),INDEX(Matches!$A$2:$A$25,I131-1),""))</f>
        <v/>
      </c>
      <c r="B131" t="str">
        <f>IF(A131="","",IF(J131&lt;=INDEX(Matches!$I$2:$I$25,I131-1),INDEX(Matches!$G$2:$G$25,I131-1),INDEX(Matches!$H$2:$H$25,I131-1)))</f>
        <v/>
      </c>
      <c r="C131" t="str">
        <f>IF(A131="","",COUNTIFS($A$2:A131,A131,$B$2:B131,B131))</f>
        <v/>
      </c>
      <c r="D131" s="2" t="str">
        <f t="shared" si="6"/>
        <v/>
      </c>
      <c r="E131" s="2"/>
      <c r="F131" t="str">
        <f t="shared" si="7"/>
        <v/>
      </c>
      <c r="G131" t="str">
        <f t="shared" si="8"/>
        <v/>
      </c>
      <c r="H131" t="str">
        <f>IF(F131="","",VLOOKUP(F131,Validation!$A$2:$B$17,2,FALSE))</f>
        <v/>
      </c>
      <c r="I131">
        <f>INT((ROW()-2)/Settings!$B$6)+2</f>
        <v>12</v>
      </c>
      <c r="J131">
        <f>MOD(ROW()-2,Settings!$B$6)+1</f>
        <v>10</v>
      </c>
    </row>
    <row r="132" spans="1:10" x14ac:dyDescent="0.3">
      <c r="A132" t="str">
        <f>IF(OR(INDEX(Matches!$I$2:$I$25,I132-1)="",INDEX(Matches!$J$2:$J$25,I132-1)=""),"",IF(J132&lt;=INDEX(Matches!$I$2:$I$25,I132-1)+INDEX(Matches!$J$2:$J$25,I132-1),INDEX(Matches!$A$2:$A$25,I132-1),""))</f>
        <v/>
      </c>
      <c r="B132" t="str">
        <f>IF(A132="","",IF(J132&lt;=INDEX(Matches!$I$2:$I$25,I132-1),INDEX(Matches!$G$2:$G$25,I132-1),INDEX(Matches!$H$2:$H$25,I132-1)))</f>
        <v/>
      </c>
      <c r="C132" t="str">
        <f>IF(A132="","",COUNTIFS($A$2:A132,A132,$B$2:B132,B132))</f>
        <v/>
      </c>
      <c r="D132" s="2" t="str">
        <f t="shared" si="6"/>
        <v/>
      </c>
      <c r="E132" s="2"/>
      <c r="F132" t="str">
        <f t="shared" si="7"/>
        <v/>
      </c>
      <c r="G132" t="str">
        <f t="shared" si="8"/>
        <v/>
      </c>
      <c r="H132" t="str">
        <f>IF(F132="","",VLOOKUP(F132,Validation!$A$2:$B$17,2,FALSE))</f>
        <v/>
      </c>
      <c r="I132">
        <f>INT((ROW()-2)/Settings!$B$6)+2</f>
        <v>12</v>
      </c>
      <c r="J132">
        <f>MOD(ROW()-2,Settings!$B$6)+1</f>
        <v>11</v>
      </c>
    </row>
    <row r="133" spans="1:10" x14ac:dyDescent="0.3">
      <c r="A133" t="str">
        <f>IF(OR(INDEX(Matches!$I$2:$I$25,I133-1)="",INDEX(Matches!$J$2:$J$25,I133-1)=""),"",IF(J133&lt;=INDEX(Matches!$I$2:$I$25,I133-1)+INDEX(Matches!$J$2:$J$25,I133-1),INDEX(Matches!$A$2:$A$25,I133-1),""))</f>
        <v/>
      </c>
      <c r="B133" t="str">
        <f>IF(A133="","",IF(J133&lt;=INDEX(Matches!$I$2:$I$25,I133-1),INDEX(Matches!$G$2:$G$25,I133-1),INDEX(Matches!$H$2:$H$25,I133-1)))</f>
        <v/>
      </c>
      <c r="C133" t="str">
        <f>IF(A133="","",COUNTIFS($A$2:A133,A133,$B$2:B133,B133))</f>
        <v/>
      </c>
      <c r="D133" s="2" t="str">
        <f t="shared" si="6"/>
        <v/>
      </c>
      <c r="E133" s="2"/>
      <c r="F133" t="str">
        <f t="shared" si="7"/>
        <v/>
      </c>
      <c r="G133" t="str">
        <f t="shared" si="8"/>
        <v/>
      </c>
      <c r="H133" t="str">
        <f>IF(F133="","",VLOOKUP(F133,Validation!$A$2:$B$17,2,FALSE))</f>
        <v/>
      </c>
      <c r="I133">
        <f>INT((ROW()-2)/Settings!$B$6)+2</f>
        <v>12</v>
      </c>
      <c r="J133">
        <f>MOD(ROW()-2,Settings!$B$6)+1</f>
        <v>12</v>
      </c>
    </row>
    <row r="134" spans="1:10" x14ac:dyDescent="0.3">
      <c r="A134" t="str">
        <f>IF(OR(INDEX(Matches!$I$2:$I$25,I134-1)="",INDEX(Matches!$J$2:$J$25,I134-1)=""),"",IF(J134&lt;=INDEX(Matches!$I$2:$I$25,I134-1)+INDEX(Matches!$J$2:$J$25,I134-1),INDEX(Matches!$A$2:$A$25,I134-1),""))</f>
        <v/>
      </c>
      <c r="B134" t="str">
        <f>IF(A134="","",IF(J134&lt;=INDEX(Matches!$I$2:$I$25,I134-1),INDEX(Matches!$G$2:$G$25,I134-1),INDEX(Matches!$H$2:$H$25,I134-1)))</f>
        <v/>
      </c>
      <c r="C134" t="str">
        <f>IF(A134="","",COUNTIFS($A$2:A134,A134,$B$2:B134,B134))</f>
        <v/>
      </c>
      <c r="D134" s="2" t="str">
        <f t="shared" si="6"/>
        <v/>
      </c>
      <c r="E134" s="2"/>
      <c r="F134" t="str">
        <f t="shared" si="7"/>
        <v/>
      </c>
      <c r="G134" t="str">
        <f t="shared" si="8"/>
        <v/>
      </c>
      <c r="H134" t="str">
        <f>IF(F134="","",VLOOKUP(F134,Validation!$A$2:$B$17,2,FALSE))</f>
        <v/>
      </c>
      <c r="I134">
        <f>INT((ROW()-2)/Settings!$B$6)+2</f>
        <v>13</v>
      </c>
      <c r="J134">
        <f>MOD(ROW()-2,Settings!$B$6)+1</f>
        <v>1</v>
      </c>
    </row>
    <row r="135" spans="1:10" x14ac:dyDescent="0.3">
      <c r="A135" t="str">
        <f>IF(OR(INDEX(Matches!$I$2:$I$25,I135-1)="",INDEX(Matches!$J$2:$J$25,I135-1)=""),"",IF(J135&lt;=INDEX(Matches!$I$2:$I$25,I135-1)+INDEX(Matches!$J$2:$J$25,I135-1),INDEX(Matches!$A$2:$A$25,I135-1),""))</f>
        <v/>
      </c>
      <c r="B135" t="str">
        <f>IF(A135="","",IF(J135&lt;=INDEX(Matches!$I$2:$I$25,I135-1),INDEX(Matches!$G$2:$G$25,I135-1),INDEX(Matches!$H$2:$H$25,I135-1)))</f>
        <v/>
      </c>
      <c r="C135" t="str">
        <f>IF(A135="","",COUNTIFS($A$2:A135,A135,$B$2:B135,B135))</f>
        <v/>
      </c>
      <c r="D135" s="2" t="str">
        <f t="shared" si="6"/>
        <v/>
      </c>
      <c r="E135" s="2"/>
      <c r="F135" t="str">
        <f t="shared" si="7"/>
        <v/>
      </c>
      <c r="G135" t="str">
        <f t="shared" si="8"/>
        <v/>
      </c>
      <c r="H135" t="str">
        <f>IF(F135="","",VLOOKUP(F135,Validation!$A$2:$B$17,2,FALSE))</f>
        <v/>
      </c>
      <c r="I135">
        <f>INT((ROW()-2)/Settings!$B$6)+2</f>
        <v>13</v>
      </c>
      <c r="J135">
        <f>MOD(ROW()-2,Settings!$B$6)+1</f>
        <v>2</v>
      </c>
    </row>
    <row r="136" spans="1:10" x14ac:dyDescent="0.3">
      <c r="A136" t="str">
        <f>IF(OR(INDEX(Matches!$I$2:$I$25,I136-1)="",INDEX(Matches!$J$2:$J$25,I136-1)=""),"",IF(J136&lt;=INDEX(Matches!$I$2:$I$25,I136-1)+INDEX(Matches!$J$2:$J$25,I136-1),INDEX(Matches!$A$2:$A$25,I136-1),""))</f>
        <v/>
      </c>
      <c r="B136" t="str">
        <f>IF(A136="","",IF(J136&lt;=INDEX(Matches!$I$2:$I$25,I136-1),INDEX(Matches!$G$2:$G$25,I136-1),INDEX(Matches!$H$2:$H$25,I136-1)))</f>
        <v/>
      </c>
      <c r="C136" t="str">
        <f>IF(A136="","",COUNTIFS($A$2:A136,A136,$B$2:B136,B136))</f>
        <v/>
      </c>
      <c r="D136" s="2" t="str">
        <f t="shared" si="6"/>
        <v/>
      </c>
      <c r="E136" s="2"/>
      <c r="F136" t="str">
        <f t="shared" si="7"/>
        <v/>
      </c>
      <c r="G136" t="str">
        <f t="shared" si="8"/>
        <v/>
      </c>
      <c r="H136" t="str">
        <f>IF(F136="","",VLOOKUP(F136,Validation!$A$2:$B$17,2,FALSE))</f>
        <v/>
      </c>
      <c r="I136">
        <f>INT((ROW()-2)/Settings!$B$6)+2</f>
        <v>13</v>
      </c>
      <c r="J136">
        <f>MOD(ROW()-2,Settings!$B$6)+1</f>
        <v>3</v>
      </c>
    </row>
    <row r="137" spans="1:10" x14ac:dyDescent="0.3">
      <c r="A137" t="str">
        <f>IF(OR(INDEX(Matches!$I$2:$I$25,I137-1)="",INDEX(Matches!$J$2:$J$25,I137-1)=""),"",IF(J137&lt;=INDEX(Matches!$I$2:$I$25,I137-1)+INDEX(Matches!$J$2:$J$25,I137-1),INDEX(Matches!$A$2:$A$25,I137-1),""))</f>
        <v/>
      </c>
      <c r="B137" t="str">
        <f>IF(A137="","",IF(J137&lt;=INDEX(Matches!$I$2:$I$25,I137-1),INDEX(Matches!$G$2:$G$25,I137-1),INDEX(Matches!$H$2:$H$25,I137-1)))</f>
        <v/>
      </c>
      <c r="C137" t="str">
        <f>IF(A137="","",COUNTIFS($A$2:A137,A137,$B$2:B137,B137))</f>
        <v/>
      </c>
      <c r="D137" s="2" t="str">
        <f t="shared" si="6"/>
        <v/>
      </c>
      <c r="E137" s="2"/>
      <c r="F137" t="str">
        <f t="shared" si="7"/>
        <v/>
      </c>
      <c r="G137" t="str">
        <f t="shared" si="8"/>
        <v/>
      </c>
      <c r="H137" t="str">
        <f>IF(F137="","",VLOOKUP(F137,Validation!$A$2:$B$17,2,FALSE))</f>
        <v/>
      </c>
      <c r="I137">
        <f>INT((ROW()-2)/Settings!$B$6)+2</f>
        <v>13</v>
      </c>
      <c r="J137">
        <f>MOD(ROW()-2,Settings!$B$6)+1</f>
        <v>4</v>
      </c>
    </row>
    <row r="138" spans="1:10" x14ac:dyDescent="0.3">
      <c r="A138" t="str">
        <f>IF(OR(INDEX(Matches!$I$2:$I$25,I138-1)="",INDEX(Matches!$J$2:$J$25,I138-1)=""),"",IF(J138&lt;=INDEX(Matches!$I$2:$I$25,I138-1)+INDEX(Matches!$J$2:$J$25,I138-1),INDEX(Matches!$A$2:$A$25,I138-1),""))</f>
        <v/>
      </c>
      <c r="B138" t="str">
        <f>IF(A138="","",IF(J138&lt;=INDEX(Matches!$I$2:$I$25,I138-1),INDEX(Matches!$G$2:$G$25,I138-1),INDEX(Matches!$H$2:$H$25,I138-1)))</f>
        <v/>
      </c>
      <c r="C138" t="str">
        <f>IF(A138="","",COUNTIFS($A$2:A138,A138,$B$2:B138,B138))</f>
        <v/>
      </c>
      <c r="D138" s="2" t="str">
        <f t="shared" si="6"/>
        <v/>
      </c>
      <c r="E138" s="2"/>
      <c r="F138" t="str">
        <f t="shared" si="7"/>
        <v/>
      </c>
      <c r="G138" t="str">
        <f t="shared" si="8"/>
        <v/>
      </c>
      <c r="H138" t="str">
        <f>IF(F138="","",VLOOKUP(F138,Validation!$A$2:$B$17,2,FALSE))</f>
        <v/>
      </c>
      <c r="I138">
        <f>INT((ROW()-2)/Settings!$B$6)+2</f>
        <v>13</v>
      </c>
      <c r="J138">
        <f>MOD(ROW()-2,Settings!$B$6)+1</f>
        <v>5</v>
      </c>
    </row>
    <row r="139" spans="1:10" x14ac:dyDescent="0.3">
      <c r="A139" t="str">
        <f>IF(OR(INDEX(Matches!$I$2:$I$25,I139-1)="",INDEX(Matches!$J$2:$J$25,I139-1)=""),"",IF(J139&lt;=INDEX(Matches!$I$2:$I$25,I139-1)+INDEX(Matches!$J$2:$J$25,I139-1),INDEX(Matches!$A$2:$A$25,I139-1),""))</f>
        <v/>
      </c>
      <c r="B139" t="str">
        <f>IF(A139="","",IF(J139&lt;=INDEX(Matches!$I$2:$I$25,I139-1),INDEX(Matches!$G$2:$G$25,I139-1),INDEX(Matches!$H$2:$H$25,I139-1)))</f>
        <v/>
      </c>
      <c r="C139" t="str">
        <f>IF(A139="","",COUNTIFS($A$2:A139,A139,$B$2:B139,B139))</f>
        <v/>
      </c>
      <c r="D139" s="2" t="str">
        <f t="shared" si="6"/>
        <v/>
      </c>
      <c r="E139" s="2"/>
      <c r="F139" t="str">
        <f t="shared" si="7"/>
        <v/>
      </c>
      <c r="G139" t="str">
        <f t="shared" si="8"/>
        <v/>
      </c>
      <c r="H139" t="str">
        <f>IF(F139="","",VLOOKUP(F139,Validation!$A$2:$B$17,2,FALSE))</f>
        <v/>
      </c>
      <c r="I139">
        <f>INT((ROW()-2)/Settings!$B$6)+2</f>
        <v>13</v>
      </c>
      <c r="J139">
        <f>MOD(ROW()-2,Settings!$B$6)+1</f>
        <v>6</v>
      </c>
    </row>
    <row r="140" spans="1:10" x14ac:dyDescent="0.3">
      <c r="A140" t="str">
        <f>IF(OR(INDEX(Matches!$I$2:$I$25,I140-1)="",INDEX(Matches!$J$2:$J$25,I140-1)=""),"",IF(J140&lt;=INDEX(Matches!$I$2:$I$25,I140-1)+INDEX(Matches!$J$2:$J$25,I140-1),INDEX(Matches!$A$2:$A$25,I140-1),""))</f>
        <v/>
      </c>
      <c r="B140" t="str">
        <f>IF(A140="","",IF(J140&lt;=INDEX(Matches!$I$2:$I$25,I140-1),INDEX(Matches!$G$2:$G$25,I140-1),INDEX(Matches!$H$2:$H$25,I140-1)))</f>
        <v/>
      </c>
      <c r="C140" t="str">
        <f>IF(A140="","",COUNTIFS($A$2:A140,A140,$B$2:B140,B140))</f>
        <v/>
      </c>
      <c r="D140" s="2" t="str">
        <f t="shared" si="6"/>
        <v/>
      </c>
      <c r="E140" s="2"/>
      <c r="F140" t="str">
        <f t="shared" si="7"/>
        <v/>
      </c>
      <c r="G140" t="str">
        <f t="shared" si="8"/>
        <v/>
      </c>
      <c r="H140" t="str">
        <f>IF(F140="","",VLOOKUP(F140,Validation!$A$2:$B$17,2,FALSE))</f>
        <v/>
      </c>
      <c r="I140">
        <f>INT((ROW()-2)/Settings!$B$6)+2</f>
        <v>13</v>
      </c>
      <c r="J140">
        <f>MOD(ROW()-2,Settings!$B$6)+1</f>
        <v>7</v>
      </c>
    </row>
    <row r="141" spans="1:10" x14ac:dyDescent="0.3">
      <c r="A141" t="str">
        <f>IF(OR(INDEX(Matches!$I$2:$I$25,I141-1)="",INDEX(Matches!$J$2:$J$25,I141-1)=""),"",IF(J141&lt;=INDEX(Matches!$I$2:$I$25,I141-1)+INDEX(Matches!$J$2:$J$25,I141-1),INDEX(Matches!$A$2:$A$25,I141-1),""))</f>
        <v/>
      </c>
      <c r="B141" t="str">
        <f>IF(A141="","",IF(J141&lt;=INDEX(Matches!$I$2:$I$25,I141-1),INDEX(Matches!$G$2:$G$25,I141-1),INDEX(Matches!$H$2:$H$25,I141-1)))</f>
        <v/>
      </c>
      <c r="C141" t="str">
        <f>IF(A141="","",COUNTIFS($A$2:A141,A141,$B$2:B141,B141))</f>
        <v/>
      </c>
      <c r="D141" s="2" t="str">
        <f t="shared" si="6"/>
        <v/>
      </c>
      <c r="E141" s="2"/>
      <c r="F141" t="str">
        <f t="shared" si="7"/>
        <v/>
      </c>
      <c r="G141" t="str">
        <f t="shared" si="8"/>
        <v/>
      </c>
      <c r="H141" t="str">
        <f>IF(F141="","",VLOOKUP(F141,Validation!$A$2:$B$17,2,FALSE))</f>
        <v/>
      </c>
      <c r="I141">
        <f>INT((ROW()-2)/Settings!$B$6)+2</f>
        <v>13</v>
      </c>
      <c r="J141">
        <f>MOD(ROW()-2,Settings!$B$6)+1</f>
        <v>8</v>
      </c>
    </row>
    <row r="142" spans="1:10" x14ac:dyDescent="0.3">
      <c r="A142" t="str">
        <f>IF(OR(INDEX(Matches!$I$2:$I$25,I142-1)="",INDEX(Matches!$J$2:$J$25,I142-1)=""),"",IF(J142&lt;=INDEX(Matches!$I$2:$I$25,I142-1)+INDEX(Matches!$J$2:$J$25,I142-1),INDEX(Matches!$A$2:$A$25,I142-1),""))</f>
        <v/>
      </c>
      <c r="B142" t="str">
        <f>IF(A142="","",IF(J142&lt;=INDEX(Matches!$I$2:$I$25,I142-1),INDEX(Matches!$G$2:$G$25,I142-1),INDEX(Matches!$H$2:$H$25,I142-1)))</f>
        <v/>
      </c>
      <c r="C142" t="str">
        <f>IF(A142="","",COUNTIFS($A$2:A142,A142,$B$2:B142,B142))</f>
        <v/>
      </c>
      <c r="D142" s="2" t="str">
        <f t="shared" si="6"/>
        <v/>
      </c>
      <c r="E142" s="2"/>
      <c r="F142" t="str">
        <f t="shared" si="7"/>
        <v/>
      </c>
      <c r="G142" t="str">
        <f t="shared" si="8"/>
        <v/>
      </c>
      <c r="H142" t="str">
        <f>IF(F142="","",VLOOKUP(F142,Validation!$A$2:$B$17,2,FALSE))</f>
        <v/>
      </c>
      <c r="I142">
        <f>INT((ROW()-2)/Settings!$B$6)+2</f>
        <v>13</v>
      </c>
      <c r="J142">
        <f>MOD(ROW()-2,Settings!$B$6)+1</f>
        <v>9</v>
      </c>
    </row>
    <row r="143" spans="1:10" x14ac:dyDescent="0.3">
      <c r="A143" t="str">
        <f>IF(OR(INDEX(Matches!$I$2:$I$25,I143-1)="",INDEX(Matches!$J$2:$J$25,I143-1)=""),"",IF(J143&lt;=INDEX(Matches!$I$2:$I$25,I143-1)+INDEX(Matches!$J$2:$J$25,I143-1),INDEX(Matches!$A$2:$A$25,I143-1),""))</f>
        <v/>
      </c>
      <c r="B143" t="str">
        <f>IF(A143="","",IF(J143&lt;=INDEX(Matches!$I$2:$I$25,I143-1),INDEX(Matches!$G$2:$G$25,I143-1),INDEX(Matches!$H$2:$H$25,I143-1)))</f>
        <v/>
      </c>
      <c r="C143" t="str">
        <f>IF(A143="","",COUNTIFS($A$2:A143,A143,$B$2:B143,B143))</f>
        <v/>
      </c>
      <c r="D143" s="2" t="str">
        <f t="shared" si="6"/>
        <v/>
      </c>
      <c r="E143" s="2"/>
      <c r="F143" t="str">
        <f t="shared" si="7"/>
        <v/>
      </c>
      <c r="G143" t="str">
        <f t="shared" si="8"/>
        <v/>
      </c>
      <c r="H143" t="str">
        <f>IF(F143="","",VLOOKUP(F143,Validation!$A$2:$B$17,2,FALSE))</f>
        <v/>
      </c>
      <c r="I143">
        <f>INT((ROW()-2)/Settings!$B$6)+2</f>
        <v>13</v>
      </c>
      <c r="J143">
        <f>MOD(ROW()-2,Settings!$B$6)+1</f>
        <v>10</v>
      </c>
    </row>
    <row r="144" spans="1:10" x14ac:dyDescent="0.3">
      <c r="A144" t="str">
        <f>IF(OR(INDEX(Matches!$I$2:$I$25,I144-1)="",INDEX(Matches!$J$2:$J$25,I144-1)=""),"",IF(J144&lt;=INDEX(Matches!$I$2:$I$25,I144-1)+INDEX(Matches!$J$2:$J$25,I144-1),INDEX(Matches!$A$2:$A$25,I144-1),""))</f>
        <v/>
      </c>
      <c r="B144" t="str">
        <f>IF(A144="","",IF(J144&lt;=INDEX(Matches!$I$2:$I$25,I144-1),INDEX(Matches!$G$2:$G$25,I144-1),INDEX(Matches!$H$2:$H$25,I144-1)))</f>
        <v/>
      </c>
      <c r="C144" t="str">
        <f>IF(A144="","",COUNTIFS($A$2:A144,A144,$B$2:B144,B144))</f>
        <v/>
      </c>
      <c r="D144" s="2" t="str">
        <f t="shared" si="6"/>
        <v/>
      </c>
      <c r="E144" s="2"/>
      <c r="F144" t="str">
        <f t="shared" si="7"/>
        <v/>
      </c>
      <c r="G144" t="str">
        <f t="shared" si="8"/>
        <v/>
      </c>
      <c r="H144" t="str">
        <f>IF(F144="","",VLOOKUP(F144,Validation!$A$2:$B$17,2,FALSE))</f>
        <v/>
      </c>
      <c r="I144">
        <f>INT((ROW()-2)/Settings!$B$6)+2</f>
        <v>13</v>
      </c>
      <c r="J144">
        <f>MOD(ROW()-2,Settings!$B$6)+1</f>
        <v>11</v>
      </c>
    </row>
    <row r="145" spans="1:10" x14ac:dyDescent="0.3">
      <c r="A145" t="str">
        <f>IF(OR(INDEX(Matches!$I$2:$I$25,I145-1)="",INDEX(Matches!$J$2:$J$25,I145-1)=""),"",IF(J145&lt;=INDEX(Matches!$I$2:$I$25,I145-1)+INDEX(Matches!$J$2:$J$25,I145-1),INDEX(Matches!$A$2:$A$25,I145-1),""))</f>
        <v/>
      </c>
      <c r="B145" t="str">
        <f>IF(A145="","",IF(J145&lt;=INDEX(Matches!$I$2:$I$25,I145-1),INDEX(Matches!$G$2:$G$25,I145-1),INDEX(Matches!$H$2:$H$25,I145-1)))</f>
        <v/>
      </c>
      <c r="C145" t="str">
        <f>IF(A145="","",COUNTIFS($A$2:A145,A145,$B$2:B145,B145))</f>
        <v/>
      </c>
      <c r="D145" s="2" t="str">
        <f t="shared" si="6"/>
        <v/>
      </c>
      <c r="E145" s="2"/>
      <c r="F145" t="str">
        <f t="shared" si="7"/>
        <v/>
      </c>
      <c r="G145" t="str">
        <f t="shared" si="8"/>
        <v/>
      </c>
      <c r="H145" t="str">
        <f>IF(F145="","",VLOOKUP(F145,Validation!$A$2:$B$17,2,FALSE))</f>
        <v/>
      </c>
      <c r="I145">
        <f>INT((ROW()-2)/Settings!$B$6)+2</f>
        <v>13</v>
      </c>
      <c r="J145">
        <f>MOD(ROW()-2,Settings!$B$6)+1</f>
        <v>12</v>
      </c>
    </row>
    <row r="146" spans="1:10" x14ac:dyDescent="0.3">
      <c r="A146" t="str">
        <f>IF(OR(INDEX(Matches!$I$2:$I$25,I146-1)="",INDEX(Matches!$J$2:$J$25,I146-1)=""),"",IF(J146&lt;=INDEX(Matches!$I$2:$I$25,I146-1)+INDEX(Matches!$J$2:$J$25,I146-1),INDEX(Matches!$A$2:$A$25,I146-1),""))</f>
        <v/>
      </c>
      <c r="B146" t="str">
        <f>IF(A146="","",IF(J146&lt;=INDEX(Matches!$I$2:$I$25,I146-1),INDEX(Matches!$G$2:$G$25,I146-1),INDEX(Matches!$H$2:$H$25,I146-1)))</f>
        <v/>
      </c>
      <c r="C146" t="str">
        <f>IF(A146="","",COUNTIFS($A$2:A146,A146,$B$2:B146,B146))</f>
        <v/>
      </c>
      <c r="D146" s="2" t="str">
        <f t="shared" si="6"/>
        <v/>
      </c>
      <c r="E146" s="2"/>
      <c r="F146" t="str">
        <f t="shared" si="7"/>
        <v/>
      </c>
      <c r="G146" t="str">
        <f t="shared" si="8"/>
        <v/>
      </c>
      <c r="H146" t="str">
        <f>IF(F146="","",VLOOKUP(F146,Validation!$A$2:$B$17,2,FALSE))</f>
        <v/>
      </c>
      <c r="I146">
        <f>INT((ROW()-2)/Settings!$B$6)+2</f>
        <v>14</v>
      </c>
      <c r="J146">
        <f>MOD(ROW()-2,Settings!$B$6)+1</f>
        <v>1</v>
      </c>
    </row>
    <row r="147" spans="1:10" x14ac:dyDescent="0.3">
      <c r="A147" t="str">
        <f>IF(OR(INDEX(Matches!$I$2:$I$25,I147-1)="",INDEX(Matches!$J$2:$J$25,I147-1)=""),"",IF(J147&lt;=INDEX(Matches!$I$2:$I$25,I147-1)+INDEX(Matches!$J$2:$J$25,I147-1),INDEX(Matches!$A$2:$A$25,I147-1),""))</f>
        <v/>
      </c>
      <c r="B147" t="str">
        <f>IF(A147="","",IF(J147&lt;=INDEX(Matches!$I$2:$I$25,I147-1),INDEX(Matches!$G$2:$G$25,I147-1),INDEX(Matches!$H$2:$H$25,I147-1)))</f>
        <v/>
      </c>
      <c r="C147" t="str">
        <f>IF(A147="","",COUNTIFS($A$2:A147,A147,$B$2:B147,B147))</f>
        <v/>
      </c>
      <c r="D147" s="2" t="str">
        <f t="shared" si="6"/>
        <v/>
      </c>
      <c r="E147" s="2"/>
      <c r="F147" t="str">
        <f t="shared" si="7"/>
        <v/>
      </c>
      <c r="G147" t="str">
        <f t="shared" si="8"/>
        <v/>
      </c>
      <c r="H147" t="str">
        <f>IF(F147="","",VLOOKUP(F147,Validation!$A$2:$B$17,2,FALSE))</f>
        <v/>
      </c>
      <c r="I147">
        <f>INT((ROW()-2)/Settings!$B$6)+2</f>
        <v>14</v>
      </c>
      <c r="J147">
        <f>MOD(ROW()-2,Settings!$B$6)+1</f>
        <v>2</v>
      </c>
    </row>
    <row r="148" spans="1:10" x14ac:dyDescent="0.3">
      <c r="A148" t="str">
        <f>IF(OR(INDEX(Matches!$I$2:$I$25,I148-1)="",INDEX(Matches!$J$2:$J$25,I148-1)=""),"",IF(J148&lt;=INDEX(Matches!$I$2:$I$25,I148-1)+INDEX(Matches!$J$2:$J$25,I148-1),INDEX(Matches!$A$2:$A$25,I148-1),""))</f>
        <v/>
      </c>
      <c r="B148" t="str">
        <f>IF(A148="","",IF(J148&lt;=INDEX(Matches!$I$2:$I$25,I148-1),INDEX(Matches!$G$2:$G$25,I148-1),INDEX(Matches!$H$2:$H$25,I148-1)))</f>
        <v/>
      </c>
      <c r="C148" t="str">
        <f>IF(A148="","",COUNTIFS($A$2:A148,A148,$B$2:B148,B148))</f>
        <v/>
      </c>
      <c r="D148" s="2" t="str">
        <f t="shared" si="6"/>
        <v/>
      </c>
      <c r="E148" s="2"/>
      <c r="F148" t="str">
        <f t="shared" si="7"/>
        <v/>
      </c>
      <c r="G148" t="str">
        <f t="shared" si="8"/>
        <v/>
      </c>
      <c r="H148" t="str">
        <f>IF(F148="","",VLOOKUP(F148,Validation!$A$2:$B$17,2,FALSE))</f>
        <v/>
      </c>
      <c r="I148">
        <f>INT((ROW()-2)/Settings!$B$6)+2</f>
        <v>14</v>
      </c>
      <c r="J148">
        <f>MOD(ROW()-2,Settings!$B$6)+1</f>
        <v>3</v>
      </c>
    </row>
    <row r="149" spans="1:10" x14ac:dyDescent="0.3">
      <c r="A149" t="str">
        <f>IF(OR(INDEX(Matches!$I$2:$I$25,I149-1)="",INDEX(Matches!$J$2:$J$25,I149-1)=""),"",IF(J149&lt;=INDEX(Matches!$I$2:$I$25,I149-1)+INDEX(Matches!$J$2:$J$25,I149-1),INDEX(Matches!$A$2:$A$25,I149-1),""))</f>
        <v/>
      </c>
      <c r="B149" t="str">
        <f>IF(A149="","",IF(J149&lt;=INDEX(Matches!$I$2:$I$25,I149-1),INDEX(Matches!$G$2:$G$25,I149-1),INDEX(Matches!$H$2:$H$25,I149-1)))</f>
        <v/>
      </c>
      <c r="C149" t="str">
        <f>IF(A149="","",COUNTIFS($A$2:A149,A149,$B$2:B149,B149))</f>
        <v/>
      </c>
      <c r="D149" s="2" t="str">
        <f t="shared" si="6"/>
        <v/>
      </c>
      <c r="E149" s="2"/>
      <c r="F149" t="str">
        <f t="shared" si="7"/>
        <v/>
      </c>
      <c r="G149" t="str">
        <f t="shared" si="8"/>
        <v/>
      </c>
      <c r="H149" t="str">
        <f>IF(F149="","",VLOOKUP(F149,Validation!$A$2:$B$17,2,FALSE))</f>
        <v/>
      </c>
      <c r="I149">
        <f>INT((ROW()-2)/Settings!$B$6)+2</f>
        <v>14</v>
      </c>
      <c r="J149">
        <f>MOD(ROW()-2,Settings!$B$6)+1</f>
        <v>4</v>
      </c>
    </row>
    <row r="150" spans="1:10" x14ac:dyDescent="0.3">
      <c r="A150" t="str">
        <f>IF(OR(INDEX(Matches!$I$2:$I$25,I150-1)="",INDEX(Matches!$J$2:$J$25,I150-1)=""),"",IF(J150&lt;=INDEX(Matches!$I$2:$I$25,I150-1)+INDEX(Matches!$J$2:$J$25,I150-1),INDEX(Matches!$A$2:$A$25,I150-1),""))</f>
        <v/>
      </c>
      <c r="B150" t="str">
        <f>IF(A150="","",IF(J150&lt;=INDEX(Matches!$I$2:$I$25,I150-1),INDEX(Matches!$G$2:$G$25,I150-1),INDEX(Matches!$H$2:$H$25,I150-1)))</f>
        <v/>
      </c>
      <c r="C150" t="str">
        <f>IF(A150="","",COUNTIFS($A$2:A150,A150,$B$2:B150,B150))</f>
        <v/>
      </c>
      <c r="D150" s="2" t="str">
        <f t="shared" si="6"/>
        <v/>
      </c>
      <c r="E150" s="2"/>
      <c r="F150" t="str">
        <f t="shared" si="7"/>
        <v/>
      </c>
      <c r="G150" t="str">
        <f t="shared" si="8"/>
        <v/>
      </c>
      <c r="H150" t="str">
        <f>IF(F150="","",VLOOKUP(F150,Validation!$A$2:$B$17,2,FALSE))</f>
        <v/>
      </c>
      <c r="I150">
        <f>INT((ROW()-2)/Settings!$B$6)+2</f>
        <v>14</v>
      </c>
      <c r="J150">
        <f>MOD(ROW()-2,Settings!$B$6)+1</f>
        <v>5</v>
      </c>
    </row>
    <row r="151" spans="1:10" x14ac:dyDescent="0.3">
      <c r="A151" t="str">
        <f>IF(OR(INDEX(Matches!$I$2:$I$25,I151-1)="",INDEX(Matches!$J$2:$J$25,I151-1)=""),"",IF(J151&lt;=INDEX(Matches!$I$2:$I$25,I151-1)+INDEX(Matches!$J$2:$J$25,I151-1),INDEX(Matches!$A$2:$A$25,I151-1),""))</f>
        <v/>
      </c>
      <c r="B151" t="str">
        <f>IF(A151="","",IF(J151&lt;=INDEX(Matches!$I$2:$I$25,I151-1),INDEX(Matches!$G$2:$G$25,I151-1),INDEX(Matches!$H$2:$H$25,I151-1)))</f>
        <v/>
      </c>
      <c r="C151" t="str">
        <f>IF(A151="","",COUNTIFS($A$2:A151,A151,$B$2:B151,B151))</f>
        <v/>
      </c>
      <c r="D151" s="2" t="str">
        <f t="shared" si="6"/>
        <v/>
      </c>
      <c r="E151" s="2"/>
      <c r="F151" t="str">
        <f t="shared" si="7"/>
        <v/>
      </c>
      <c r="G151" t="str">
        <f t="shared" si="8"/>
        <v/>
      </c>
      <c r="H151" t="str">
        <f>IF(F151="","",VLOOKUP(F151,Validation!$A$2:$B$17,2,FALSE))</f>
        <v/>
      </c>
      <c r="I151">
        <f>INT((ROW()-2)/Settings!$B$6)+2</f>
        <v>14</v>
      </c>
      <c r="J151">
        <f>MOD(ROW()-2,Settings!$B$6)+1</f>
        <v>6</v>
      </c>
    </row>
    <row r="152" spans="1:10" x14ac:dyDescent="0.3">
      <c r="A152" t="str">
        <f>IF(OR(INDEX(Matches!$I$2:$I$25,I152-1)="",INDEX(Matches!$J$2:$J$25,I152-1)=""),"",IF(J152&lt;=INDEX(Matches!$I$2:$I$25,I152-1)+INDEX(Matches!$J$2:$J$25,I152-1),INDEX(Matches!$A$2:$A$25,I152-1),""))</f>
        <v/>
      </c>
      <c r="B152" t="str">
        <f>IF(A152="","",IF(J152&lt;=INDEX(Matches!$I$2:$I$25,I152-1),INDEX(Matches!$G$2:$G$25,I152-1),INDEX(Matches!$H$2:$H$25,I152-1)))</f>
        <v/>
      </c>
      <c r="C152" t="str">
        <f>IF(A152="","",COUNTIFS($A$2:A152,A152,$B$2:B152,B152))</f>
        <v/>
      </c>
      <c r="D152" s="2" t="str">
        <f t="shared" si="6"/>
        <v/>
      </c>
      <c r="E152" s="2"/>
      <c r="F152" t="str">
        <f t="shared" si="7"/>
        <v/>
      </c>
      <c r="G152" t="str">
        <f t="shared" si="8"/>
        <v/>
      </c>
      <c r="H152" t="str">
        <f>IF(F152="","",VLOOKUP(F152,Validation!$A$2:$B$17,2,FALSE))</f>
        <v/>
      </c>
      <c r="I152">
        <f>INT((ROW()-2)/Settings!$B$6)+2</f>
        <v>14</v>
      </c>
      <c r="J152">
        <f>MOD(ROW()-2,Settings!$B$6)+1</f>
        <v>7</v>
      </c>
    </row>
    <row r="153" spans="1:10" x14ac:dyDescent="0.3">
      <c r="A153" t="str">
        <f>IF(OR(INDEX(Matches!$I$2:$I$25,I153-1)="",INDEX(Matches!$J$2:$J$25,I153-1)=""),"",IF(J153&lt;=INDEX(Matches!$I$2:$I$25,I153-1)+INDEX(Matches!$J$2:$J$25,I153-1),INDEX(Matches!$A$2:$A$25,I153-1),""))</f>
        <v/>
      </c>
      <c r="B153" t="str">
        <f>IF(A153="","",IF(J153&lt;=INDEX(Matches!$I$2:$I$25,I153-1),INDEX(Matches!$G$2:$G$25,I153-1),INDEX(Matches!$H$2:$H$25,I153-1)))</f>
        <v/>
      </c>
      <c r="C153" t="str">
        <f>IF(A153="","",COUNTIFS($A$2:A153,A153,$B$2:B153,B153))</f>
        <v/>
      </c>
      <c r="D153" s="2" t="str">
        <f t="shared" si="6"/>
        <v/>
      </c>
      <c r="E153" s="2"/>
      <c r="F153" t="str">
        <f t="shared" si="7"/>
        <v/>
      </c>
      <c r="G153" t="str">
        <f t="shared" si="8"/>
        <v/>
      </c>
      <c r="H153" t="str">
        <f>IF(F153="","",VLOOKUP(F153,Validation!$A$2:$B$17,2,FALSE))</f>
        <v/>
      </c>
      <c r="I153">
        <f>INT((ROW()-2)/Settings!$B$6)+2</f>
        <v>14</v>
      </c>
      <c r="J153">
        <f>MOD(ROW()-2,Settings!$B$6)+1</f>
        <v>8</v>
      </c>
    </row>
    <row r="154" spans="1:10" x14ac:dyDescent="0.3">
      <c r="A154" t="str">
        <f>IF(OR(INDEX(Matches!$I$2:$I$25,I154-1)="",INDEX(Matches!$J$2:$J$25,I154-1)=""),"",IF(J154&lt;=INDEX(Matches!$I$2:$I$25,I154-1)+INDEX(Matches!$J$2:$J$25,I154-1),INDEX(Matches!$A$2:$A$25,I154-1),""))</f>
        <v/>
      </c>
      <c r="B154" t="str">
        <f>IF(A154="","",IF(J154&lt;=INDEX(Matches!$I$2:$I$25,I154-1),INDEX(Matches!$G$2:$G$25,I154-1),INDEX(Matches!$H$2:$H$25,I154-1)))</f>
        <v/>
      </c>
      <c r="C154" t="str">
        <f>IF(A154="","",COUNTIFS($A$2:A154,A154,$B$2:B154,B154))</f>
        <v/>
      </c>
      <c r="D154" s="2" t="str">
        <f t="shared" si="6"/>
        <v/>
      </c>
      <c r="E154" s="2"/>
      <c r="F154" t="str">
        <f t="shared" si="7"/>
        <v/>
      </c>
      <c r="G154" t="str">
        <f t="shared" si="8"/>
        <v/>
      </c>
      <c r="H154" t="str">
        <f>IF(F154="","",VLOOKUP(F154,Validation!$A$2:$B$17,2,FALSE))</f>
        <v/>
      </c>
      <c r="I154">
        <f>INT((ROW()-2)/Settings!$B$6)+2</f>
        <v>14</v>
      </c>
      <c r="J154">
        <f>MOD(ROW()-2,Settings!$B$6)+1</f>
        <v>9</v>
      </c>
    </row>
    <row r="155" spans="1:10" x14ac:dyDescent="0.3">
      <c r="A155" t="str">
        <f>IF(OR(INDEX(Matches!$I$2:$I$25,I155-1)="",INDEX(Matches!$J$2:$J$25,I155-1)=""),"",IF(J155&lt;=INDEX(Matches!$I$2:$I$25,I155-1)+INDEX(Matches!$J$2:$J$25,I155-1),INDEX(Matches!$A$2:$A$25,I155-1),""))</f>
        <v/>
      </c>
      <c r="B155" t="str">
        <f>IF(A155="","",IF(J155&lt;=INDEX(Matches!$I$2:$I$25,I155-1),INDEX(Matches!$G$2:$G$25,I155-1),INDEX(Matches!$H$2:$H$25,I155-1)))</f>
        <v/>
      </c>
      <c r="C155" t="str">
        <f>IF(A155="","",COUNTIFS($A$2:A155,A155,$B$2:B155,B155))</f>
        <v/>
      </c>
      <c r="D155" s="2" t="str">
        <f t="shared" si="6"/>
        <v/>
      </c>
      <c r="E155" s="2"/>
      <c r="F155" t="str">
        <f t="shared" si="7"/>
        <v/>
      </c>
      <c r="G155" t="str">
        <f t="shared" si="8"/>
        <v/>
      </c>
      <c r="H155" t="str">
        <f>IF(F155="","",VLOOKUP(F155,Validation!$A$2:$B$17,2,FALSE))</f>
        <v/>
      </c>
      <c r="I155">
        <f>INT((ROW()-2)/Settings!$B$6)+2</f>
        <v>14</v>
      </c>
      <c r="J155">
        <f>MOD(ROW()-2,Settings!$B$6)+1</f>
        <v>10</v>
      </c>
    </row>
    <row r="156" spans="1:10" x14ac:dyDescent="0.3">
      <c r="A156" t="str">
        <f>IF(OR(INDEX(Matches!$I$2:$I$25,I156-1)="",INDEX(Matches!$J$2:$J$25,I156-1)=""),"",IF(J156&lt;=INDEX(Matches!$I$2:$I$25,I156-1)+INDEX(Matches!$J$2:$J$25,I156-1),INDEX(Matches!$A$2:$A$25,I156-1),""))</f>
        <v/>
      </c>
      <c r="B156" t="str">
        <f>IF(A156="","",IF(J156&lt;=INDEX(Matches!$I$2:$I$25,I156-1),INDEX(Matches!$G$2:$G$25,I156-1),INDEX(Matches!$H$2:$H$25,I156-1)))</f>
        <v/>
      </c>
      <c r="C156" t="str">
        <f>IF(A156="","",COUNTIFS($A$2:A156,A156,$B$2:B156,B156))</f>
        <v/>
      </c>
      <c r="D156" s="2" t="str">
        <f t="shared" si="6"/>
        <v/>
      </c>
      <c r="E156" s="2"/>
      <c r="F156" t="str">
        <f t="shared" si="7"/>
        <v/>
      </c>
      <c r="G156" t="str">
        <f t="shared" si="8"/>
        <v/>
      </c>
      <c r="H156" t="str">
        <f>IF(F156="","",VLOOKUP(F156,Validation!$A$2:$B$17,2,FALSE))</f>
        <v/>
      </c>
      <c r="I156">
        <f>INT((ROW()-2)/Settings!$B$6)+2</f>
        <v>14</v>
      </c>
      <c r="J156">
        <f>MOD(ROW()-2,Settings!$B$6)+1</f>
        <v>11</v>
      </c>
    </row>
    <row r="157" spans="1:10" x14ac:dyDescent="0.3">
      <c r="A157" t="str">
        <f>IF(OR(INDEX(Matches!$I$2:$I$25,I157-1)="",INDEX(Matches!$J$2:$J$25,I157-1)=""),"",IF(J157&lt;=INDEX(Matches!$I$2:$I$25,I157-1)+INDEX(Matches!$J$2:$J$25,I157-1),INDEX(Matches!$A$2:$A$25,I157-1),""))</f>
        <v/>
      </c>
      <c r="B157" t="str">
        <f>IF(A157="","",IF(J157&lt;=INDEX(Matches!$I$2:$I$25,I157-1),INDEX(Matches!$G$2:$G$25,I157-1),INDEX(Matches!$H$2:$H$25,I157-1)))</f>
        <v/>
      </c>
      <c r="C157" t="str">
        <f>IF(A157="","",COUNTIFS($A$2:A157,A157,$B$2:B157,B157))</f>
        <v/>
      </c>
      <c r="D157" s="2" t="str">
        <f t="shared" si="6"/>
        <v/>
      </c>
      <c r="E157" s="2"/>
      <c r="F157" t="str">
        <f t="shared" si="7"/>
        <v/>
      </c>
      <c r="G157" t="str">
        <f t="shared" si="8"/>
        <v/>
      </c>
      <c r="H157" t="str">
        <f>IF(F157="","",VLOOKUP(F157,Validation!$A$2:$B$17,2,FALSE))</f>
        <v/>
      </c>
      <c r="I157">
        <f>INT((ROW()-2)/Settings!$B$6)+2</f>
        <v>14</v>
      </c>
      <c r="J157">
        <f>MOD(ROW()-2,Settings!$B$6)+1</f>
        <v>12</v>
      </c>
    </row>
    <row r="158" spans="1:10" x14ac:dyDescent="0.3">
      <c r="A158" t="str">
        <f>IF(OR(INDEX(Matches!$I$2:$I$25,I158-1)="",INDEX(Matches!$J$2:$J$25,I158-1)=""),"",IF(J158&lt;=INDEX(Matches!$I$2:$I$25,I158-1)+INDEX(Matches!$J$2:$J$25,I158-1),INDEX(Matches!$A$2:$A$25,I158-1),""))</f>
        <v/>
      </c>
      <c r="B158" t="str">
        <f>IF(A158="","",IF(J158&lt;=INDEX(Matches!$I$2:$I$25,I158-1),INDEX(Matches!$G$2:$G$25,I158-1),INDEX(Matches!$H$2:$H$25,I158-1)))</f>
        <v/>
      </c>
      <c r="C158" t="str">
        <f>IF(A158="","",COUNTIFS($A$2:A158,A158,$B$2:B158,B158))</f>
        <v/>
      </c>
      <c r="D158" s="2" t="str">
        <f t="shared" si="6"/>
        <v/>
      </c>
      <c r="E158" s="2"/>
      <c r="F158" t="str">
        <f t="shared" si="7"/>
        <v/>
      </c>
      <c r="G158" t="str">
        <f t="shared" si="8"/>
        <v/>
      </c>
      <c r="H158" t="str">
        <f>IF(F158="","",VLOOKUP(F158,Validation!$A$2:$B$17,2,FALSE))</f>
        <v/>
      </c>
      <c r="I158">
        <f>INT((ROW()-2)/Settings!$B$6)+2</f>
        <v>15</v>
      </c>
      <c r="J158">
        <f>MOD(ROW()-2,Settings!$B$6)+1</f>
        <v>1</v>
      </c>
    </row>
    <row r="159" spans="1:10" x14ac:dyDescent="0.3">
      <c r="A159" t="str">
        <f>IF(OR(INDEX(Matches!$I$2:$I$25,I159-1)="",INDEX(Matches!$J$2:$J$25,I159-1)=""),"",IF(J159&lt;=INDEX(Matches!$I$2:$I$25,I159-1)+INDEX(Matches!$J$2:$J$25,I159-1),INDEX(Matches!$A$2:$A$25,I159-1),""))</f>
        <v/>
      </c>
      <c r="B159" t="str">
        <f>IF(A159="","",IF(J159&lt;=INDEX(Matches!$I$2:$I$25,I159-1),INDEX(Matches!$G$2:$G$25,I159-1),INDEX(Matches!$H$2:$H$25,I159-1)))</f>
        <v/>
      </c>
      <c r="C159" t="str">
        <f>IF(A159="","",COUNTIFS($A$2:A159,A159,$B$2:B159,B159))</f>
        <v/>
      </c>
      <c r="D159" s="2" t="str">
        <f t="shared" si="6"/>
        <v/>
      </c>
      <c r="E159" s="2"/>
      <c r="F159" t="str">
        <f t="shared" si="7"/>
        <v/>
      </c>
      <c r="G159" t="str">
        <f t="shared" si="8"/>
        <v/>
      </c>
      <c r="H159" t="str">
        <f>IF(F159="","",VLOOKUP(F159,Validation!$A$2:$B$17,2,FALSE))</f>
        <v/>
      </c>
      <c r="I159">
        <f>INT((ROW()-2)/Settings!$B$6)+2</f>
        <v>15</v>
      </c>
      <c r="J159">
        <f>MOD(ROW()-2,Settings!$B$6)+1</f>
        <v>2</v>
      </c>
    </row>
    <row r="160" spans="1:10" x14ac:dyDescent="0.3">
      <c r="A160" t="str">
        <f>IF(OR(INDEX(Matches!$I$2:$I$25,I160-1)="",INDEX(Matches!$J$2:$J$25,I160-1)=""),"",IF(J160&lt;=INDEX(Matches!$I$2:$I$25,I160-1)+INDEX(Matches!$J$2:$J$25,I160-1),INDEX(Matches!$A$2:$A$25,I160-1),""))</f>
        <v/>
      </c>
      <c r="B160" t="str">
        <f>IF(A160="","",IF(J160&lt;=INDEX(Matches!$I$2:$I$25,I160-1),INDEX(Matches!$G$2:$G$25,I160-1),INDEX(Matches!$H$2:$H$25,I160-1)))</f>
        <v/>
      </c>
      <c r="C160" t="str">
        <f>IF(A160="","",COUNTIFS($A$2:A160,A160,$B$2:B160,B160))</f>
        <v/>
      </c>
      <c r="D160" s="2" t="str">
        <f t="shared" si="6"/>
        <v/>
      </c>
      <c r="E160" s="2"/>
      <c r="F160" t="str">
        <f t="shared" si="7"/>
        <v/>
      </c>
      <c r="G160" t="str">
        <f t="shared" si="8"/>
        <v/>
      </c>
      <c r="H160" t="str">
        <f>IF(F160="","",VLOOKUP(F160,Validation!$A$2:$B$17,2,FALSE))</f>
        <v/>
      </c>
      <c r="I160">
        <f>INT((ROW()-2)/Settings!$B$6)+2</f>
        <v>15</v>
      </c>
      <c r="J160">
        <f>MOD(ROW()-2,Settings!$B$6)+1</f>
        <v>3</v>
      </c>
    </row>
    <row r="161" spans="1:10" x14ac:dyDescent="0.3">
      <c r="A161" t="str">
        <f>IF(OR(INDEX(Matches!$I$2:$I$25,I161-1)="",INDEX(Matches!$J$2:$J$25,I161-1)=""),"",IF(J161&lt;=INDEX(Matches!$I$2:$I$25,I161-1)+INDEX(Matches!$J$2:$J$25,I161-1),INDEX(Matches!$A$2:$A$25,I161-1),""))</f>
        <v/>
      </c>
      <c r="B161" t="str">
        <f>IF(A161="","",IF(J161&lt;=INDEX(Matches!$I$2:$I$25,I161-1),INDEX(Matches!$G$2:$G$25,I161-1),INDEX(Matches!$H$2:$H$25,I161-1)))</f>
        <v/>
      </c>
      <c r="C161" t="str">
        <f>IF(A161="","",COUNTIFS($A$2:A161,A161,$B$2:B161,B161))</f>
        <v/>
      </c>
      <c r="D161" s="2" t="str">
        <f t="shared" si="6"/>
        <v/>
      </c>
      <c r="E161" s="2"/>
      <c r="F161" t="str">
        <f t="shared" si="7"/>
        <v/>
      </c>
      <c r="G161" t="str">
        <f t="shared" si="8"/>
        <v/>
      </c>
      <c r="H161" t="str">
        <f>IF(F161="","",VLOOKUP(F161,Validation!$A$2:$B$17,2,FALSE))</f>
        <v/>
      </c>
      <c r="I161">
        <f>INT((ROW()-2)/Settings!$B$6)+2</f>
        <v>15</v>
      </c>
      <c r="J161">
        <f>MOD(ROW()-2,Settings!$B$6)+1</f>
        <v>4</v>
      </c>
    </row>
    <row r="162" spans="1:10" x14ac:dyDescent="0.3">
      <c r="A162" t="str">
        <f>IF(OR(INDEX(Matches!$I$2:$I$25,I162-1)="",INDEX(Matches!$J$2:$J$25,I162-1)=""),"",IF(J162&lt;=INDEX(Matches!$I$2:$I$25,I162-1)+INDEX(Matches!$J$2:$J$25,I162-1),INDEX(Matches!$A$2:$A$25,I162-1),""))</f>
        <v/>
      </c>
      <c r="B162" t="str">
        <f>IF(A162="","",IF(J162&lt;=INDEX(Matches!$I$2:$I$25,I162-1),INDEX(Matches!$G$2:$G$25,I162-1),INDEX(Matches!$H$2:$H$25,I162-1)))</f>
        <v/>
      </c>
      <c r="C162" t="str">
        <f>IF(A162="","",COUNTIFS($A$2:A162,A162,$B$2:B162,B162))</f>
        <v/>
      </c>
      <c r="D162" s="2" t="str">
        <f t="shared" si="6"/>
        <v/>
      </c>
      <c r="E162" s="2"/>
      <c r="F162" t="str">
        <f t="shared" si="7"/>
        <v/>
      </c>
      <c r="G162" t="str">
        <f t="shared" si="8"/>
        <v/>
      </c>
      <c r="H162" t="str">
        <f>IF(F162="","",VLOOKUP(F162,Validation!$A$2:$B$17,2,FALSE))</f>
        <v/>
      </c>
      <c r="I162">
        <f>INT((ROW()-2)/Settings!$B$6)+2</f>
        <v>15</v>
      </c>
      <c r="J162">
        <f>MOD(ROW()-2,Settings!$B$6)+1</f>
        <v>5</v>
      </c>
    </row>
    <row r="163" spans="1:10" x14ac:dyDescent="0.3">
      <c r="A163" t="str">
        <f>IF(OR(INDEX(Matches!$I$2:$I$25,I163-1)="",INDEX(Matches!$J$2:$J$25,I163-1)=""),"",IF(J163&lt;=INDEX(Matches!$I$2:$I$25,I163-1)+INDEX(Matches!$J$2:$J$25,I163-1),INDEX(Matches!$A$2:$A$25,I163-1),""))</f>
        <v/>
      </c>
      <c r="B163" t="str">
        <f>IF(A163="","",IF(J163&lt;=INDEX(Matches!$I$2:$I$25,I163-1),INDEX(Matches!$G$2:$G$25,I163-1),INDEX(Matches!$H$2:$H$25,I163-1)))</f>
        <v/>
      </c>
      <c r="C163" t="str">
        <f>IF(A163="","",COUNTIFS($A$2:A163,A163,$B$2:B163,B163))</f>
        <v/>
      </c>
      <c r="D163" s="2" t="str">
        <f t="shared" si="6"/>
        <v/>
      </c>
      <c r="E163" s="2"/>
      <c r="F163" t="str">
        <f t="shared" si="7"/>
        <v/>
      </c>
      <c r="G163" t="str">
        <f t="shared" si="8"/>
        <v/>
      </c>
      <c r="H163" t="str">
        <f>IF(F163="","",VLOOKUP(F163,Validation!$A$2:$B$17,2,FALSE))</f>
        <v/>
      </c>
      <c r="I163">
        <f>INT((ROW()-2)/Settings!$B$6)+2</f>
        <v>15</v>
      </c>
      <c r="J163">
        <f>MOD(ROW()-2,Settings!$B$6)+1</f>
        <v>6</v>
      </c>
    </row>
    <row r="164" spans="1:10" x14ac:dyDescent="0.3">
      <c r="A164" t="str">
        <f>IF(OR(INDEX(Matches!$I$2:$I$25,I164-1)="",INDEX(Matches!$J$2:$J$25,I164-1)=""),"",IF(J164&lt;=INDEX(Matches!$I$2:$I$25,I164-1)+INDEX(Matches!$J$2:$J$25,I164-1),INDEX(Matches!$A$2:$A$25,I164-1),""))</f>
        <v/>
      </c>
      <c r="B164" t="str">
        <f>IF(A164="","",IF(J164&lt;=INDEX(Matches!$I$2:$I$25,I164-1),INDEX(Matches!$G$2:$G$25,I164-1),INDEX(Matches!$H$2:$H$25,I164-1)))</f>
        <v/>
      </c>
      <c r="C164" t="str">
        <f>IF(A164="","",COUNTIFS($A$2:A164,A164,$B$2:B164,B164))</f>
        <v/>
      </c>
      <c r="D164" s="2" t="str">
        <f t="shared" si="6"/>
        <v/>
      </c>
      <c r="E164" s="2"/>
      <c r="F164" t="str">
        <f t="shared" si="7"/>
        <v/>
      </c>
      <c r="G164" t="str">
        <f t="shared" si="8"/>
        <v/>
      </c>
      <c r="H164" t="str">
        <f>IF(F164="","",VLOOKUP(F164,Validation!$A$2:$B$17,2,FALSE))</f>
        <v/>
      </c>
      <c r="I164">
        <f>INT((ROW()-2)/Settings!$B$6)+2</f>
        <v>15</v>
      </c>
      <c r="J164">
        <f>MOD(ROW()-2,Settings!$B$6)+1</f>
        <v>7</v>
      </c>
    </row>
    <row r="165" spans="1:10" x14ac:dyDescent="0.3">
      <c r="A165" t="str">
        <f>IF(OR(INDEX(Matches!$I$2:$I$25,I165-1)="",INDEX(Matches!$J$2:$J$25,I165-1)=""),"",IF(J165&lt;=INDEX(Matches!$I$2:$I$25,I165-1)+INDEX(Matches!$J$2:$J$25,I165-1),INDEX(Matches!$A$2:$A$25,I165-1),""))</f>
        <v/>
      </c>
      <c r="B165" t="str">
        <f>IF(A165="","",IF(J165&lt;=INDEX(Matches!$I$2:$I$25,I165-1),INDEX(Matches!$G$2:$G$25,I165-1),INDEX(Matches!$H$2:$H$25,I165-1)))</f>
        <v/>
      </c>
      <c r="C165" t="str">
        <f>IF(A165="","",COUNTIFS($A$2:A165,A165,$B$2:B165,B165))</f>
        <v/>
      </c>
      <c r="D165" s="2" t="str">
        <f t="shared" si="6"/>
        <v/>
      </c>
      <c r="E165" s="2"/>
      <c r="F165" t="str">
        <f t="shared" si="7"/>
        <v/>
      </c>
      <c r="G165" t="str">
        <f t="shared" si="8"/>
        <v/>
      </c>
      <c r="H165" t="str">
        <f>IF(F165="","",VLOOKUP(F165,Validation!$A$2:$B$17,2,FALSE))</f>
        <v/>
      </c>
      <c r="I165">
        <f>INT((ROW()-2)/Settings!$B$6)+2</f>
        <v>15</v>
      </c>
      <c r="J165">
        <f>MOD(ROW()-2,Settings!$B$6)+1</f>
        <v>8</v>
      </c>
    </row>
    <row r="166" spans="1:10" x14ac:dyDescent="0.3">
      <c r="A166" t="str">
        <f>IF(OR(INDEX(Matches!$I$2:$I$25,I166-1)="",INDEX(Matches!$J$2:$J$25,I166-1)=""),"",IF(J166&lt;=INDEX(Matches!$I$2:$I$25,I166-1)+INDEX(Matches!$J$2:$J$25,I166-1),INDEX(Matches!$A$2:$A$25,I166-1),""))</f>
        <v/>
      </c>
      <c r="B166" t="str">
        <f>IF(A166="","",IF(J166&lt;=INDEX(Matches!$I$2:$I$25,I166-1),INDEX(Matches!$G$2:$G$25,I166-1),INDEX(Matches!$H$2:$H$25,I166-1)))</f>
        <v/>
      </c>
      <c r="C166" t="str">
        <f>IF(A166="","",COUNTIFS($A$2:A166,A166,$B$2:B166,B166))</f>
        <v/>
      </c>
      <c r="D166" s="2" t="str">
        <f t="shared" si="6"/>
        <v/>
      </c>
      <c r="E166" s="2"/>
      <c r="F166" t="str">
        <f t="shared" si="7"/>
        <v/>
      </c>
      <c r="G166" t="str">
        <f t="shared" si="8"/>
        <v/>
      </c>
      <c r="H166" t="str">
        <f>IF(F166="","",VLOOKUP(F166,Validation!$A$2:$B$17,2,FALSE))</f>
        <v/>
      </c>
      <c r="I166">
        <f>INT((ROW()-2)/Settings!$B$6)+2</f>
        <v>15</v>
      </c>
      <c r="J166">
        <f>MOD(ROW()-2,Settings!$B$6)+1</f>
        <v>9</v>
      </c>
    </row>
    <row r="167" spans="1:10" x14ac:dyDescent="0.3">
      <c r="A167" t="str">
        <f>IF(OR(INDEX(Matches!$I$2:$I$25,I167-1)="",INDEX(Matches!$J$2:$J$25,I167-1)=""),"",IF(J167&lt;=INDEX(Matches!$I$2:$I$25,I167-1)+INDEX(Matches!$J$2:$J$25,I167-1),INDEX(Matches!$A$2:$A$25,I167-1),""))</f>
        <v/>
      </c>
      <c r="B167" t="str">
        <f>IF(A167="","",IF(J167&lt;=INDEX(Matches!$I$2:$I$25,I167-1),INDEX(Matches!$G$2:$G$25,I167-1),INDEX(Matches!$H$2:$H$25,I167-1)))</f>
        <v/>
      </c>
      <c r="C167" t="str">
        <f>IF(A167="","",COUNTIFS($A$2:A167,A167,$B$2:B167,B167))</f>
        <v/>
      </c>
      <c r="D167" s="2" t="str">
        <f t="shared" si="6"/>
        <v/>
      </c>
      <c r="E167" s="2"/>
      <c r="F167" t="str">
        <f t="shared" si="7"/>
        <v/>
      </c>
      <c r="G167" t="str">
        <f t="shared" si="8"/>
        <v/>
      </c>
      <c r="H167" t="str">
        <f>IF(F167="","",VLOOKUP(F167,Validation!$A$2:$B$17,2,FALSE))</f>
        <v/>
      </c>
      <c r="I167">
        <f>INT((ROW()-2)/Settings!$B$6)+2</f>
        <v>15</v>
      </c>
      <c r="J167">
        <f>MOD(ROW()-2,Settings!$B$6)+1</f>
        <v>10</v>
      </c>
    </row>
    <row r="168" spans="1:10" x14ac:dyDescent="0.3">
      <c r="A168" t="str">
        <f>IF(OR(INDEX(Matches!$I$2:$I$25,I168-1)="",INDEX(Matches!$J$2:$J$25,I168-1)=""),"",IF(J168&lt;=INDEX(Matches!$I$2:$I$25,I168-1)+INDEX(Matches!$J$2:$J$25,I168-1),INDEX(Matches!$A$2:$A$25,I168-1),""))</f>
        <v/>
      </c>
      <c r="B168" t="str">
        <f>IF(A168="","",IF(J168&lt;=INDEX(Matches!$I$2:$I$25,I168-1),INDEX(Matches!$G$2:$G$25,I168-1),INDEX(Matches!$H$2:$H$25,I168-1)))</f>
        <v/>
      </c>
      <c r="C168" t="str">
        <f>IF(A168="","",COUNTIFS($A$2:A168,A168,$B$2:B168,B168))</f>
        <v/>
      </c>
      <c r="D168" s="2" t="str">
        <f t="shared" si="6"/>
        <v/>
      </c>
      <c r="E168" s="2"/>
      <c r="F168" t="str">
        <f t="shared" si="7"/>
        <v/>
      </c>
      <c r="G168" t="str">
        <f t="shared" si="8"/>
        <v/>
      </c>
      <c r="H168" t="str">
        <f>IF(F168="","",VLOOKUP(F168,Validation!$A$2:$B$17,2,FALSE))</f>
        <v/>
      </c>
      <c r="I168">
        <f>INT((ROW()-2)/Settings!$B$6)+2</f>
        <v>15</v>
      </c>
      <c r="J168">
        <f>MOD(ROW()-2,Settings!$B$6)+1</f>
        <v>11</v>
      </c>
    </row>
    <row r="169" spans="1:10" x14ac:dyDescent="0.3">
      <c r="A169" t="str">
        <f>IF(OR(INDEX(Matches!$I$2:$I$25,I169-1)="",INDEX(Matches!$J$2:$J$25,I169-1)=""),"",IF(J169&lt;=INDEX(Matches!$I$2:$I$25,I169-1)+INDEX(Matches!$J$2:$J$25,I169-1),INDEX(Matches!$A$2:$A$25,I169-1),""))</f>
        <v/>
      </c>
      <c r="B169" t="str">
        <f>IF(A169="","",IF(J169&lt;=INDEX(Matches!$I$2:$I$25,I169-1),INDEX(Matches!$G$2:$G$25,I169-1),INDEX(Matches!$H$2:$H$25,I169-1)))</f>
        <v/>
      </c>
      <c r="C169" t="str">
        <f>IF(A169="","",COUNTIFS($A$2:A169,A169,$B$2:B169,B169))</f>
        <v/>
      </c>
      <c r="D169" s="2" t="str">
        <f t="shared" si="6"/>
        <v/>
      </c>
      <c r="E169" s="2"/>
      <c r="F169" t="str">
        <f t="shared" si="7"/>
        <v/>
      </c>
      <c r="G169" t="str">
        <f t="shared" si="8"/>
        <v/>
      </c>
      <c r="H169" t="str">
        <f>IF(F169="","",VLOOKUP(F169,Validation!$A$2:$B$17,2,FALSE))</f>
        <v/>
      </c>
      <c r="I169">
        <f>INT((ROW()-2)/Settings!$B$6)+2</f>
        <v>15</v>
      </c>
      <c r="J169">
        <f>MOD(ROW()-2,Settings!$B$6)+1</f>
        <v>12</v>
      </c>
    </row>
    <row r="170" spans="1:10" x14ac:dyDescent="0.3">
      <c r="A170" t="str">
        <f>IF(OR(INDEX(Matches!$I$2:$I$25,I170-1)="",INDEX(Matches!$J$2:$J$25,I170-1)=""),"",IF(J170&lt;=INDEX(Matches!$I$2:$I$25,I170-1)+INDEX(Matches!$J$2:$J$25,I170-1),INDEX(Matches!$A$2:$A$25,I170-1),""))</f>
        <v/>
      </c>
      <c r="B170" t="str">
        <f>IF(A170="","",IF(J170&lt;=INDEX(Matches!$I$2:$I$25,I170-1),INDEX(Matches!$G$2:$G$25,I170-1),INDEX(Matches!$H$2:$H$25,I170-1)))</f>
        <v/>
      </c>
      <c r="C170" t="str">
        <f>IF(A170="","",COUNTIFS($A$2:A170,A170,$B$2:B170,B170))</f>
        <v/>
      </c>
      <c r="D170" s="2" t="str">
        <f t="shared" si="6"/>
        <v/>
      </c>
      <c r="E170" s="2"/>
      <c r="F170" t="str">
        <f t="shared" si="7"/>
        <v/>
      </c>
      <c r="G170" t="str">
        <f t="shared" si="8"/>
        <v/>
      </c>
      <c r="H170" t="str">
        <f>IF(F170="","",VLOOKUP(F170,Validation!$A$2:$B$17,2,FALSE))</f>
        <v/>
      </c>
      <c r="I170">
        <f>INT((ROW()-2)/Settings!$B$6)+2</f>
        <v>16</v>
      </c>
      <c r="J170">
        <f>MOD(ROW()-2,Settings!$B$6)+1</f>
        <v>1</v>
      </c>
    </row>
    <row r="171" spans="1:10" x14ac:dyDescent="0.3">
      <c r="A171" t="str">
        <f>IF(OR(INDEX(Matches!$I$2:$I$25,I171-1)="",INDEX(Matches!$J$2:$J$25,I171-1)=""),"",IF(J171&lt;=INDEX(Matches!$I$2:$I$25,I171-1)+INDEX(Matches!$J$2:$J$25,I171-1),INDEX(Matches!$A$2:$A$25,I171-1),""))</f>
        <v/>
      </c>
      <c r="B171" t="str">
        <f>IF(A171="","",IF(J171&lt;=INDEX(Matches!$I$2:$I$25,I171-1),INDEX(Matches!$G$2:$G$25,I171-1),INDEX(Matches!$H$2:$H$25,I171-1)))</f>
        <v/>
      </c>
      <c r="C171" t="str">
        <f>IF(A171="","",COUNTIFS($A$2:A171,A171,$B$2:B171,B171))</f>
        <v/>
      </c>
      <c r="D171" s="2" t="str">
        <f t="shared" si="6"/>
        <v/>
      </c>
      <c r="E171" s="2"/>
      <c r="F171" t="str">
        <f t="shared" si="7"/>
        <v/>
      </c>
      <c r="G171" t="str">
        <f t="shared" si="8"/>
        <v/>
      </c>
      <c r="H171" t="str">
        <f>IF(F171="","",VLOOKUP(F171,Validation!$A$2:$B$17,2,FALSE))</f>
        <v/>
      </c>
      <c r="I171">
        <f>INT((ROW()-2)/Settings!$B$6)+2</f>
        <v>16</v>
      </c>
      <c r="J171">
        <f>MOD(ROW()-2,Settings!$B$6)+1</f>
        <v>2</v>
      </c>
    </row>
    <row r="172" spans="1:10" x14ac:dyDescent="0.3">
      <c r="A172" t="str">
        <f>IF(OR(INDEX(Matches!$I$2:$I$25,I172-1)="",INDEX(Matches!$J$2:$J$25,I172-1)=""),"",IF(J172&lt;=INDEX(Matches!$I$2:$I$25,I172-1)+INDEX(Matches!$J$2:$J$25,I172-1),INDEX(Matches!$A$2:$A$25,I172-1),""))</f>
        <v/>
      </c>
      <c r="B172" t="str">
        <f>IF(A172="","",IF(J172&lt;=INDEX(Matches!$I$2:$I$25,I172-1),INDEX(Matches!$G$2:$G$25,I172-1),INDEX(Matches!$H$2:$H$25,I172-1)))</f>
        <v/>
      </c>
      <c r="C172" t="str">
        <f>IF(A172="","",COUNTIFS($A$2:A172,A172,$B$2:B172,B172))</f>
        <v/>
      </c>
      <c r="D172" s="2" t="str">
        <f t="shared" si="6"/>
        <v/>
      </c>
      <c r="E172" s="2"/>
      <c r="F172" t="str">
        <f t="shared" si="7"/>
        <v/>
      </c>
      <c r="G172" t="str">
        <f t="shared" si="8"/>
        <v/>
      </c>
      <c r="H172" t="str">
        <f>IF(F172="","",VLOOKUP(F172,Validation!$A$2:$B$17,2,FALSE))</f>
        <v/>
      </c>
      <c r="I172">
        <f>INT((ROW()-2)/Settings!$B$6)+2</f>
        <v>16</v>
      </c>
      <c r="J172">
        <f>MOD(ROW()-2,Settings!$B$6)+1</f>
        <v>3</v>
      </c>
    </row>
    <row r="173" spans="1:10" x14ac:dyDescent="0.3">
      <c r="A173" t="str">
        <f>IF(OR(INDEX(Matches!$I$2:$I$25,I173-1)="",INDEX(Matches!$J$2:$J$25,I173-1)=""),"",IF(J173&lt;=INDEX(Matches!$I$2:$I$25,I173-1)+INDEX(Matches!$J$2:$J$25,I173-1),INDEX(Matches!$A$2:$A$25,I173-1),""))</f>
        <v/>
      </c>
      <c r="B173" t="str">
        <f>IF(A173="","",IF(J173&lt;=INDEX(Matches!$I$2:$I$25,I173-1),INDEX(Matches!$G$2:$G$25,I173-1),INDEX(Matches!$H$2:$H$25,I173-1)))</f>
        <v/>
      </c>
      <c r="C173" t="str">
        <f>IF(A173="","",COUNTIFS($A$2:A173,A173,$B$2:B173,B173))</f>
        <v/>
      </c>
      <c r="D173" s="2" t="str">
        <f t="shared" si="6"/>
        <v/>
      </c>
      <c r="E173" s="2"/>
      <c r="F173" t="str">
        <f t="shared" si="7"/>
        <v/>
      </c>
      <c r="G173" t="str">
        <f t="shared" si="8"/>
        <v/>
      </c>
      <c r="H173" t="str">
        <f>IF(F173="","",VLOOKUP(F173,Validation!$A$2:$B$17,2,FALSE))</f>
        <v/>
      </c>
      <c r="I173">
        <f>INT((ROW()-2)/Settings!$B$6)+2</f>
        <v>16</v>
      </c>
      <c r="J173">
        <f>MOD(ROW()-2,Settings!$B$6)+1</f>
        <v>4</v>
      </c>
    </row>
    <row r="174" spans="1:10" x14ac:dyDescent="0.3">
      <c r="A174" t="str">
        <f>IF(OR(INDEX(Matches!$I$2:$I$25,I174-1)="",INDEX(Matches!$J$2:$J$25,I174-1)=""),"",IF(J174&lt;=INDEX(Matches!$I$2:$I$25,I174-1)+INDEX(Matches!$J$2:$J$25,I174-1),INDEX(Matches!$A$2:$A$25,I174-1),""))</f>
        <v/>
      </c>
      <c r="B174" t="str">
        <f>IF(A174="","",IF(J174&lt;=INDEX(Matches!$I$2:$I$25,I174-1),INDEX(Matches!$G$2:$G$25,I174-1),INDEX(Matches!$H$2:$H$25,I174-1)))</f>
        <v/>
      </c>
      <c r="C174" t="str">
        <f>IF(A174="","",COUNTIFS($A$2:A174,A174,$B$2:B174,B174))</f>
        <v/>
      </c>
      <c r="D174" s="2" t="str">
        <f t="shared" si="6"/>
        <v/>
      </c>
      <c r="E174" s="2"/>
      <c r="F174" t="str">
        <f t="shared" si="7"/>
        <v/>
      </c>
      <c r="G174" t="str">
        <f t="shared" si="8"/>
        <v/>
      </c>
      <c r="H174" t="str">
        <f>IF(F174="","",VLOOKUP(F174,Validation!$A$2:$B$17,2,FALSE))</f>
        <v/>
      </c>
      <c r="I174">
        <f>INT((ROW()-2)/Settings!$B$6)+2</f>
        <v>16</v>
      </c>
      <c r="J174">
        <f>MOD(ROW()-2,Settings!$B$6)+1</f>
        <v>5</v>
      </c>
    </row>
    <row r="175" spans="1:10" x14ac:dyDescent="0.3">
      <c r="A175" t="str">
        <f>IF(OR(INDEX(Matches!$I$2:$I$25,I175-1)="",INDEX(Matches!$J$2:$J$25,I175-1)=""),"",IF(J175&lt;=INDEX(Matches!$I$2:$I$25,I175-1)+INDEX(Matches!$J$2:$J$25,I175-1),INDEX(Matches!$A$2:$A$25,I175-1),""))</f>
        <v/>
      </c>
      <c r="B175" t="str">
        <f>IF(A175="","",IF(J175&lt;=INDEX(Matches!$I$2:$I$25,I175-1),INDEX(Matches!$G$2:$G$25,I175-1),INDEX(Matches!$H$2:$H$25,I175-1)))</f>
        <v/>
      </c>
      <c r="C175" t="str">
        <f>IF(A175="","",COUNTIFS($A$2:A175,A175,$B$2:B175,B175))</f>
        <v/>
      </c>
      <c r="D175" s="2" t="str">
        <f t="shared" si="6"/>
        <v/>
      </c>
      <c r="E175" s="2"/>
      <c r="F175" t="str">
        <f t="shared" si="7"/>
        <v/>
      </c>
      <c r="G175" t="str">
        <f t="shared" si="8"/>
        <v/>
      </c>
      <c r="H175" t="str">
        <f>IF(F175="","",VLOOKUP(F175,Validation!$A$2:$B$17,2,FALSE))</f>
        <v/>
      </c>
      <c r="I175">
        <f>INT((ROW()-2)/Settings!$B$6)+2</f>
        <v>16</v>
      </c>
      <c r="J175">
        <f>MOD(ROW()-2,Settings!$B$6)+1</f>
        <v>6</v>
      </c>
    </row>
    <row r="176" spans="1:10" x14ac:dyDescent="0.3">
      <c r="A176" t="str">
        <f>IF(OR(INDEX(Matches!$I$2:$I$25,I176-1)="",INDEX(Matches!$J$2:$J$25,I176-1)=""),"",IF(J176&lt;=INDEX(Matches!$I$2:$I$25,I176-1)+INDEX(Matches!$J$2:$J$25,I176-1),INDEX(Matches!$A$2:$A$25,I176-1),""))</f>
        <v/>
      </c>
      <c r="B176" t="str">
        <f>IF(A176="","",IF(J176&lt;=INDEX(Matches!$I$2:$I$25,I176-1),INDEX(Matches!$G$2:$G$25,I176-1),INDEX(Matches!$H$2:$H$25,I176-1)))</f>
        <v/>
      </c>
      <c r="C176" t="str">
        <f>IF(A176="","",COUNTIFS($A$2:A176,A176,$B$2:B176,B176))</f>
        <v/>
      </c>
      <c r="D176" s="2" t="str">
        <f t="shared" si="6"/>
        <v/>
      </c>
      <c r="E176" s="2"/>
      <c r="F176" t="str">
        <f t="shared" si="7"/>
        <v/>
      </c>
      <c r="G176" t="str">
        <f t="shared" si="8"/>
        <v/>
      </c>
      <c r="H176" t="str">
        <f>IF(F176="","",VLOOKUP(F176,Validation!$A$2:$B$17,2,FALSE))</f>
        <v/>
      </c>
      <c r="I176">
        <f>INT((ROW()-2)/Settings!$B$6)+2</f>
        <v>16</v>
      </c>
      <c r="J176">
        <f>MOD(ROW()-2,Settings!$B$6)+1</f>
        <v>7</v>
      </c>
    </row>
    <row r="177" spans="1:10" x14ac:dyDescent="0.3">
      <c r="A177" t="str">
        <f>IF(OR(INDEX(Matches!$I$2:$I$25,I177-1)="",INDEX(Matches!$J$2:$J$25,I177-1)=""),"",IF(J177&lt;=INDEX(Matches!$I$2:$I$25,I177-1)+INDEX(Matches!$J$2:$J$25,I177-1),INDEX(Matches!$A$2:$A$25,I177-1),""))</f>
        <v/>
      </c>
      <c r="B177" t="str">
        <f>IF(A177="","",IF(J177&lt;=INDEX(Matches!$I$2:$I$25,I177-1),INDEX(Matches!$G$2:$G$25,I177-1),INDEX(Matches!$H$2:$H$25,I177-1)))</f>
        <v/>
      </c>
      <c r="C177" t="str">
        <f>IF(A177="","",COUNTIFS($A$2:A177,A177,$B$2:B177,B177))</f>
        <v/>
      </c>
      <c r="D177" s="2" t="str">
        <f t="shared" si="6"/>
        <v/>
      </c>
      <c r="E177" s="2"/>
      <c r="F177" t="str">
        <f t="shared" si="7"/>
        <v/>
      </c>
      <c r="G177" t="str">
        <f t="shared" si="8"/>
        <v/>
      </c>
      <c r="H177" t="str">
        <f>IF(F177="","",VLOOKUP(F177,Validation!$A$2:$B$17,2,FALSE))</f>
        <v/>
      </c>
      <c r="I177">
        <f>INT((ROW()-2)/Settings!$B$6)+2</f>
        <v>16</v>
      </c>
      <c r="J177">
        <f>MOD(ROW()-2,Settings!$B$6)+1</f>
        <v>8</v>
      </c>
    </row>
    <row r="178" spans="1:10" x14ac:dyDescent="0.3">
      <c r="A178" t="str">
        <f>IF(OR(INDEX(Matches!$I$2:$I$25,I178-1)="",INDEX(Matches!$J$2:$J$25,I178-1)=""),"",IF(J178&lt;=INDEX(Matches!$I$2:$I$25,I178-1)+INDEX(Matches!$J$2:$J$25,I178-1),INDEX(Matches!$A$2:$A$25,I178-1),""))</f>
        <v/>
      </c>
      <c r="B178" t="str">
        <f>IF(A178="","",IF(J178&lt;=INDEX(Matches!$I$2:$I$25,I178-1),INDEX(Matches!$G$2:$G$25,I178-1),INDEX(Matches!$H$2:$H$25,I178-1)))</f>
        <v/>
      </c>
      <c r="C178" t="str">
        <f>IF(A178="","",COUNTIFS($A$2:A178,A178,$B$2:B178,B178))</f>
        <v/>
      </c>
      <c r="D178" s="2" t="str">
        <f t="shared" si="6"/>
        <v/>
      </c>
      <c r="E178" s="2"/>
      <c r="F178" t="str">
        <f t="shared" si="7"/>
        <v/>
      </c>
      <c r="G178" t="str">
        <f t="shared" si="8"/>
        <v/>
      </c>
      <c r="H178" t="str">
        <f>IF(F178="","",VLOOKUP(F178,Validation!$A$2:$B$17,2,FALSE))</f>
        <v/>
      </c>
      <c r="I178">
        <f>INT((ROW()-2)/Settings!$B$6)+2</f>
        <v>16</v>
      </c>
      <c r="J178">
        <f>MOD(ROW()-2,Settings!$B$6)+1</f>
        <v>9</v>
      </c>
    </row>
    <row r="179" spans="1:10" x14ac:dyDescent="0.3">
      <c r="A179" t="str">
        <f>IF(OR(INDEX(Matches!$I$2:$I$25,I179-1)="",INDEX(Matches!$J$2:$J$25,I179-1)=""),"",IF(J179&lt;=INDEX(Matches!$I$2:$I$25,I179-1)+INDEX(Matches!$J$2:$J$25,I179-1),INDEX(Matches!$A$2:$A$25,I179-1),""))</f>
        <v/>
      </c>
      <c r="B179" t="str">
        <f>IF(A179="","",IF(J179&lt;=INDEX(Matches!$I$2:$I$25,I179-1),INDEX(Matches!$G$2:$G$25,I179-1),INDEX(Matches!$H$2:$H$25,I179-1)))</f>
        <v/>
      </c>
      <c r="C179" t="str">
        <f>IF(A179="","",COUNTIFS($A$2:A179,A179,$B$2:B179,B179))</f>
        <v/>
      </c>
      <c r="D179" s="2" t="str">
        <f t="shared" si="6"/>
        <v/>
      </c>
      <c r="E179" s="2"/>
      <c r="F179" t="str">
        <f t="shared" si="7"/>
        <v/>
      </c>
      <c r="G179" t="str">
        <f t="shared" si="8"/>
        <v/>
      </c>
      <c r="H179" t="str">
        <f>IF(F179="","",VLOOKUP(F179,Validation!$A$2:$B$17,2,FALSE))</f>
        <v/>
      </c>
      <c r="I179">
        <f>INT((ROW()-2)/Settings!$B$6)+2</f>
        <v>16</v>
      </c>
      <c r="J179">
        <f>MOD(ROW()-2,Settings!$B$6)+1</f>
        <v>10</v>
      </c>
    </row>
    <row r="180" spans="1:10" x14ac:dyDescent="0.3">
      <c r="A180" t="str">
        <f>IF(OR(INDEX(Matches!$I$2:$I$25,I180-1)="",INDEX(Matches!$J$2:$J$25,I180-1)=""),"",IF(J180&lt;=INDEX(Matches!$I$2:$I$25,I180-1)+INDEX(Matches!$J$2:$J$25,I180-1),INDEX(Matches!$A$2:$A$25,I180-1),""))</f>
        <v/>
      </c>
      <c r="B180" t="str">
        <f>IF(A180="","",IF(J180&lt;=INDEX(Matches!$I$2:$I$25,I180-1),INDEX(Matches!$G$2:$G$25,I180-1),INDEX(Matches!$H$2:$H$25,I180-1)))</f>
        <v/>
      </c>
      <c r="C180" t="str">
        <f>IF(A180="","",COUNTIFS($A$2:A180,A180,$B$2:B180,B180))</f>
        <v/>
      </c>
      <c r="D180" s="2" t="str">
        <f t="shared" si="6"/>
        <v/>
      </c>
      <c r="E180" s="2"/>
      <c r="F180" t="str">
        <f t="shared" si="7"/>
        <v/>
      </c>
      <c r="G180" t="str">
        <f t="shared" si="8"/>
        <v/>
      </c>
      <c r="H180" t="str">
        <f>IF(F180="","",VLOOKUP(F180,Validation!$A$2:$B$17,2,FALSE))</f>
        <v/>
      </c>
      <c r="I180">
        <f>INT((ROW()-2)/Settings!$B$6)+2</f>
        <v>16</v>
      </c>
      <c r="J180">
        <f>MOD(ROW()-2,Settings!$B$6)+1</f>
        <v>11</v>
      </c>
    </row>
    <row r="181" spans="1:10" x14ac:dyDescent="0.3">
      <c r="A181" t="str">
        <f>IF(OR(INDEX(Matches!$I$2:$I$25,I181-1)="",INDEX(Matches!$J$2:$J$25,I181-1)=""),"",IF(J181&lt;=INDEX(Matches!$I$2:$I$25,I181-1)+INDEX(Matches!$J$2:$J$25,I181-1),INDEX(Matches!$A$2:$A$25,I181-1),""))</f>
        <v/>
      </c>
      <c r="B181" t="str">
        <f>IF(A181="","",IF(J181&lt;=INDEX(Matches!$I$2:$I$25,I181-1),INDEX(Matches!$G$2:$G$25,I181-1),INDEX(Matches!$H$2:$H$25,I181-1)))</f>
        <v/>
      </c>
      <c r="C181" t="str">
        <f>IF(A181="","",COUNTIFS($A$2:A181,A181,$B$2:B181,B181))</f>
        <v/>
      </c>
      <c r="D181" s="2" t="str">
        <f t="shared" si="6"/>
        <v/>
      </c>
      <c r="E181" s="2"/>
      <c r="F181" t="str">
        <f t="shared" si="7"/>
        <v/>
      </c>
      <c r="G181" t="str">
        <f t="shared" si="8"/>
        <v/>
      </c>
      <c r="H181" t="str">
        <f>IF(F181="","",VLOOKUP(F181,Validation!$A$2:$B$17,2,FALSE))</f>
        <v/>
      </c>
      <c r="I181">
        <f>INT((ROW()-2)/Settings!$B$6)+2</f>
        <v>16</v>
      </c>
      <c r="J181">
        <f>MOD(ROW()-2,Settings!$B$6)+1</f>
        <v>12</v>
      </c>
    </row>
    <row r="182" spans="1:10" x14ac:dyDescent="0.3">
      <c r="A182" t="str">
        <f>IF(OR(INDEX(Matches!$I$2:$I$25,I182-1)="",INDEX(Matches!$J$2:$J$25,I182-1)=""),"",IF(J182&lt;=INDEX(Matches!$I$2:$I$25,I182-1)+INDEX(Matches!$J$2:$J$25,I182-1),INDEX(Matches!$A$2:$A$25,I182-1),""))</f>
        <v/>
      </c>
      <c r="B182" t="str">
        <f>IF(A182="","",IF(J182&lt;=INDEX(Matches!$I$2:$I$25,I182-1),INDEX(Matches!$G$2:$G$25,I182-1),INDEX(Matches!$H$2:$H$25,I182-1)))</f>
        <v/>
      </c>
      <c r="C182" t="str">
        <f>IF(A182="","",COUNTIFS($A$2:A182,A182,$B$2:B182,B182))</f>
        <v/>
      </c>
      <c r="D182" s="2" t="str">
        <f t="shared" si="6"/>
        <v/>
      </c>
      <c r="E182" s="2"/>
      <c r="F182" t="str">
        <f t="shared" si="7"/>
        <v/>
      </c>
      <c r="G182" t="str">
        <f t="shared" si="8"/>
        <v/>
      </c>
      <c r="H182" t="str">
        <f>IF(F182="","",VLOOKUP(F182,Validation!$A$2:$B$17,2,FALSE))</f>
        <v/>
      </c>
      <c r="I182">
        <f>INT((ROW()-2)/Settings!$B$6)+2</f>
        <v>17</v>
      </c>
      <c r="J182">
        <f>MOD(ROW()-2,Settings!$B$6)+1</f>
        <v>1</v>
      </c>
    </row>
    <row r="183" spans="1:10" x14ac:dyDescent="0.3">
      <c r="A183" t="str">
        <f>IF(OR(INDEX(Matches!$I$2:$I$25,I183-1)="",INDEX(Matches!$J$2:$J$25,I183-1)=""),"",IF(J183&lt;=INDEX(Matches!$I$2:$I$25,I183-1)+INDEX(Matches!$J$2:$J$25,I183-1),INDEX(Matches!$A$2:$A$25,I183-1),""))</f>
        <v/>
      </c>
      <c r="B183" t="str">
        <f>IF(A183="","",IF(J183&lt;=INDEX(Matches!$I$2:$I$25,I183-1),INDEX(Matches!$G$2:$G$25,I183-1),INDEX(Matches!$H$2:$H$25,I183-1)))</f>
        <v/>
      </c>
      <c r="C183" t="str">
        <f>IF(A183="","",COUNTIFS($A$2:A183,A183,$B$2:B183,B183))</f>
        <v/>
      </c>
      <c r="D183" s="2" t="str">
        <f t="shared" si="6"/>
        <v/>
      </c>
      <c r="E183" s="2"/>
      <c r="F183" t="str">
        <f t="shared" si="7"/>
        <v/>
      </c>
      <c r="G183" t="str">
        <f t="shared" si="8"/>
        <v/>
      </c>
      <c r="H183" t="str">
        <f>IF(F183="","",VLOOKUP(F183,Validation!$A$2:$B$17,2,FALSE))</f>
        <v/>
      </c>
      <c r="I183">
        <f>INT((ROW()-2)/Settings!$B$6)+2</f>
        <v>17</v>
      </c>
      <c r="J183">
        <f>MOD(ROW()-2,Settings!$B$6)+1</f>
        <v>2</v>
      </c>
    </row>
    <row r="184" spans="1:10" x14ac:dyDescent="0.3">
      <c r="A184" t="str">
        <f>IF(OR(INDEX(Matches!$I$2:$I$25,I184-1)="",INDEX(Matches!$J$2:$J$25,I184-1)=""),"",IF(J184&lt;=INDEX(Matches!$I$2:$I$25,I184-1)+INDEX(Matches!$J$2:$J$25,I184-1),INDEX(Matches!$A$2:$A$25,I184-1),""))</f>
        <v/>
      </c>
      <c r="B184" t="str">
        <f>IF(A184="","",IF(J184&lt;=INDEX(Matches!$I$2:$I$25,I184-1),INDEX(Matches!$G$2:$G$25,I184-1),INDEX(Matches!$H$2:$H$25,I184-1)))</f>
        <v/>
      </c>
      <c r="C184" t="str">
        <f>IF(A184="","",COUNTIFS($A$2:A184,A184,$B$2:B184,B184))</f>
        <v/>
      </c>
      <c r="D184" s="2" t="str">
        <f t="shared" si="6"/>
        <v/>
      </c>
      <c r="E184" s="2"/>
      <c r="F184" t="str">
        <f t="shared" si="7"/>
        <v/>
      </c>
      <c r="G184" t="str">
        <f t="shared" si="8"/>
        <v/>
      </c>
      <c r="H184" t="str">
        <f>IF(F184="","",VLOOKUP(F184,Validation!$A$2:$B$17,2,FALSE))</f>
        <v/>
      </c>
      <c r="I184">
        <f>INT((ROW()-2)/Settings!$B$6)+2</f>
        <v>17</v>
      </c>
      <c r="J184">
        <f>MOD(ROW()-2,Settings!$B$6)+1</f>
        <v>3</v>
      </c>
    </row>
    <row r="185" spans="1:10" x14ac:dyDescent="0.3">
      <c r="A185" t="str">
        <f>IF(OR(INDEX(Matches!$I$2:$I$25,I185-1)="",INDEX(Matches!$J$2:$J$25,I185-1)=""),"",IF(J185&lt;=INDEX(Matches!$I$2:$I$25,I185-1)+INDEX(Matches!$J$2:$J$25,I185-1),INDEX(Matches!$A$2:$A$25,I185-1),""))</f>
        <v/>
      </c>
      <c r="B185" t="str">
        <f>IF(A185="","",IF(J185&lt;=INDEX(Matches!$I$2:$I$25,I185-1),INDEX(Matches!$G$2:$G$25,I185-1),INDEX(Matches!$H$2:$H$25,I185-1)))</f>
        <v/>
      </c>
      <c r="C185" t="str">
        <f>IF(A185="","",COUNTIFS($A$2:A185,A185,$B$2:B185,B185))</f>
        <v/>
      </c>
      <c r="D185" s="2" t="str">
        <f t="shared" si="6"/>
        <v/>
      </c>
      <c r="E185" s="2"/>
      <c r="F185" t="str">
        <f t="shared" si="7"/>
        <v/>
      </c>
      <c r="G185" t="str">
        <f t="shared" si="8"/>
        <v/>
      </c>
      <c r="H185" t="str">
        <f>IF(F185="","",VLOOKUP(F185,Validation!$A$2:$B$17,2,FALSE))</f>
        <v/>
      </c>
      <c r="I185">
        <f>INT((ROW()-2)/Settings!$B$6)+2</f>
        <v>17</v>
      </c>
      <c r="J185">
        <f>MOD(ROW()-2,Settings!$B$6)+1</f>
        <v>4</v>
      </c>
    </row>
    <row r="186" spans="1:10" x14ac:dyDescent="0.3">
      <c r="A186" t="str">
        <f>IF(OR(INDEX(Matches!$I$2:$I$25,I186-1)="",INDEX(Matches!$J$2:$J$25,I186-1)=""),"",IF(J186&lt;=INDEX(Matches!$I$2:$I$25,I186-1)+INDEX(Matches!$J$2:$J$25,I186-1),INDEX(Matches!$A$2:$A$25,I186-1),""))</f>
        <v/>
      </c>
      <c r="B186" t="str">
        <f>IF(A186="","",IF(J186&lt;=INDEX(Matches!$I$2:$I$25,I186-1),INDEX(Matches!$G$2:$G$25,I186-1),INDEX(Matches!$H$2:$H$25,I186-1)))</f>
        <v/>
      </c>
      <c r="C186" t="str">
        <f>IF(A186="","",COUNTIFS($A$2:A186,A186,$B$2:B186,B186))</f>
        <v/>
      </c>
      <c r="D186" s="2" t="str">
        <f t="shared" si="6"/>
        <v/>
      </c>
      <c r="E186" s="2"/>
      <c r="F186" t="str">
        <f t="shared" si="7"/>
        <v/>
      </c>
      <c r="G186" t="str">
        <f t="shared" si="8"/>
        <v/>
      </c>
      <c r="H186" t="str">
        <f>IF(F186="","",VLOOKUP(F186,Validation!$A$2:$B$17,2,FALSE))</f>
        <v/>
      </c>
      <c r="I186">
        <f>INT((ROW()-2)/Settings!$B$6)+2</f>
        <v>17</v>
      </c>
      <c r="J186">
        <f>MOD(ROW()-2,Settings!$B$6)+1</f>
        <v>5</v>
      </c>
    </row>
    <row r="187" spans="1:10" x14ac:dyDescent="0.3">
      <c r="A187" t="str">
        <f>IF(OR(INDEX(Matches!$I$2:$I$25,I187-1)="",INDEX(Matches!$J$2:$J$25,I187-1)=""),"",IF(J187&lt;=INDEX(Matches!$I$2:$I$25,I187-1)+INDEX(Matches!$J$2:$J$25,I187-1),INDEX(Matches!$A$2:$A$25,I187-1),""))</f>
        <v/>
      </c>
      <c r="B187" t="str">
        <f>IF(A187="","",IF(J187&lt;=INDEX(Matches!$I$2:$I$25,I187-1),INDEX(Matches!$G$2:$G$25,I187-1),INDEX(Matches!$H$2:$H$25,I187-1)))</f>
        <v/>
      </c>
      <c r="C187" t="str">
        <f>IF(A187="","",COUNTIFS($A$2:A187,A187,$B$2:B187,B187))</f>
        <v/>
      </c>
      <c r="D187" s="2" t="str">
        <f t="shared" si="6"/>
        <v/>
      </c>
      <c r="E187" s="2"/>
      <c r="F187" t="str">
        <f t="shared" si="7"/>
        <v/>
      </c>
      <c r="G187" t="str">
        <f t="shared" si="8"/>
        <v/>
      </c>
      <c r="H187" t="str">
        <f>IF(F187="","",VLOOKUP(F187,Validation!$A$2:$B$17,2,FALSE))</f>
        <v/>
      </c>
      <c r="I187">
        <f>INT((ROW()-2)/Settings!$B$6)+2</f>
        <v>17</v>
      </c>
      <c r="J187">
        <f>MOD(ROW()-2,Settings!$B$6)+1</f>
        <v>6</v>
      </c>
    </row>
    <row r="188" spans="1:10" x14ac:dyDescent="0.3">
      <c r="A188" t="str">
        <f>IF(OR(INDEX(Matches!$I$2:$I$25,I188-1)="",INDEX(Matches!$J$2:$J$25,I188-1)=""),"",IF(J188&lt;=INDEX(Matches!$I$2:$I$25,I188-1)+INDEX(Matches!$J$2:$J$25,I188-1),INDEX(Matches!$A$2:$A$25,I188-1),""))</f>
        <v/>
      </c>
      <c r="B188" t="str">
        <f>IF(A188="","",IF(J188&lt;=INDEX(Matches!$I$2:$I$25,I188-1),INDEX(Matches!$G$2:$G$25,I188-1),INDEX(Matches!$H$2:$H$25,I188-1)))</f>
        <v/>
      </c>
      <c r="C188" t="str">
        <f>IF(A188="","",COUNTIFS($A$2:A188,A188,$B$2:B188,B188))</f>
        <v/>
      </c>
      <c r="D188" s="2" t="str">
        <f t="shared" si="6"/>
        <v/>
      </c>
      <c r="E188" s="2"/>
      <c r="F188" t="str">
        <f t="shared" si="7"/>
        <v/>
      </c>
      <c r="G188" t="str">
        <f t="shared" si="8"/>
        <v/>
      </c>
      <c r="H188" t="str">
        <f>IF(F188="","",VLOOKUP(F188,Validation!$A$2:$B$17,2,FALSE))</f>
        <v/>
      </c>
      <c r="I188">
        <f>INT((ROW()-2)/Settings!$B$6)+2</f>
        <v>17</v>
      </c>
      <c r="J188">
        <f>MOD(ROW()-2,Settings!$B$6)+1</f>
        <v>7</v>
      </c>
    </row>
    <row r="189" spans="1:10" x14ac:dyDescent="0.3">
      <c r="A189" t="str">
        <f>IF(OR(INDEX(Matches!$I$2:$I$25,I189-1)="",INDEX(Matches!$J$2:$J$25,I189-1)=""),"",IF(J189&lt;=INDEX(Matches!$I$2:$I$25,I189-1)+INDEX(Matches!$J$2:$J$25,I189-1),INDEX(Matches!$A$2:$A$25,I189-1),""))</f>
        <v/>
      </c>
      <c r="B189" t="str">
        <f>IF(A189="","",IF(J189&lt;=INDEX(Matches!$I$2:$I$25,I189-1),INDEX(Matches!$G$2:$G$25,I189-1),INDEX(Matches!$H$2:$H$25,I189-1)))</f>
        <v/>
      </c>
      <c r="C189" t="str">
        <f>IF(A189="","",COUNTIFS($A$2:A189,A189,$B$2:B189,B189))</f>
        <v/>
      </c>
      <c r="D189" s="2" t="str">
        <f t="shared" si="6"/>
        <v/>
      </c>
      <c r="E189" s="2"/>
      <c r="F189" t="str">
        <f t="shared" si="7"/>
        <v/>
      </c>
      <c r="G189" t="str">
        <f t="shared" si="8"/>
        <v/>
      </c>
      <c r="H189" t="str">
        <f>IF(F189="","",VLOOKUP(F189,Validation!$A$2:$B$17,2,FALSE))</f>
        <v/>
      </c>
      <c r="I189">
        <f>INT((ROW()-2)/Settings!$B$6)+2</f>
        <v>17</v>
      </c>
      <c r="J189">
        <f>MOD(ROW()-2,Settings!$B$6)+1</f>
        <v>8</v>
      </c>
    </row>
    <row r="190" spans="1:10" x14ac:dyDescent="0.3">
      <c r="A190" t="str">
        <f>IF(OR(INDEX(Matches!$I$2:$I$25,I190-1)="",INDEX(Matches!$J$2:$J$25,I190-1)=""),"",IF(J190&lt;=INDEX(Matches!$I$2:$I$25,I190-1)+INDEX(Matches!$J$2:$J$25,I190-1),INDEX(Matches!$A$2:$A$25,I190-1),""))</f>
        <v/>
      </c>
      <c r="B190" t="str">
        <f>IF(A190="","",IF(J190&lt;=INDEX(Matches!$I$2:$I$25,I190-1),INDEX(Matches!$G$2:$G$25,I190-1),INDEX(Matches!$H$2:$H$25,I190-1)))</f>
        <v/>
      </c>
      <c r="C190" t="str">
        <f>IF(A190="","",COUNTIFS($A$2:A190,A190,$B$2:B190,B190))</f>
        <v/>
      </c>
      <c r="D190" s="2" t="str">
        <f t="shared" si="6"/>
        <v/>
      </c>
      <c r="E190" s="2"/>
      <c r="F190" t="str">
        <f t="shared" si="7"/>
        <v/>
      </c>
      <c r="G190" t="str">
        <f t="shared" si="8"/>
        <v/>
      </c>
      <c r="H190" t="str">
        <f>IF(F190="","",VLOOKUP(F190,Validation!$A$2:$B$17,2,FALSE))</f>
        <v/>
      </c>
      <c r="I190">
        <f>INT((ROW()-2)/Settings!$B$6)+2</f>
        <v>17</v>
      </c>
      <c r="J190">
        <f>MOD(ROW()-2,Settings!$B$6)+1</f>
        <v>9</v>
      </c>
    </row>
    <row r="191" spans="1:10" x14ac:dyDescent="0.3">
      <c r="A191" t="str">
        <f>IF(OR(INDEX(Matches!$I$2:$I$25,I191-1)="",INDEX(Matches!$J$2:$J$25,I191-1)=""),"",IF(J191&lt;=INDEX(Matches!$I$2:$I$25,I191-1)+INDEX(Matches!$J$2:$J$25,I191-1),INDEX(Matches!$A$2:$A$25,I191-1),""))</f>
        <v/>
      </c>
      <c r="B191" t="str">
        <f>IF(A191="","",IF(J191&lt;=INDEX(Matches!$I$2:$I$25,I191-1),INDEX(Matches!$G$2:$G$25,I191-1),INDEX(Matches!$H$2:$H$25,I191-1)))</f>
        <v/>
      </c>
      <c r="C191" t="str">
        <f>IF(A191="","",COUNTIFS($A$2:A191,A191,$B$2:B191,B191))</f>
        <v/>
      </c>
      <c r="D191" s="2" t="str">
        <f t="shared" si="6"/>
        <v/>
      </c>
      <c r="E191" s="2"/>
      <c r="F191" t="str">
        <f t="shared" si="7"/>
        <v/>
      </c>
      <c r="G191" t="str">
        <f t="shared" si="8"/>
        <v/>
      </c>
      <c r="H191" t="str">
        <f>IF(F191="","",VLOOKUP(F191,Validation!$A$2:$B$17,2,FALSE))</f>
        <v/>
      </c>
      <c r="I191">
        <f>INT((ROW()-2)/Settings!$B$6)+2</f>
        <v>17</v>
      </c>
      <c r="J191">
        <f>MOD(ROW()-2,Settings!$B$6)+1</f>
        <v>10</v>
      </c>
    </row>
    <row r="192" spans="1:10" x14ac:dyDescent="0.3">
      <c r="A192" t="str">
        <f>IF(OR(INDEX(Matches!$I$2:$I$25,I192-1)="",INDEX(Matches!$J$2:$J$25,I192-1)=""),"",IF(J192&lt;=INDEX(Matches!$I$2:$I$25,I192-1)+INDEX(Matches!$J$2:$J$25,I192-1),INDEX(Matches!$A$2:$A$25,I192-1),""))</f>
        <v/>
      </c>
      <c r="B192" t="str">
        <f>IF(A192="","",IF(J192&lt;=INDEX(Matches!$I$2:$I$25,I192-1),INDEX(Matches!$G$2:$G$25,I192-1),INDEX(Matches!$H$2:$H$25,I192-1)))</f>
        <v/>
      </c>
      <c r="C192" t="str">
        <f>IF(A192="","",COUNTIFS($A$2:A192,A192,$B$2:B192,B192))</f>
        <v/>
      </c>
      <c r="D192" s="2" t="str">
        <f t="shared" si="6"/>
        <v/>
      </c>
      <c r="E192" s="2"/>
      <c r="F192" t="str">
        <f t="shared" si="7"/>
        <v/>
      </c>
      <c r="G192" t="str">
        <f t="shared" si="8"/>
        <v/>
      </c>
      <c r="H192" t="str">
        <f>IF(F192="","",VLOOKUP(F192,Validation!$A$2:$B$17,2,FALSE))</f>
        <v/>
      </c>
      <c r="I192">
        <f>INT((ROW()-2)/Settings!$B$6)+2</f>
        <v>17</v>
      </c>
      <c r="J192">
        <f>MOD(ROW()-2,Settings!$B$6)+1</f>
        <v>11</v>
      </c>
    </row>
    <row r="193" spans="1:10" x14ac:dyDescent="0.3">
      <c r="A193" t="str">
        <f>IF(OR(INDEX(Matches!$I$2:$I$25,I193-1)="",INDEX(Matches!$J$2:$J$25,I193-1)=""),"",IF(J193&lt;=INDEX(Matches!$I$2:$I$25,I193-1)+INDEX(Matches!$J$2:$J$25,I193-1),INDEX(Matches!$A$2:$A$25,I193-1),""))</f>
        <v/>
      </c>
      <c r="B193" t="str">
        <f>IF(A193="","",IF(J193&lt;=INDEX(Matches!$I$2:$I$25,I193-1),INDEX(Matches!$G$2:$G$25,I193-1),INDEX(Matches!$H$2:$H$25,I193-1)))</f>
        <v/>
      </c>
      <c r="C193" t="str">
        <f>IF(A193="","",COUNTIFS($A$2:A193,A193,$B$2:B193,B193))</f>
        <v/>
      </c>
      <c r="D193" s="2" t="str">
        <f t="shared" si="6"/>
        <v/>
      </c>
      <c r="E193" s="2"/>
      <c r="F193" t="str">
        <f t="shared" si="7"/>
        <v/>
      </c>
      <c r="G193" t="str">
        <f t="shared" si="8"/>
        <v/>
      </c>
      <c r="H193" t="str">
        <f>IF(F193="","",VLOOKUP(F193,Validation!$A$2:$B$17,2,FALSE))</f>
        <v/>
      </c>
      <c r="I193">
        <f>INT((ROW()-2)/Settings!$B$6)+2</f>
        <v>17</v>
      </c>
      <c r="J193">
        <f>MOD(ROW()-2,Settings!$B$6)+1</f>
        <v>12</v>
      </c>
    </row>
    <row r="194" spans="1:10" x14ac:dyDescent="0.3">
      <c r="A194" t="str">
        <f>IF(OR(INDEX(Matches!$I$2:$I$25,I194-1)="",INDEX(Matches!$J$2:$J$25,I194-1)=""),"",IF(J194&lt;=INDEX(Matches!$I$2:$I$25,I194-1)+INDEX(Matches!$J$2:$J$25,I194-1),INDEX(Matches!$A$2:$A$25,I194-1),""))</f>
        <v/>
      </c>
      <c r="B194" t="str">
        <f>IF(A194="","",IF(J194&lt;=INDEX(Matches!$I$2:$I$25,I194-1),INDEX(Matches!$G$2:$G$25,I194-1),INDEX(Matches!$H$2:$H$25,I194-1)))</f>
        <v/>
      </c>
      <c r="C194" t="str">
        <f>IF(A194="","",COUNTIFS($A$2:A194,A194,$B$2:B194,B194))</f>
        <v/>
      </c>
      <c r="D194" s="2" t="str">
        <f t="shared" ref="D194:D257" si="9">IF(A194="","","Goal")</f>
        <v/>
      </c>
      <c r="E194" s="2"/>
      <c r="F194" t="str">
        <f t="shared" ref="F194:F257" si="10">IF(A194="","",IF(D194="Autogol","",IF(D194="Goal",B194,"")))</f>
        <v/>
      </c>
      <c r="G194" t="str">
        <f t="shared" ref="G194:G257" si="11">IF(A194="","",IF(D194="","Manca tipo",IF(D194="Goal",IF(E194="","Manca giocatore","OK"),IF(D194="Autogol",IF(E194&lt;&gt;"","Autogol: svuota Player","OK"),"Tipo non valido"))))</f>
        <v/>
      </c>
      <c r="H194" t="str">
        <f>IF(F194="","",VLOOKUP(F194,Validation!$A$2:$B$17,2,FALSE))</f>
        <v/>
      </c>
      <c r="I194">
        <f>INT((ROW()-2)/Settings!$B$6)+2</f>
        <v>18</v>
      </c>
      <c r="J194">
        <f>MOD(ROW()-2,Settings!$B$6)+1</f>
        <v>1</v>
      </c>
    </row>
    <row r="195" spans="1:10" x14ac:dyDescent="0.3">
      <c r="A195" t="str">
        <f>IF(OR(INDEX(Matches!$I$2:$I$25,I195-1)="",INDEX(Matches!$J$2:$J$25,I195-1)=""),"",IF(J195&lt;=INDEX(Matches!$I$2:$I$25,I195-1)+INDEX(Matches!$J$2:$J$25,I195-1),INDEX(Matches!$A$2:$A$25,I195-1),""))</f>
        <v/>
      </c>
      <c r="B195" t="str">
        <f>IF(A195="","",IF(J195&lt;=INDEX(Matches!$I$2:$I$25,I195-1),INDEX(Matches!$G$2:$G$25,I195-1),INDEX(Matches!$H$2:$H$25,I195-1)))</f>
        <v/>
      </c>
      <c r="C195" t="str">
        <f>IF(A195="","",COUNTIFS($A$2:A195,A195,$B$2:B195,B195))</f>
        <v/>
      </c>
      <c r="D195" s="2" t="str">
        <f t="shared" si="9"/>
        <v/>
      </c>
      <c r="E195" s="2"/>
      <c r="F195" t="str">
        <f t="shared" si="10"/>
        <v/>
      </c>
      <c r="G195" t="str">
        <f t="shared" si="11"/>
        <v/>
      </c>
      <c r="H195" t="str">
        <f>IF(F195="","",VLOOKUP(F195,Validation!$A$2:$B$17,2,FALSE))</f>
        <v/>
      </c>
      <c r="I195">
        <f>INT((ROW()-2)/Settings!$B$6)+2</f>
        <v>18</v>
      </c>
      <c r="J195">
        <f>MOD(ROW()-2,Settings!$B$6)+1</f>
        <v>2</v>
      </c>
    </row>
    <row r="196" spans="1:10" x14ac:dyDescent="0.3">
      <c r="A196" t="str">
        <f>IF(OR(INDEX(Matches!$I$2:$I$25,I196-1)="",INDEX(Matches!$J$2:$J$25,I196-1)=""),"",IF(J196&lt;=INDEX(Matches!$I$2:$I$25,I196-1)+INDEX(Matches!$J$2:$J$25,I196-1),INDEX(Matches!$A$2:$A$25,I196-1),""))</f>
        <v/>
      </c>
      <c r="B196" t="str">
        <f>IF(A196="","",IF(J196&lt;=INDEX(Matches!$I$2:$I$25,I196-1),INDEX(Matches!$G$2:$G$25,I196-1),INDEX(Matches!$H$2:$H$25,I196-1)))</f>
        <v/>
      </c>
      <c r="C196" t="str">
        <f>IF(A196="","",COUNTIFS($A$2:A196,A196,$B$2:B196,B196))</f>
        <v/>
      </c>
      <c r="D196" s="2" t="str">
        <f t="shared" si="9"/>
        <v/>
      </c>
      <c r="E196" s="2"/>
      <c r="F196" t="str">
        <f t="shared" si="10"/>
        <v/>
      </c>
      <c r="G196" t="str">
        <f t="shared" si="11"/>
        <v/>
      </c>
      <c r="H196" t="str">
        <f>IF(F196="","",VLOOKUP(F196,Validation!$A$2:$B$17,2,FALSE))</f>
        <v/>
      </c>
      <c r="I196">
        <f>INT((ROW()-2)/Settings!$B$6)+2</f>
        <v>18</v>
      </c>
      <c r="J196">
        <f>MOD(ROW()-2,Settings!$B$6)+1</f>
        <v>3</v>
      </c>
    </row>
    <row r="197" spans="1:10" x14ac:dyDescent="0.3">
      <c r="A197" t="str">
        <f>IF(OR(INDEX(Matches!$I$2:$I$25,I197-1)="",INDEX(Matches!$J$2:$J$25,I197-1)=""),"",IF(J197&lt;=INDEX(Matches!$I$2:$I$25,I197-1)+INDEX(Matches!$J$2:$J$25,I197-1),INDEX(Matches!$A$2:$A$25,I197-1),""))</f>
        <v/>
      </c>
      <c r="B197" t="str">
        <f>IF(A197="","",IF(J197&lt;=INDEX(Matches!$I$2:$I$25,I197-1),INDEX(Matches!$G$2:$G$25,I197-1),INDEX(Matches!$H$2:$H$25,I197-1)))</f>
        <v/>
      </c>
      <c r="C197" t="str">
        <f>IF(A197="","",COUNTIFS($A$2:A197,A197,$B$2:B197,B197))</f>
        <v/>
      </c>
      <c r="D197" s="2" t="str">
        <f t="shared" si="9"/>
        <v/>
      </c>
      <c r="E197" s="2"/>
      <c r="F197" t="str">
        <f t="shared" si="10"/>
        <v/>
      </c>
      <c r="G197" t="str">
        <f t="shared" si="11"/>
        <v/>
      </c>
      <c r="H197" t="str">
        <f>IF(F197="","",VLOOKUP(F197,Validation!$A$2:$B$17,2,FALSE))</f>
        <v/>
      </c>
      <c r="I197">
        <f>INT((ROW()-2)/Settings!$B$6)+2</f>
        <v>18</v>
      </c>
      <c r="J197">
        <f>MOD(ROW()-2,Settings!$B$6)+1</f>
        <v>4</v>
      </c>
    </row>
    <row r="198" spans="1:10" x14ac:dyDescent="0.3">
      <c r="A198" t="str">
        <f>IF(OR(INDEX(Matches!$I$2:$I$25,I198-1)="",INDEX(Matches!$J$2:$J$25,I198-1)=""),"",IF(J198&lt;=INDEX(Matches!$I$2:$I$25,I198-1)+INDEX(Matches!$J$2:$J$25,I198-1),INDEX(Matches!$A$2:$A$25,I198-1),""))</f>
        <v/>
      </c>
      <c r="B198" t="str">
        <f>IF(A198="","",IF(J198&lt;=INDEX(Matches!$I$2:$I$25,I198-1),INDEX(Matches!$G$2:$G$25,I198-1),INDEX(Matches!$H$2:$H$25,I198-1)))</f>
        <v/>
      </c>
      <c r="C198" t="str">
        <f>IF(A198="","",COUNTIFS($A$2:A198,A198,$B$2:B198,B198))</f>
        <v/>
      </c>
      <c r="D198" s="2" t="str">
        <f t="shared" si="9"/>
        <v/>
      </c>
      <c r="E198" s="2"/>
      <c r="F198" t="str">
        <f t="shared" si="10"/>
        <v/>
      </c>
      <c r="G198" t="str">
        <f t="shared" si="11"/>
        <v/>
      </c>
      <c r="H198" t="str">
        <f>IF(F198="","",VLOOKUP(F198,Validation!$A$2:$B$17,2,FALSE))</f>
        <v/>
      </c>
      <c r="I198">
        <f>INT((ROW()-2)/Settings!$B$6)+2</f>
        <v>18</v>
      </c>
      <c r="J198">
        <f>MOD(ROW()-2,Settings!$B$6)+1</f>
        <v>5</v>
      </c>
    </row>
    <row r="199" spans="1:10" x14ac:dyDescent="0.3">
      <c r="A199" t="str">
        <f>IF(OR(INDEX(Matches!$I$2:$I$25,I199-1)="",INDEX(Matches!$J$2:$J$25,I199-1)=""),"",IF(J199&lt;=INDEX(Matches!$I$2:$I$25,I199-1)+INDEX(Matches!$J$2:$J$25,I199-1),INDEX(Matches!$A$2:$A$25,I199-1),""))</f>
        <v/>
      </c>
      <c r="B199" t="str">
        <f>IF(A199="","",IF(J199&lt;=INDEX(Matches!$I$2:$I$25,I199-1),INDEX(Matches!$G$2:$G$25,I199-1),INDEX(Matches!$H$2:$H$25,I199-1)))</f>
        <v/>
      </c>
      <c r="C199" t="str">
        <f>IF(A199="","",COUNTIFS($A$2:A199,A199,$B$2:B199,B199))</f>
        <v/>
      </c>
      <c r="D199" s="2" t="str">
        <f t="shared" si="9"/>
        <v/>
      </c>
      <c r="E199" s="2"/>
      <c r="F199" t="str">
        <f t="shared" si="10"/>
        <v/>
      </c>
      <c r="G199" t="str">
        <f t="shared" si="11"/>
        <v/>
      </c>
      <c r="H199" t="str">
        <f>IF(F199="","",VLOOKUP(F199,Validation!$A$2:$B$17,2,FALSE))</f>
        <v/>
      </c>
      <c r="I199">
        <f>INT((ROW()-2)/Settings!$B$6)+2</f>
        <v>18</v>
      </c>
      <c r="J199">
        <f>MOD(ROW()-2,Settings!$B$6)+1</f>
        <v>6</v>
      </c>
    </row>
    <row r="200" spans="1:10" x14ac:dyDescent="0.3">
      <c r="A200" t="str">
        <f>IF(OR(INDEX(Matches!$I$2:$I$25,I200-1)="",INDEX(Matches!$J$2:$J$25,I200-1)=""),"",IF(J200&lt;=INDEX(Matches!$I$2:$I$25,I200-1)+INDEX(Matches!$J$2:$J$25,I200-1),INDEX(Matches!$A$2:$A$25,I200-1),""))</f>
        <v/>
      </c>
      <c r="B200" t="str">
        <f>IF(A200="","",IF(J200&lt;=INDEX(Matches!$I$2:$I$25,I200-1),INDEX(Matches!$G$2:$G$25,I200-1),INDEX(Matches!$H$2:$H$25,I200-1)))</f>
        <v/>
      </c>
      <c r="C200" t="str">
        <f>IF(A200="","",COUNTIFS($A$2:A200,A200,$B$2:B200,B200))</f>
        <v/>
      </c>
      <c r="D200" s="2" t="str">
        <f t="shared" si="9"/>
        <v/>
      </c>
      <c r="E200" s="2"/>
      <c r="F200" t="str">
        <f t="shared" si="10"/>
        <v/>
      </c>
      <c r="G200" t="str">
        <f t="shared" si="11"/>
        <v/>
      </c>
      <c r="H200" t="str">
        <f>IF(F200="","",VLOOKUP(F200,Validation!$A$2:$B$17,2,FALSE))</f>
        <v/>
      </c>
      <c r="I200">
        <f>INT((ROW()-2)/Settings!$B$6)+2</f>
        <v>18</v>
      </c>
      <c r="J200">
        <f>MOD(ROW()-2,Settings!$B$6)+1</f>
        <v>7</v>
      </c>
    </row>
    <row r="201" spans="1:10" x14ac:dyDescent="0.3">
      <c r="A201" t="str">
        <f>IF(OR(INDEX(Matches!$I$2:$I$25,I201-1)="",INDEX(Matches!$J$2:$J$25,I201-1)=""),"",IF(J201&lt;=INDEX(Matches!$I$2:$I$25,I201-1)+INDEX(Matches!$J$2:$J$25,I201-1),INDEX(Matches!$A$2:$A$25,I201-1),""))</f>
        <v/>
      </c>
      <c r="B201" t="str">
        <f>IF(A201="","",IF(J201&lt;=INDEX(Matches!$I$2:$I$25,I201-1),INDEX(Matches!$G$2:$G$25,I201-1),INDEX(Matches!$H$2:$H$25,I201-1)))</f>
        <v/>
      </c>
      <c r="C201" t="str">
        <f>IF(A201="","",COUNTIFS($A$2:A201,A201,$B$2:B201,B201))</f>
        <v/>
      </c>
      <c r="D201" s="2" t="str">
        <f t="shared" si="9"/>
        <v/>
      </c>
      <c r="E201" s="2"/>
      <c r="F201" t="str">
        <f t="shared" si="10"/>
        <v/>
      </c>
      <c r="G201" t="str">
        <f t="shared" si="11"/>
        <v/>
      </c>
      <c r="H201" t="str">
        <f>IF(F201="","",VLOOKUP(F201,Validation!$A$2:$B$17,2,FALSE))</f>
        <v/>
      </c>
      <c r="I201">
        <f>INT((ROW()-2)/Settings!$B$6)+2</f>
        <v>18</v>
      </c>
      <c r="J201">
        <f>MOD(ROW()-2,Settings!$B$6)+1</f>
        <v>8</v>
      </c>
    </row>
    <row r="202" spans="1:10" x14ac:dyDescent="0.3">
      <c r="A202" t="str">
        <f>IF(OR(INDEX(Matches!$I$2:$I$25,I202-1)="",INDEX(Matches!$J$2:$J$25,I202-1)=""),"",IF(J202&lt;=INDEX(Matches!$I$2:$I$25,I202-1)+INDEX(Matches!$J$2:$J$25,I202-1),INDEX(Matches!$A$2:$A$25,I202-1),""))</f>
        <v/>
      </c>
      <c r="B202" t="str">
        <f>IF(A202="","",IF(J202&lt;=INDEX(Matches!$I$2:$I$25,I202-1),INDEX(Matches!$G$2:$G$25,I202-1),INDEX(Matches!$H$2:$H$25,I202-1)))</f>
        <v/>
      </c>
      <c r="C202" t="str">
        <f>IF(A202="","",COUNTIFS($A$2:A202,A202,$B$2:B202,B202))</f>
        <v/>
      </c>
      <c r="D202" s="2" t="str">
        <f t="shared" si="9"/>
        <v/>
      </c>
      <c r="E202" s="2"/>
      <c r="F202" t="str">
        <f t="shared" si="10"/>
        <v/>
      </c>
      <c r="G202" t="str">
        <f t="shared" si="11"/>
        <v/>
      </c>
      <c r="H202" t="str">
        <f>IF(F202="","",VLOOKUP(F202,Validation!$A$2:$B$17,2,FALSE))</f>
        <v/>
      </c>
      <c r="I202">
        <f>INT((ROW()-2)/Settings!$B$6)+2</f>
        <v>18</v>
      </c>
      <c r="J202">
        <f>MOD(ROW()-2,Settings!$B$6)+1</f>
        <v>9</v>
      </c>
    </row>
    <row r="203" spans="1:10" x14ac:dyDescent="0.3">
      <c r="A203" t="str">
        <f>IF(OR(INDEX(Matches!$I$2:$I$25,I203-1)="",INDEX(Matches!$J$2:$J$25,I203-1)=""),"",IF(J203&lt;=INDEX(Matches!$I$2:$I$25,I203-1)+INDEX(Matches!$J$2:$J$25,I203-1),INDEX(Matches!$A$2:$A$25,I203-1),""))</f>
        <v/>
      </c>
      <c r="B203" t="str">
        <f>IF(A203="","",IF(J203&lt;=INDEX(Matches!$I$2:$I$25,I203-1),INDEX(Matches!$G$2:$G$25,I203-1),INDEX(Matches!$H$2:$H$25,I203-1)))</f>
        <v/>
      </c>
      <c r="C203" t="str">
        <f>IF(A203="","",COUNTIFS($A$2:A203,A203,$B$2:B203,B203))</f>
        <v/>
      </c>
      <c r="D203" s="2" t="str">
        <f t="shared" si="9"/>
        <v/>
      </c>
      <c r="E203" s="2"/>
      <c r="F203" t="str">
        <f t="shared" si="10"/>
        <v/>
      </c>
      <c r="G203" t="str">
        <f t="shared" si="11"/>
        <v/>
      </c>
      <c r="H203" t="str">
        <f>IF(F203="","",VLOOKUP(F203,Validation!$A$2:$B$17,2,FALSE))</f>
        <v/>
      </c>
      <c r="I203">
        <f>INT((ROW()-2)/Settings!$B$6)+2</f>
        <v>18</v>
      </c>
      <c r="J203">
        <f>MOD(ROW()-2,Settings!$B$6)+1</f>
        <v>10</v>
      </c>
    </row>
    <row r="204" spans="1:10" x14ac:dyDescent="0.3">
      <c r="A204" t="str">
        <f>IF(OR(INDEX(Matches!$I$2:$I$25,I204-1)="",INDEX(Matches!$J$2:$J$25,I204-1)=""),"",IF(J204&lt;=INDEX(Matches!$I$2:$I$25,I204-1)+INDEX(Matches!$J$2:$J$25,I204-1),INDEX(Matches!$A$2:$A$25,I204-1),""))</f>
        <v/>
      </c>
      <c r="B204" t="str">
        <f>IF(A204="","",IF(J204&lt;=INDEX(Matches!$I$2:$I$25,I204-1),INDEX(Matches!$G$2:$G$25,I204-1),INDEX(Matches!$H$2:$H$25,I204-1)))</f>
        <v/>
      </c>
      <c r="C204" t="str">
        <f>IF(A204="","",COUNTIFS($A$2:A204,A204,$B$2:B204,B204))</f>
        <v/>
      </c>
      <c r="D204" s="2" t="str">
        <f t="shared" si="9"/>
        <v/>
      </c>
      <c r="E204" s="2"/>
      <c r="F204" t="str">
        <f t="shared" si="10"/>
        <v/>
      </c>
      <c r="G204" t="str">
        <f t="shared" si="11"/>
        <v/>
      </c>
      <c r="H204" t="str">
        <f>IF(F204="","",VLOOKUP(F204,Validation!$A$2:$B$17,2,FALSE))</f>
        <v/>
      </c>
      <c r="I204">
        <f>INT((ROW()-2)/Settings!$B$6)+2</f>
        <v>18</v>
      </c>
      <c r="J204">
        <f>MOD(ROW()-2,Settings!$B$6)+1</f>
        <v>11</v>
      </c>
    </row>
    <row r="205" spans="1:10" x14ac:dyDescent="0.3">
      <c r="A205" t="str">
        <f>IF(OR(INDEX(Matches!$I$2:$I$25,I205-1)="",INDEX(Matches!$J$2:$J$25,I205-1)=""),"",IF(J205&lt;=INDEX(Matches!$I$2:$I$25,I205-1)+INDEX(Matches!$J$2:$J$25,I205-1),INDEX(Matches!$A$2:$A$25,I205-1),""))</f>
        <v/>
      </c>
      <c r="B205" t="str">
        <f>IF(A205="","",IF(J205&lt;=INDEX(Matches!$I$2:$I$25,I205-1),INDEX(Matches!$G$2:$G$25,I205-1),INDEX(Matches!$H$2:$H$25,I205-1)))</f>
        <v/>
      </c>
      <c r="C205" t="str">
        <f>IF(A205="","",COUNTIFS($A$2:A205,A205,$B$2:B205,B205))</f>
        <v/>
      </c>
      <c r="D205" s="2" t="str">
        <f t="shared" si="9"/>
        <v/>
      </c>
      <c r="E205" s="2"/>
      <c r="F205" t="str">
        <f t="shared" si="10"/>
        <v/>
      </c>
      <c r="G205" t="str">
        <f t="shared" si="11"/>
        <v/>
      </c>
      <c r="H205" t="str">
        <f>IF(F205="","",VLOOKUP(F205,Validation!$A$2:$B$17,2,FALSE))</f>
        <v/>
      </c>
      <c r="I205">
        <f>INT((ROW()-2)/Settings!$B$6)+2</f>
        <v>18</v>
      </c>
      <c r="J205">
        <f>MOD(ROW()-2,Settings!$B$6)+1</f>
        <v>12</v>
      </c>
    </row>
    <row r="206" spans="1:10" x14ac:dyDescent="0.3">
      <c r="A206" t="str">
        <f>IF(OR(INDEX(Matches!$I$2:$I$25,I206-1)="",INDEX(Matches!$J$2:$J$25,I206-1)=""),"",IF(J206&lt;=INDEX(Matches!$I$2:$I$25,I206-1)+INDEX(Matches!$J$2:$J$25,I206-1),INDEX(Matches!$A$2:$A$25,I206-1),""))</f>
        <v/>
      </c>
      <c r="B206" t="str">
        <f>IF(A206="","",IF(J206&lt;=INDEX(Matches!$I$2:$I$25,I206-1),INDEX(Matches!$G$2:$G$25,I206-1),INDEX(Matches!$H$2:$H$25,I206-1)))</f>
        <v/>
      </c>
      <c r="C206" t="str">
        <f>IF(A206="","",COUNTIFS($A$2:A206,A206,$B$2:B206,B206))</f>
        <v/>
      </c>
      <c r="D206" s="2" t="str">
        <f t="shared" si="9"/>
        <v/>
      </c>
      <c r="E206" s="2"/>
      <c r="F206" t="str">
        <f t="shared" si="10"/>
        <v/>
      </c>
      <c r="G206" t="str">
        <f t="shared" si="11"/>
        <v/>
      </c>
      <c r="H206" t="str">
        <f>IF(F206="","",VLOOKUP(F206,Validation!$A$2:$B$17,2,FALSE))</f>
        <v/>
      </c>
      <c r="I206">
        <f>INT((ROW()-2)/Settings!$B$6)+2</f>
        <v>19</v>
      </c>
      <c r="J206">
        <f>MOD(ROW()-2,Settings!$B$6)+1</f>
        <v>1</v>
      </c>
    </row>
    <row r="207" spans="1:10" x14ac:dyDescent="0.3">
      <c r="A207" t="str">
        <f>IF(OR(INDEX(Matches!$I$2:$I$25,I207-1)="",INDEX(Matches!$J$2:$J$25,I207-1)=""),"",IF(J207&lt;=INDEX(Matches!$I$2:$I$25,I207-1)+INDEX(Matches!$J$2:$J$25,I207-1),INDEX(Matches!$A$2:$A$25,I207-1),""))</f>
        <v/>
      </c>
      <c r="B207" t="str">
        <f>IF(A207="","",IF(J207&lt;=INDEX(Matches!$I$2:$I$25,I207-1),INDEX(Matches!$G$2:$G$25,I207-1),INDEX(Matches!$H$2:$H$25,I207-1)))</f>
        <v/>
      </c>
      <c r="C207" t="str">
        <f>IF(A207="","",COUNTIFS($A$2:A207,A207,$B$2:B207,B207))</f>
        <v/>
      </c>
      <c r="D207" s="2" t="str">
        <f t="shared" si="9"/>
        <v/>
      </c>
      <c r="E207" s="2"/>
      <c r="F207" t="str">
        <f t="shared" si="10"/>
        <v/>
      </c>
      <c r="G207" t="str">
        <f t="shared" si="11"/>
        <v/>
      </c>
      <c r="H207" t="str">
        <f>IF(F207="","",VLOOKUP(F207,Validation!$A$2:$B$17,2,FALSE))</f>
        <v/>
      </c>
      <c r="I207">
        <f>INT((ROW()-2)/Settings!$B$6)+2</f>
        <v>19</v>
      </c>
      <c r="J207">
        <f>MOD(ROW()-2,Settings!$B$6)+1</f>
        <v>2</v>
      </c>
    </row>
    <row r="208" spans="1:10" x14ac:dyDescent="0.3">
      <c r="A208" t="str">
        <f>IF(OR(INDEX(Matches!$I$2:$I$25,I208-1)="",INDEX(Matches!$J$2:$J$25,I208-1)=""),"",IF(J208&lt;=INDEX(Matches!$I$2:$I$25,I208-1)+INDEX(Matches!$J$2:$J$25,I208-1),INDEX(Matches!$A$2:$A$25,I208-1),""))</f>
        <v/>
      </c>
      <c r="B208" t="str">
        <f>IF(A208="","",IF(J208&lt;=INDEX(Matches!$I$2:$I$25,I208-1),INDEX(Matches!$G$2:$G$25,I208-1),INDEX(Matches!$H$2:$H$25,I208-1)))</f>
        <v/>
      </c>
      <c r="C208" t="str">
        <f>IF(A208="","",COUNTIFS($A$2:A208,A208,$B$2:B208,B208))</f>
        <v/>
      </c>
      <c r="D208" s="2" t="str">
        <f t="shared" si="9"/>
        <v/>
      </c>
      <c r="E208" s="2"/>
      <c r="F208" t="str">
        <f t="shared" si="10"/>
        <v/>
      </c>
      <c r="G208" t="str">
        <f t="shared" si="11"/>
        <v/>
      </c>
      <c r="H208" t="str">
        <f>IF(F208="","",VLOOKUP(F208,Validation!$A$2:$B$17,2,FALSE))</f>
        <v/>
      </c>
      <c r="I208">
        <f>INT((ROW()-2)/Settings!$B$6)+2</f>
        <v>19</v>
      </c>
      <c r="J208">
        <f>MOD(ROW()-2,Settings!$B$6)+1</f>
        <v>3</v>
      </c>
    </row>
    <row r="209" spans="1:10" x14ac:dyDescent="0.3">
      <c r="A209" t="str">
        <f>IF(OR(INDEX(Matches!$I$2:$I$25,I209-1)="",INDEX(Matches!$J$2:$J$25,I209-1)=""),"",IF(J209&lt;=INDEX(Matches!$I$2:$I$25,I209-1)+INDEX(Matches!$J$2:$J$25,I209-1),INDEX(Matches!$A$2:$A$25,I209-1),""))</f>
        <v/>
      </c>
      <c r="B209" t="str">
        <f>IF(A209="","",IF(J209&lt;=INDEX(Matches!$I$2:$I$25,I209-1),INDEX(Matches!$G$2:$G$25,I209-1),INDEX(Matches!$H$2:$H$25,I209-1)))</f>
        <v/>
      </c>
      <c r="C209" t="str">
        <f>IF(A209="","",COUNTIFS($A$2:A209,A209,$B$2:B209,B209))</f>
        <v/>
      </c>
      <c r="D209" s="2" t="str">
        <f t="shared" si="9"/>
        <v/>
      </c>
      <c r="E209" s="2"/>
      <c r="F209" t="str">
        <f t="shared" si="10"/>
        <v/>
      </c>
      <c r="G209" t="str">
        <f t="shared" si="11"/>
        <v/>
      </c>
      <c r="H209" t="str">
        <f>IF(F209="","",VLOOKUP(F209,Validation!$A$2:$B$17,2,FALSE))</f>
        <v/>
      </c>
      <c r="I209">
        <f>INT((ROW()-2)/Settings!$B$6)+2</f>
        <v>19</v>
      </c>
      <c r="J209">
        <f>MOD(ROW()-2,Settings!$B$6)+1</f>
        <v>4</v>
      </c>
    </row>
    <row r="210" spans="1:10" x14ac:dyDescent="0.3">
      <c r="A210" t="str">
        <f>IF(OR(INDEX(Matches!$I$2:$I$25,I210-1)="",INDEX(Matches!$J$2:$J$25,I210-1)=""),"",IF(J210&lt;=INDEX(Matches!$I$2:$I$25,I210-1)+INDEX(Matches!$J$2:$J$25,I210-1),INDEX(Matches!$A$2:$A$25,I210-1),""))</f>
        <v/>
      </c>
      <c r="B210" t="str">
        <f>IF(A210="","",IF(J210&lt;=INDEX(Matches!$I$2:$I$25,I210-1),INDEX(Matches!$G$2:$G$25,I210-1),INDEX(Matches!$H$2:$H$25,I210-1)))</f>
        <v/>
      </c>
      <c r="C210" t="str">
        <f>IF(A210="","",COUNTIFS($A$2:A210,A210,$B$2:B210,B210))</f>
        <v/>
      </c>
      <c r="D210" s="2" t="str">
        <f t="shared" si="9"/>
        <v/>
      </c>
      <c r="E210" s="2"/>
      <c r="F210" t="str">
        <f t="shared" si="10"/>
        <v/>
      </c>
      <c r="G210" t="str">
        <f t="shared" si="11"/>
        <v/>
      </c>
      <c r="H210" t="str">
        <f>IF(F210="","",VLOOKUP(F210,Validation!$A$2:$B$17,2,FALSE))</f>
        <v/>
      </c>
      <c r="I210">
        <f>INT((ROW()-2)/Settings!$B$6)+2</f>
        <v>19</v>
      </c>
      <c r="J210">
        <f>MOD(ROW()-2,Settings!$B$6)+1</f>
        <v>5</v>
      </c>
    </row>
    <row r="211" spans="1:10" x14ac:dyDescent="0.3">
      <c r="A211" t="str">
        <f>IF(OR(INDEX(Matches!$I$2:$I$25,I211-1)="",INDEX(Matches!$J$2:$J$25,I211-1)=""),"",IF(J211&lt;=INDEX(Matches!$I$2:$I$25,I211-1)+INDEX(Matches!$J$2:$J$25,I211-1),INDEX(Matches!$A$2:$A$25,I211-1),""))</f>
        <v/>
      </c>
      <c r="B211" t="str">
        <f>IF(A211="","",IF(J211&lt;=INDEX(Matches!$I$2:$I$25,I211-1),INDEX(Matches!$G$2:$G$25,I211-1),INDEX(Matches!$H$2:$H$25,I211-1)))</f>
        <v/>
      </c>
      <c r="C211" t="str">
        <f>IF(A211="","",COUNTIFS($A$2:A211,A211,$B$2:B211,B211))</f>
        <v/>
      </c>
      <c r="D211" s="2" t="str">
        <f t="shared" si="9"/>
        <v/>
      </c>
      <c r="E211" s="2"/>
      <c r="F211" t="str">
        <f t="shared" si="10"/>
        <v/>
      </c>
      <c r="G211" t="str">
        <f t="shared" si="11"/>
        <v/>
      </c>
      <c r="H211" t="str">
        <f>IF(F211="","",VLOOKUP(F211,Validation!$A$2:$B$17,2,FALSE))</f>
        <v/>
      </c>
      <c r="I211">
        <f>INT((ROW()-2)/Settings!$B$6)+2</f>
        <v>19</v>
      </c>
      <c r="J211">
        <f>MOD(ROW()-2,Settings!$B$6)+1</f>
        <v>6</v>
      </c>
    </row>
    <row r="212" spans="1:10" x14ac:dyDescent="0.3">
      <c r="A212" t="str">
        <f>IF(OR(INDEX(Matches!$I$2:$I$25,I212-1)="",INDEX(Matches!$J$2:$J$25,I212-1)=""),"",IF(J212&lt;=INDEX(Matches!$I$2:$I$25,I212-1)+INDEX(Matches!$J$2:$J$25,I212-1),INDEX(Matches!$A$2:$A$25,I212-1),""))</f>
        <v/>
      </c>
      <c r="B212" t="str">
        <f>IF(A212="","",IF(J212&lt;=INDEX(Matches!$I$2:$I$25,I212-1),INDEX(Matches!$G$2:$G$25,I212-1),INDEX(Matches!$H$2:$H$25,I212-1)))</f>
        <v/>
      </c>
      <c r="C212" t="str">
        <f>IF(A212="","",COUNTIFS($A$2:A212,A212,$B$2:B212,B212))</f>
        <v/>
      </c>
      <c r="D212" s="2" t="str">
        <f t="shared" si="9"/>
        <v/>
      </c>
      <c r="E212" s="2"/>
      <c r="F212" t="str">
        <f t="shared" si="10"/>
        <v/>
      </c>
      <c r="G212" t="str">
        <f t="shared" si="11"/>
        <v/>
      </c>
      <c r="H212" t="str">
        <f>IF(F212="","",VLOOKUP(F212,Validation!$A$2:$B$17,2,FALSE))</f>
        <v/>
      </c>
      <c r="I212">
        <f>INT((ROW()-2)/Settings!$B$6)+2</f>
        <v>19</v>
      </c>
      <c r="J212">
        <f>MOD(ROW()-2,Settings!$B$6)+1</f>
        <v>7</v>
      </c>
    </row>
    <row r="213" spans="1:10" x14ac:dyDescent="0.3">
      <c r="A213" t="str">
        <f>IF(OR(INDEX(Matches!$I$2:$I$25,I213-1)="",INDEX(Matches!$J$2:$J$25,I213-1)=""),"",IF(J213&lt;=INDEX(Matches!$I$2:$I$25,I213-1)+INDEX(Matches!$J$2:$J$25,I213-1),INDEX(Matches!$A$2:$A$25,I213-1),""))</f>
        <v/>
      </c>
      <c r="B213" t="str">
        <f>IF(A213="","",IF(J213&lt;=INDEX(Matches!$I$2:$I$25,I213-1),INDEX(Matches!$G$2:$G$25,I213-1),INDEX(Matches!$H$2:$H$25,I213-1)))</f>
        <v/>
      </c>
      <c r="C213" t="str">
        <f>IF(A213="","",COUNTIFS($A$2:A213,A213,$B$2:B213,B213))</f>
        <v/>
      </c>
      <c r="D213" s="2" t="str">
        <f t="shared" si="9"/>
        <v/>
      </c>
      <c r="E213" s="2"/>
      <c r="F213" t="str">
        <f t="shared" si="10"/>
        <v/>
      </c>
      <c r="G213" t="str">
        <f t="shared" si="11"/>
        <v/>
      </c>
      <c r="H213" t="str">
        <f>IF(F213="","",VLOOKUP(F213,Validation!$A$2:$B$17,2,FALSE))</f>
        <v/>
      </c>
      <c r="I213">
        <f>INT((ROW()-2)/Settings!$B$6)+2</f>
        <v>19</v>
      </c>
      <c r="J213">
        <f>MOD(ROW()-2,Settings!$B$6)+1</f>
        <v>8</v>
      </c>
    </row>
    <row r="214" spans="1:10" x14ac:dyDescent="0.3">
      <c r="A214" t="str">
        <f>IF(OR(INDEX(Matches!$I$2:$I$25,I214-1)="",INDEX(Matches!$J$2:$J$25,I214-1)=""),"",IF(J214&lt;=INDEX(Matches!$I$2:$I$25,I214-1)+INDEX(Matches!$J$2:$J$25,I214-1),INDEX(Matches!$A$2:$A$25,I214-1),""))</f>
        <v/>
      </c>
      <c r="B214" t="str">
        <f>IF(A214="","",IF(J214&lt;=INDEX(Matches!$I$2:$I$25,I214-1),INDEX(Matches!$G$2:$G$25,I214-1),INDEX(Matches!$H$2:$H$25,I214-1)))</f>
        <v/>
      </c>
      <c r="C214" t="str">
        <f>IF(A214="","",COUNTIFS($A$2:A214,A214,$B$2:B214,B214))</f>
        <v/>
      </c>
      <c r="D214" s="2" t="str">
        <f t="shared" si="9"/>
        <v/>
      </c>
      <c r="E214" s="2"/>
      <c r="F214" t="str">
        <f t="shared" si="10"/>
        <v/>
      </c>
      <c r="G214" t="str">
        <f t="shared" si="11"/>
        <v/>
      </c>
      <c r="H214" t="str">
        <f>IF(F214="","",VLOOKUP(F214,Validation!$A$2:$B$17,2,FALSE))</f>
        <v/>
      </c>
      <c r="I214">
        <f>INT((ROW()-2)/Settings!$B$6)+2</f>
        <v>19</v>
      </c>
      <c r="J214">
        <f>MOD(ROW()-2,Settings!$B$6)+1</f>
        <v>9</v>
      </c>
    </row>
    <row r="215" spans="1:10" x14ac:dyDescent="0.3">
      <c r="A215" t="str">
        <f>IF(OR(INDEX(Matches!$I$2:$I$25,I215-1)="",INDEX(Matches!$J$2:$J$25,I215-1)=""),"",IF(J215&lt;=INDEX(Matches!$I$2:$I$25,I215-1)+INDEX(Matches!$J$2:$J$25,I215-1),INDEX(Matches!$A$2:$A$25,I215-1),""))</f>
        <v/>
      </c>
      <c r="B215" t="str">
        <f>IF(A215="","",IF(J215&lt;=INDEX(Matches!$I$2:$I$25,I215-1),INDEX(Matches!$G$2:$G$25,I215-1),INDEX(Matches!$H$2:$H$25,I215-1)))</f>
        <v/>
      </c>
      <c r="C215" t="str">
        <f>IF(A215="","",COUNTIFS($A$2:A215,A215,$B$2:B215,B215))</f>
        <v/>
      </c>
      <c r="D215" s="2" t="str">
        <f t="shared" si="9"/>
        <v/>
      </c>
      <c r="E215" s="2"/>
      <c r="F215" t="str">
        <f t="shared" si="10"/>
        <v/>
      </c>
      <c r="G215" t="str">
        <f t="shared" si="11"/>
        <v/>
      </c>
      <c r="H215" t="str">
        <f>IF(F215="","",VLOOKUP(F215,Validation!$A$2:$B$17,2,FALSE))</f>
        <v/>
      </c>
      <c r="I215">
        <f>INT((ROW()-2)/Settings!$B$6)+2</f>
        <v>19</v>
      </c>
      <c r="J215">
        <f>MOD(ROW()-2,Settings!$B$6)+1</f>
        <v>10</v>
      </c>
    </row>
    <row r="216" spans="1:10" x14ac:dyDescent="0.3">
      <c r="A216" t="str">
        <f>IF(OR(INDEX(Matches!$I$2:$I$25,I216-1)="",INDEX(Matches!$J$2:$J$25,I216-1)=""),"",IF(J216&lt;=INDEX(Matches!$I$2:$I$25,I216-1)+INDEX(Matches!$J$2:$J$25,I216-1),INDEX(Matches!$A$2:$A$25,I216-1),""))</f>
        <v/>
      </c>
      <c r="B216" t="str">
        <f>IF(A216="","",IF(J216&lt;=INDEX(Matches!$I$2:$I$25,I216-1),INDEX(Matches!$G$2:$G$25,I216-1),INDEX(Matches!$H$2:$H$25,I216-1)))</f>
        <v/>
      </c>
      <c r="C216" t="str">
        <f>IF(A216="","",COUNTIFS($A$2:A216,A216,$B$2:B216,B216))</f>
        <v/>
      </c>
      <c r="D216" s="2" t="str">
        <f t="shared" si="9"/>
        <v/>
      </c>
      <c r="E216" s="2"/>
      <c r="F216" t="str">
        <f t="shared" si="10"/>
        <v/>
      </c>
      <c r="G216" t="str">
        <f t="shared" si="11"/>
        <v/>
      </c>
      <c r="H216" t="str">
        <f>IF(F216="","",VLOOKUP(F216,Validation!$A$2:$B$17,2,FALSE))</f>
        <v/>
      </c>
      <c r="I216">
        <f>INT((ROW()-2)/Settings!$B$6)+2</f>
        <v>19</v>
      </c>
      <c r="J216">
        <f>MOD(ROW()-2,Settings!$B$6)+1</f>
        <v>11</v>
      </c>
    </row>
    <row r="217" spans="1:10" x14ac:dyDescent="0.3">
      <c r="A217" t="str">
        <f>IF(OR(INDEX(Matches!$I$2:$I$25,I217-1)="",INDEX(Matches!$J$2:$J$25,I217-1)=""),"",IF(J217&lt;=INDEX(Matches!$I$2:$I$25,I217-1)+INDEX(Matches!$J$2:$J$25,I217-1),INDEX(Matches!$A$2:$A$25,I217-1),""))</f>
        <v/>
      </c>
      <c r="B217" t="str">
        <f>IF(A217="","",IF(J217&lt;=INDEX(Matches!$I$2:$I$25,I217-1),INDEX(Matches!$G$2:$G$25,I217-1),INDEX(Matches!$H$2:$H$25,I217-1)))</f>
        <v/>
      </c>
      <c r="C217" t="str">
        <f>IF(A217="","",COUNTIFS($A$2:A217,A217,$B$2:B217,B217))</f>
        <v/>
      </c>
      <c r="D217" s="2" t="str">
        <f t="shared" si="9"/>
        <v/>
      </c>
      <c r="E217" s="2"/>
      <c r="F217" t="str">
        <f t="shared" si="10"/>
        <v/>
      </c>
      <c r="G217" t="str">
        <f t="shared" si="11"/>
        <v/>
      </c>
      <c r="H217" t="str">
        <f>IF(F217="","",VLOOKUP(F217,Validation!$A$2:$B$17,2,FALSE))</f>
        <v/>
      </c>
      <c r="I217">
        <f>INT((ROW()-2)/Settings!$B$6)+2</f>
        <v>19</v>
      </c>
      <c r="J217">
        <f>MOD(ROW()-2,Settings!$B$6)+1</f>
        <v>12</v>
      </c>
    </row>
    <row r="218" spans="1:10" x14ac:dyDescent="0.3">
      <c r="A218" t="str">
        <f>IF(OR(INDEX(Matches!$I$2:$I$25,I218-1)="",INDEX(Matches!$J$2:$J$25,I218-1)=""),"",IF(J218&lt;=INDEX(Matches!$I$2:$I$25,I218-1)+INDEX(Matches!$J$2:$J$25,I218-1),INDEX(Matches!$A$2:$A$25,I218-1),""))</f>
        <v/>
      </c>
      <c r="B218" t="str">
        <f>IF(A218="","",IF(J218&lt;=INDEX(Matches!$I$2:$I$25,I218-1),INDEX(Matches!$G$2:$G$25,I218-1),INDEX(Matches!$H$2:$H$25,I218-1)))</f>
        <v/>
      </c>
      <c r="C218" t="str">
        <f>IF(A218="","",COUNTIFS($A$2:A218,A218,$B$2:B218,B218))</f>
        <v/>
      </c>
      <c r="D218" s="2" t="str">
        <f t="shared" si="9"/>
        <v/>
      </c>
      <c r="E218" s="2"/>
      <c r="F218" t="str">
        <f t="shared" si="10"/>
        <v/>
      </c>
      <c r="G218" t="str">
        <f t="shared" si="11"/>
        <v/>
      </c>
      <c r="H218" t="str">
        <f>IF(F218="","",VLOOKUP(F218,Validation!$A$2:$B$17,2,FALSE))</f>
        <v/>
      </c>
      <c r="I218">
        <f>INT((ROW()-2)/Settings!$B$6)+2</f>
        <v>20</v>
      </c>
      <c r="J218">
        <f>MOD(ROW()-2,Settings!$B$6)+1</f>
        <v>1</v>
      </c>
    </row>
    <row r="219" spans="1:10" x14ac:dyDescent="0.3">
      <c r="A219" t="str">
        <f>IF(OR(INDEX(Matches!$I$2:$I$25,I219-1)="",INDEX(Matches!$J$2:$J$25,I219-1)=""),"",IF(J219&lt;=INDEX(Matches!$I$2:$I$25,I219-1)+INDEX(Matches!$J$2:$J$25,I219-1),INDEX(Matches!$A$2:$A$25,I219-1),""))</f>
        <v/>
      </c>
      <c r="B219" t="str">
        <f>IF(A219="","",IF(J219&lt;=INDEX(Matches!$I$2:$I$25,I219-1),INDEX(Matches!$G$2:$G$25,I219-1),INDEX(Matches!$H$2:$H$25,I219-1)))</f>
        <v/>
      </c>
      <c r="C219" t="str">
        <f>IF(A219="","",COUNTIFS($A$2:A219,A219,$B$2:B219,B219))</f>
        <v/>
      </c>
      <c r="D219" s="2" t="str">
        <f t="shared" si="9"/>
        <v/>
      </c>
      <c r="E219" s="2"/>
      <c r="F219" t="str">
        <f t="shared" si="10"/>
        <v/>
      </c>
      <c r="G219" t="str">
        <f t="shared" si="11"/>
        <v/>
      </c>
      <c r="H219" t="str">
        <f>IF(F219="","",VLOOKUP(F219,Validation!$A$2:$B$17,2,FALSE))</f>
        <v/>
      </c>
      <c r="I219">
        <f>INT((ROW()-2)/Settings!$B$6)+2</f>
        <v>20</v>
      </c>
      <c r="J219">
        <f>MOD(ROW()-2,Settings!$B$6)+1</f>
        <v>2</v>
      </c>
    </row>
    <row r="220" spans="1:10" x14ac:dyDescent="0.3">
      <c r="A220" t="str">
        <f>IF(OR(INDEX(Matches!$I$2:$I$25,I220-1)="",INDEX(Matches!$J$2:$J$25,I220-1)=""),"",IF(J220&lt;=INDEX(Matches!$I$2:$I$25,I220-1)+INDEX(Matches!$J$2:$J$25,I220-1),INDEX(Matches!$A$2:$A$25,I220-1),""))</f>
        <v/>
      </c>
      <c r="B220" t="str">
        <f>IF(A220="","",IF(J220&lt;=INDEX(Matches!$I$2:$I$25,I220-1),INDEX(Matches!$G$2:$G$25,I220-1),INDEX(Matches!$H$2:$H$25,I220-1)))</f>
        <v/>
      </c>
      <c r="C220" t="str">
        <f>IF(A220="","",COUNTIFS($A$2:A220,A220,$B$2:B220,B220))</f>
        <v/>
      </c>
      <c r="D220" s="2" t="str">
        <f t="shared" si="9"/>
        <v/>
      </c>
      <c r="E220" s="2"/>
      <c r="F220" t="str">
        <f t="shared" si="10"/>
        <v/>
      </c>
      <c r="G220" t="str">
        <f t="shared" si="11"/>
        <v/>
      </c>
      <c r="H220" t="str">
        <f>IF(F220="","",VLOOKUP(F220,Validation!$A$2:$B$17,2,FALSE))</f>
        <v/>
      </c>
      <c r="I220">
        <f>INT((ROW()-2)/Settings!$B$6)+2</f>
        <v>20</v>
      </c>
      <c r="J220">
        <f>MOD(ROW()-2,Settings!$B$6)+1</f>
        <v>3</v>
      </c>
    </row>
    <row r="221" spans="1:10" x14ac:dyDescent="0.3">
      <c r="A221" t="str">
        <f>IF(OR(INDEX(Matches!$I$2:$I$25,I221-1)="",INDEX(Matches!$J$2:$J$25,I221-1)=""),"",IF(J221&lt;=INDEX(Matches!$I$2:$I$25,I221-1)+INDEX(Matches!$J$2:$J$25,I221-1),INDEX(Matches!$A$2:$A$25,I221-1),""))</f>
        <v/>
      </c>
      <c r="B221" t="str">
        <f>IF(A221="","",IF(J221&lt;=INDEX(Matches!$I$2:$I$25,I221-1),INDEX(Matches!$G$2:$G$25,I221-1),INDEX(Matches!$H$2:$H$25,I221-1)))</f>
        <v/>
      </c>
      <c r="C221" t="str">
        <f>IF(A221="","",COUNTIFS($A$2:A221,A221,$B$2:B221,B221))</f>
        <v/>
      </c>
      <c r="D221" s="2" t="str">
        <f t="shared" si="9"/>
        <v/>
      </c>
      <c r="E221" s="2"/>
      <c r="F221" t="str">
        <f t="shared" si="10"/>
        <v/>
      </c>
      <c r="G221" t="str">
        <f t="shared" si="11"/>
        <v/>
      </c>
      <c r="H221" t="str">
        <f>IF(F221="","",VLOOKUP(F221,Validation!$A$2:$B$17,2,FALSE))</f>
        <v/>
      </c>
      <c r="I221">
        <f>INT((ROW()-2)/Settings!$B$6)+2</f>
        <v>20</v>
      </c>
      <c r="J221">
        <f>MOD(ROW()-2,Settings!$B$6)+1</f>
        <v>4</v>
      </c>
    </row>
    <row r="222" spans="1:10" x14ac:dyDescent="0.3">
      <c r="A222" t="str">
        <f>IF(OR(INDEX(Matches!$I$2:$I$25,I222-1)="",INDEX(Matches!$J$2:$J$25,I222-1)=""),"",IF(J222&lt;=INDEX(Matches!$I$2:$I$25,I222-1)+INDEX(Matches!$J$2:$J$25,I222-1),INDEX(Matches!$A$2:$A$25,I222-1),""))</f>
        <v/>
      </c>
      <c r="B222" t="str">
        <f>IF(A222="","",IF(J222&lt;=INDEX(Matches!$I$2:$I$25,I222-1),INDEX(Matches!$G$2:$G$25,I222-1),INDEX(Matches!$H$2:$H$25,I222-1)))</f>
        <v/>
      </c>
      <c r="C222" t="str">
        <f>IF(A222="","",COUNTIFS($A$2:A222,A222,$B$2:B222,B222))</f>
        <v/>
      </c>
      <c r="D222" s="2" t="str">
        <f t="shared" si="9"/>
        <v/>
      </c>
      <c r="E222" s="2"/>
      <c r="F222" t="str">
        <f t="shared" si="10"/>
        <v/>
      </c>
      <c r="G222" t="str">
        <f t="shared" si="11"/>
        <v/>
      </c>
      <c r="H222" t="str">
        <f>IF(F222="","",VLOOKUP(F222,Validation!$A$2:$B$17,2,FALSE))</f>
        <v/>
      </c>
      <c r="I222">
        <f>INT((ROW()-2)/Settings!$B$6)+2</f>
        <v>20</v>
      </c>
      <c r="J222">
        <f>MOD(ROW()-2,Settings!$B$6)+1</f>
        <v>5</v>
      </c>
    </row>
    <row r="223" spans="1:10" x14ac:dyDescent="0.3">
      <c r="A223" t="str">
        <f>IF(OR(INDEX(Matches!$I$2:$I$25,I223-1)="",INDEX(Matches!$J$2:$J$25,I223-1)=""),"",IF(J223&lt;=INDEX(Matches!$I$2:$I$25,I223-1)+INDEX(Matches!$J$2:$J$25,I223-1),INDEX(Matches!$A$2:$A$25,I223-1),""))</f>
        <v/>
      </c>
      <c r="B223" t="str">
        <f>IF(A223="","",IF(J223&lt;=INDEX(Matches!$I$2:$I$25,I223-1),INDEX(Matches!$G$2:$G$25,I223-1),INDEX(Matches!$H$2:$H$25,I223-1)))</f>
        <v/>
      </c>
      <c r="C223" t="str">
        <f>IF(A223="","",COUNTIFS($A$2:A223,A223,$B$2:B223,B223))</f>
        <v/>
      </c>
      <c r="D223" s="2" t="str">
        <f t="shared" si="9"/>
        <v/>
      </c>
      <c r="E223" s="2"/>
      <c r="F223" t="str">
        <f t="shared" si="10"/>
        <v/>
      </c>
      <c r="G223" t="str">
        <f t="shared" si="11"/>
        <v/>
      </c>
      <c r="H223" t="str">
        <f>IF(F223="","",VLOOKUP(F223,Validation!$A$2:$B$17,2,FALSE))</f>
        <v/>
      </c>
      <c r="I223">
        <f>INT((ROW()-2)/Settings!$B$6)+2</f>
        <v>20</v>
      </c>
      <c r="J223">
        <f>MOD(ROW()-2,Settings!$B$6)+1</f>
        <v>6</v>
      </c>
    </row>
    <row r="224" spans="1:10" x14ac:dyDescent="0.3">
      <c r="A224" t="str">
        <f>IF(OR(INDEX(Matches!$I$2:$I$25,I224-1)="",INDEX(Matches!$J$2:$J$25,I224-1)=""),"",IF(J224&lt;=INDEX(Matches!$I$2:$I$25,I224-1)+INDEX(Matches!$J$2:$J$25,I224-1),INDEX(Matches!$A$2:$A$25,I224-1),""))</f>
        <v/>
      </c>
      <c r="B224" t="str">
        <f>IF(A224="","",IF(J224&lt;=INDEX(Matches!$I$2:$I$25,I224-1),INDEX(Matches!$G$2:$G$25,I224-1),INDEX(Matches!$H$2:$H$25,I224-1)))</f>
        <v/>
      </c>
      <c r="C224" t="str">
        <f>IF(A224="","",COUNTIFS($A$2:A224,A224,$B$2:B224,B224))</f>
        <v/>
      </c>
      <c r="D224" s="2" t="str">
        <f t="shared" si="9"/>
        <v/>
      </c>
      <c r="E224" s="2"/>
      <c r="F224" t="str">
        <f t="shared" si="10"/>
        <v/>
      </c>
      <c r="G224" t="str">
        <f t="shared" si="11"/>
        <v/>
      </c>
      <c r="H224" t="str">
        <f>IF(F224="","",VLOOKUP(F224,Validation!$A$2:$B$17,2,FALSE))</f>
        <v/>
      </c>
      <c r="I224">
        <f>INT((ROW()-2)/Settings!$B$6)+2</f>
        <v>20</v>
      </c>
      <c r="J224">
        <f>MOD(ROW()-2,Settings!$B$6)+1</f>
        <v>7</v>
      </c>
    </row>
    <row r="225" spans="1:10" x14ac:dyDescent="0.3">
      <c r="A225" t="str">
        <f>IF(OR(INDEX(Matches!$I$2:$I$25,I225-1)="",INDEX(Matches!$J$2:$J$25,I225-1)=""),"",IF(J225&lt;=INDEX(Matches!$I$2:$I$25,I225-1)+INDEX(Matches!$J$2:$J$25,I225-1),INDEX(Matches!$A$2:$A$25,I225-1),""))</f>
        <v/>
      </c>
      <c r="B225" t="str">
        <f>IF(A225="","",IF(J225&lt;=INDEX(Matches!$I$2:$I$25,I225-1),INDEX(Matches!$G$2:$G$25,I225-1),INDEX(Matches!$H$2:$H$25,I225-1)))</f>
        <v/>
      </c>
      <c r="C225" t="str">
        <f>IF(A225="","",COUNTIFS($A$2:A225,A225,$B$2:B225,B225))</f>
        <v/>
      </c>
      <c r="D225" s="2" t="str">
        <f t="shared" si="9"/>
        <v/>
      </c>
      <c r="E225" s="2"/>
      <c r="F225" t="str">
        <f t="shared" si="10"/>
        <v/>
      </c>
      <c r="G225" t="str">
        <f t="shared" si="11"/>
        <v/>
      </c>
      <c r="H225" t="str">
        <f>IF(F225="","",VLOOKUP(F225,Validation!$A$2:$B$17,2,FALSE))</f>
        <v/>
      </c>
      <c r="I225">
        <f>INT((ROW()-2)/Settings!$B$6)+2</f>
        <v>20</v>
      </c>
      <c r="J225">
        <f>MOD(ROW()-2,Settings!$B$6)+1</f>
        <v>8</v>
      </c>
    </row>
    <row r="226" spans="1:10" x14ac:dyDescent="0.3">
      <c r="A226" t="str">
        <f>IF(OR(INDEX(Matches!$I$2:$I$25,I226-1)="",INDEX(Matches!$J$2:$J$25,I226-1)=""),"",IF(J226&lt;=INDEX(Matches!$I$2:$I$25,I226-1)+INDEX(Matches!$J$2:$J$25,I226-1),INDEX(Matches!$A$2:$A$25,I226-1),""))</f>
        <v/>
      </c>
      <c r="B226" t="str">
        <f>IF(A226="","",IF(J226&lt;=INDEX(Matches!$I$2:$I$25,I226-1),INDEX(Matches!$G$2:$G$25,I226-1),INDEX(Matches!$H$2:$H$25,I226-1)))</f>
        <v/>
      </c>
      <c r="C226" t="str">
        <f>IF(A226="","",COUNTIFS($A$2:A226,A226,$B$2:B226,B226))</f>
        <v/>
      </c>
      <c r="D226" s="2" t="str">
        <f t="shared" si="9"/>
        <v/>
      </c>
      <c r="E226" s="2"/>
      <c r="F226" t="str">
        <f t="shared" si="10"/>
        <v/>
      </c>
      <c r="G226" t="str">
        <f t="shared" si="11"/>
        <v/>
      </c>
      <c r="H226" t="str">
        <f>IF(F226="","",VLOOKUP(F226,Validation!$A$2:$B$17,2,FALSE))</f>
        <v/>
      </c>
      <c r="I226">
        <f>INT((ROW()-2)/Settings!$B$6)+2</f>
        <v>20</v>
      </c>
      <c r="J226">
        <f>MOD(ROW()-2,Settings!$B$6)+1</f>
        <v>9</v>
      </c>
    </row>
    <row r="227" spans="1:10" x14ac:dyDescent="0.3">
      <c r="A227" t="str">
        <f>IF(OR(INDEX(Matches!$I$2:$I$25,I227-1)="",INDEX(Matches!$J$2:$J$25,I227-1)=""),"",IF(J227&lt;=INDEX(Matches!$I$2:$I$25,I227-1)+INDEX(Matches!$J$2:$J$25,I227-1),INDEX(Matches!$A$2:$A$25,I227-1),""))</f>
        <v/>
      </c>
      <c r="B227" t="str">
        <f>IF(A227="","",IF(J227&lt;=INDEX(Matches!$I$2:$I$25,I227-1),INDEX(Matches!$G$2:$G$25,I227-1),INDEX(Matches!$H$2:$H$25,I227-1)))</f>
        <v/>
      </c>
      <c r="C227" t="str">
        <f>IF(A227="","",COUNTIFS($A$2:A227,A227,$B$2:B227,B227))</f>
        <v/>
      </c>
      <c r="D227" s="2" t="str">
        <f t="shared" si="9"/>
        <v/>
      </c>
      <c r="E227" s="2"/>
      <c r="F227" t="str">
        <f t="shared" si="10"/>
        <v/>
      </c>
      <c r="G227" t="str">
        <f t="shared" si="11"/>
        <v/>
      </c>
      <c r="H227" t="str">
        <f>IF(F227="","",VLOOKUP(F227,Validation!$A$2:$B$17,2,FALSE))</f>
        <v/>
      </c>
      <c r="I227">
        <f>INT((ROW()-2)/Settings!$B$6)+2</f>
        <v>20</v>
      </c>
      <c r="J227">
        <f>MOD(ROW()-2,Settings!$B$6)+1</f>
        <v>10</v>
      </c>
    </row>
    <row r="228" spans="1:10" x14ac:dyDescent="0.3">
      <c r="A228" t="str">
        <f>IF(OR(INDEX(Matches!$I$2:$I$25,I228-1)="",INDEX(Matches!$J$2:$J$25,I228-1)=""),"",IF(J228&lt;=INDEX(Matches!$I$2:$I$25,I228-1)+INDEX(Matches!$J$2:$J$25,I228-1),INDEX(Matches!$A$2:$A$25,I228-1),""))</f>
        <v/>
      </c>
      <c r="B228" t="str">
        <f>IF(A228="","",IF(J228&lt;=INDEX(Matches!$I$2:$I$25,I228-1),INDEX(Matches!$G$2:$G$25,I228-1),INDEX(Matches!$H$2:$H$25,I228-1)))</f>
        <v/>
      </c>
      <c r="C228" t="str">
        <f>IF(A228="","",COUNTIFS($A$2:A228,A228,$B$2:B228,B228))</f>
        <v/>
      </c>
      <c r="D228" s="2" t="str">
        <f t="shared" si="9"/>
        <v/>
      </c>
      <c r="E228" s="2"/>
      <c r="F228" t="str">
        <f t="shared" si="10"/>
        <v/>
      </c>
      <c r="G228" t="str">
        <f t="shared" si="11"/>
        <v/>
      </c>
      <c r="H228" t="str">
        <f>IF(F228="","",VLOOKUP(F228,Validation!$A$2:$B$17,2,FALSE))</f>
        <v/>
      </c>
      <c r="I228">
        <f>INT((ROW()-2)/Settings!$B$6)+2</f>
        <v>20</v>
      </c>
      <c r="J228">
        <f>MOD(ROW()-2,Settings!$B$6)+1</f>
        <v>11</v>
      </c>
    </row>
    <row r="229" spans="1:10" x14ac:dyDescent="0.3">
      <c r="A229" t="str">
        <f>IF(OR(INDEX(Matches!$I$2:$I$25,I229-1)="",INDEX(Matches!$J$2:$J$25,I229-1)=""),"",IF(J229&lt;=INDEX(Matches!$I$2:$I$25,I229-1)+INDEX(Matches!$J$2:$J$25,I229-1),INDEX(Matches!$A$2:$A$25,I229-1),""))</f>
        <v/>
      </c>
      <c r="B229" t="str">
        <f>IF(A229="","",IF(J229&lt;=INDEX(Matches!$I$2:$I$25,I229-1),INDEX(Matches!$G$2:$G$25,I229-1),INDEX(Matches!$H$2:$H$25,I229-1)))</f>
        <v/>
      </c>
      <c r="C229" t="str">
        <f>IF(A229="","",COUNTIFS($A$2:A229,A229,$B$2:B229,B229))</f>
        <v/>
      </c>
      <c r="D229" s="2" t="str">
        <f t="shared" si="9"/>
        <v/>
      </c>
      <c r="E229" s="2"/>
      <c r="F229" t="str">
        <f t="shared" si="10"/>
        <v/>
      </c>
      <c r="G229" t="str">
        <f t="shared" si="11"/>
        <v/>
      </c>
      <c r="H229" t="str">
        <f>IF(F229="","",VLOOKUP(F229,Validation!$A$2:$B$17,2,FALSE))</f>
        <v/>
      </c>
      <c r="I229">
        <f>INT((ROW()-2)/Settings!$B$6)+2</f>
        <v>20</v>
      </c>
      <c r="J229">
        <f>MOD(ROW()-2,Settings!$B$6)+1</f>
        <v>12</v>
      </c>
    </row>
    <row r="230" spans="1:10" x14ac:dyDescent="0.3">
      <c r="A230" t="str">
        <f>IF(OR(INDEX(Matches!$I$2:$I$25,I230-1)="",INDEX(Matches!$J$2:$J$25,I230-1)=""),"",IF(J230&lt;=INDEX(Matches!$I$2:$I$25,I230-1)+INDEX(Matches!$J$2:$J$25,I230-1),INDEX(Matches!$A$2:$A$25,I230-1),""))</f>
        <v/>
      </c>
      <c r="B230" t="str">
        <f>IF(A230="","",IF(J230&lt;=INDEX(Matches!$I$2:$I$25,I230-1),INDEX(Matches!$G$2:$G$25,I230-1),INDEX(Matches!$H$2:$H$25,I230-1)))</f>
        <v/>
      </c>
      <c r="C230" t="str">
        <f>IF(A230="","",COUNTIFS($A$2:A230,A230,$B$2:B230,B230))</f>
        <v/>
      </c>
      <c r="D230" s="2" t="str">
        <f t="shared" si="9"/>
        <v/>
      </c>
      <c r="E230" s="2"/>
      <c r="F230" t="str">
        <f t="shared" si="10"/>
        <v/>
      </c>
      <c r="G230" t="str">
        <f t="shared" si="11"/>
        <v/>
      </c>
      <c r="H230" t="str">
        <f>IF(F230="","",VLOOKUP(F230,Validation!$A$2:$B$17,2,FALSE))</f>
        <v/>
      </c>
      <c r="I230">
        <f>INT((ROW()-2)/Settings!$B$6)+2</f>
        <v>21</v>
      </c>
      <c r="J230">
        <f>MOD(ROW()-2,Settings!$B$6)+1</f>
        <v>1</v>
      </c>
    </row>
    <row r="231" spans="1:10" x14ac:dyDescent="0.3">
      <c r="A231" t="str">
        <f>IF(OR(INDEX(Matches!$I$2:$I$25,I231-1)="",INDEX(Matches!$J$2:$J$25,I231-1)=""),"",IF(J231&lt;=INDEX(Matches!$I$2:$I$25,I231-1)+INDEX(Matches!$J$2:$J$25,I231-1),INDEX(Matches!$A$2:$A$25,I231-1),""))</f>
        <v/>
      </c>
      <c r="B231" t="str">
        <f>IF(A231="","",IF(J231&lt;=INDEX(Matches!$I$2:$I$25,I231-1),INDEX(Matches!$G$2:$G$25,I231-1),INDEX(Matches!$H$2:$H$25,I231-1)))</f>
        <v/>
      </c>
      <c r="C231" t="str">
        <f>IF(A231="","",COUNTIFS($A$2:A231,A231,$B$2:B231,B231))</f>
        <v/>
      </c>
      <c r="D231" s="2" t="str">
        <f t="shared" si="9"/>
        <v/>
      </c>
      <c r="E231" s="2"/>
      <c r="F231" t="str">
        <f t="shared" si="10"/>
        <v/>
      </c>
      <c r="G231" t="str">
        <f t="shared" si="11"/>
        <v/>
      </c>
      <c r="H231" t="str">
        <f>IF(F231="","",VLOOKUP(F231,Validation!$A$2:$B$17,2,FALSE))</f>
        <v/>
      </c>
      <c r="I231">
        <f>INT((ROW()-2)/Settings!$B$6)+2</f>
        <v>21</v>
      </c>
      <c r="J231">
        <f>MOD(ROW()-2,Settings!$B$6)+1</f>
        <v>2</v>
      </c>
    </row>
    <row r="232" spans="1:10" x14ac:dyDescent="0.3">
      <c r="A232" t="str">
        <f>IF(OR(INDEX(Matches!$I$2:$I$25,I232-1)="",INDEX(Matches!$J$2:$J$25,I232-1)=""),"",IF(J232&lt;=INDEX(Matches!$I$2:$I$25,I232-1)+INDEX(Matches!$J$2:$J$25,I232-1),INDEX(Matches!$A$2:$A$25,I232-1),""))</f>
        <v/>
      </c>
      <c r="B232" t="str">
        <f>IF(A232="","",IF(J232&lt;=INDEX(Matches!$I$2:$I$25,I232-1),INDEX(Matches!$G$2:$G$25,I232-1),INDEX(Matches!$H$2:$H$25,I232-1)))</f>
        <v/>
      </c>
      <c r="C232" t="str">
        <f>IF(A232="","",COUNTIFS($A$2:A232,A232,$B$2:B232,B232))</f>
        <v/>
      </c>
      <c r="D232" s="2" t="str">
        <f t="shared" si="9"/>
        <v/>
      </c>
      <c r="E232" s="2"/>
      <c r="F232" t="str">
        <f t="shared" si="10"/>
        <v/>
      </c>
      <c r="G232" t="str">
        <f t="shared" si="11"/>
        <v/>
      </c>
      <c r="H232" t="str">
        <f>IF(F232="","",VLOOKUP(F232,Validation!$A$2:$B$17,2,FALSE))</f>
        <v/>
      </c>
      <c r="I232">
        <f>INT((ROW()-2)/Settings!$B$6)+2</f>
        <v>21</v>
      </c>
      <c r="J232">
        <f>MOD(ROW()-2,Settings!$B$6)+1</f>
        <v>3</v>
      </c>
    </row>
    <row r="233" spans="1:10" x14ac:dyDescent="0.3">
      <c r="A233" t="str">
        <f>IF(OR(INDEX(Matches!$I$2:$I$25,I233-1)="",INDEX(Matches!$J$2:$J$25,I233-1)=""),"",IF(J233&lt;=INDEX(Matches!$I$2:$I$25,I233-1)+INDEX(Matches!$J$2:$J$25,I233-1),INDEX(Matches!$A$2:$A$25,I233-1),""))</f>
        <v/>
      </c>
      <c r="B233" t="str">
        <f>IF(A233="","",IF(J233&lt;=INDEX(Matches!$I$2:$I$25,I233-1),INDEX(Matches!$G$2:$G$25,I233-1),INDEX(Matches!$H$2:$H$25,I233-1)))</f>
        <v/>
      </c>
      <c r="C233" t="str">
        <f>IF(A233="","",COUNTIFS($A$2:A233,A233,$B$2:B233,B233))</f>
        <v/>
      </c>
      <c r="D233" s="2" t="str">
        <f t="shared" si="9"/>
        <v/>
      </c>
      <c r="E233" s="2"/>
      <c r="F233" t="str">
        <f t="shared" si="10"/>
        <v/>
      </c>
      <c r="G233" t="str">
        <f t="shared" si="11"/>
        <v/>
      </c>
      <c r="H233" t="str">
        <f>IF(F233="","",VLOOKUP(F233,Validation!$A$2:$B$17,2,FALSE))</f>
        <v/>
      </c>
      <c r="I233">
        <f>INT((ROW()-2)/Settings!$B$6)+2</f>
        <v>21</v>
      </c>
      <c r="J233">
        <f>MOD(ROW()-2,Settings!$B$6)+1</f>
        <v>4</v>
      </c>
    </row>
    <row r="234" spans="1:10" x14ac:dyDescent="0.3">
      <c r="A234" t="str">
        <f>IF(OR(INDEX(Matches!$I$2:$I$25,I234-1)="",INDEX(Matches!$J$2:$J$25,I234-1)=""),"",IF(J234&lt;=INDEX(Matches!$I$2:$I$25,I234-1)+INDEX(Matches!$J$2:$J$25,I234-1),INDEX(Matches!$A$2:$A$25,I234-1),""))</f>
        <v/>
      </c>
      <c r="B234" t="str">
        <f>IF(A234="","",IF(J234&lt;=INDEX(Matches!$I$2:$I$25,I234-1),INDEX(Matches!$G$2:$G$25,I234-1),INDEX(Matches!$H$2:$H$25,I234-1)))</f>
        <v/>
      </c>
      <c r="C234" t="str">
        <f>IF(A234="","",COUNTIFS($A$2:A234,A234,$B$2:B234,B234))</f>
        <v/>
      </c>
      <c r="D234" s="2" t="str">
        <f t="shared" si="9"/>
        <v/>
      </c>
      <c r="E234" s="2"/>
      <c r="F234" t="str">
        <f t="shared" si="10"/>
        <v/>
      </c>
      <c r="G234" t="str">
        <f t="shared" si="11"/>
        <v/>
      </c>
      <c r="H234" t="str">
        <f>IF(F234="","",VLOOKUP(F234,Validation!$A$2:$B$17,2,FALSE))</f>
        <v/>
      </c>
      <c r="I234">
        <f>INT((ROW()-2)/Settings!$B$6)+2</f>
        <v>21</v>
      </c>
      <c r="J234">
        <f>MOD(ROW()-2,Settings!$B$6)+1</f>
        <v>5</v>
      </c>
    </row>
    <row r="235" spans="1:10" x14ac:dyDescent="0.3">
      <c r="A235" t="str">
        <f>IF(OR(INDEX(Matches!$I$2:$I$25,I235-1)="",INDEX(Matches!$J$2:$J$25,I235-1)=""),"",IF(J235&lt;=INDEX(Matches!$I$2:$I$25,I235-1)+INDEX(Matches!$J$2:$J$25,I235-1),INDEX(Matches!$A$2:$A$25,I235-1),""))</f>
        <v/>
      </c>
      <c r="B235" t="str">
        <f>IF(A235="","",IF(J235&lt;=INDEX(Matches!$I$2:$I$25,I235-1),INDEX(Matches!$G$2:$G$25,I235-1),INDEX(Matches!$H$2:$H$25,I235-1)))</f>
        <v/>
      </c>
      <c r="C235" t="str">
        <f>IF(A235="","",COUNTIFS($A$2:A235,A235,$B$2:B235,B235))</f>
        <v/>
      </c>
      <c r="D235" s="2" t="str">
        <f t="shared" si="9"/>
        <v/>
      </c>
      <c r="E235" s="2"/>
      <c r="F235" t="str">
        <f t="shared" si="10"/>
        <v/>
      </c>
      <c r="G235" t="str">
        <f t="shared" si="11"/>
        <v/>
      </c>
      <c r="H235" t="str">
        <f>IF(F235="","",VLOOKUP(F235,Validation!$A$2:$B$17,2,FALSE))</f>
        <v/>
      </c>
      <c r="I235">
        <f>INT((ROW()-2)/Settings!$B$6)+2</f>
        <v>21</v>
      </c>
      <c r="J235">
        <f>MOD(ROW()-2,Settings!$B$6)+1</f>
        <v>6</v>
      </c>
    </row>
    <row r="236" spans="1:10" x14ac:dyDescent="0.3">
      <c r="A236" t="str">
        <f>IF(OR(INDEX(Matches!$I$2:$I$25,I236-1)="",INDEX(Matches!$J$2:$J$25,I236-1)=""),"",IF(J236&lt;=INDEX(Matches!$I$2:$I$25,I236-1)+INDEX(Matches!$J$2:$J$25,I236-1),INDEX(Matches!$A$2:$A$25,I236-1),""))</f>
        <v/>
      </c>
      <c r="B236" t="str">
        <f>IF(A236="","",IF(J236&lt;=INDEX(Matches!$I$2:$I$25,I236-1),INDEX(Matches!$G$2:$G$25,I236-1),INDEX(Matches!$H$2:$H$25,I236-1)))</f>
        <v/>
      </c>
      <c r="C236" t="str">
        <f>IF(A236="","",COUNTIFS($A$2:A236,A236,$B$2:B236,B236))</f>
        <v/>
      </c>
      <c r="D236" s="2" t="str">
        <f t="shared" si="9"/>
        <v/>
      </c>
      <c r="E236" s="2"/>
      <c r="F236" t="str">
        <f t="shared" si="10"/>
        <v/>
      </c>
      <c r="G236" t="str">
        <f t="shared" si="11"/>
        <v/>
      </c>
      <c r="H236" t="str">
        <f>IF(F236="","",VLOOKUP(F236,Validation!$A$2:$B$17,2,FALSE))</f>
        <v/>
      </c>
      <c r="I236">
        <f>INT((ROW()-2)/Settings!$B$6)+2</f>
        <v>21</v>
      </c>
      <c r="J236">
        <f>MOD(ROW()-2,Settings!$B$6)+1</f>
        <v>7</v>
      </c>
    </row>
    <row r="237" spans="1:10" x14ac:dyDescent="0.3">
      <c r="A237" t="str">
        <f>IF(OR(INDEX(Matches!$I$2:$I$25,I237-1)="",INDEX(Matches!$J$2:$J$25,I237-1)=""),"",IF(J237&lt;=INDEX(Matches!$I$2:$I$25,I237-1)+INDEX(Matches!$J$2:$J$25,I237-1),INDEX(Matches!$A$2:$A$25,I237-1),""))</f>
        <v/>
      </c>
      <c r="B237" t="str">
        <f>IF(A237="","",IF(J237&lt;=INDEX(Matches!$I$2:$I$25,I237-1),INDEX(Matches!$G$2:$G$25,I237-1),INDEX(Matches!$H$2:$H$25,I237-1)))</f>
        <v/>
      </c>
      <c r="C237" t="str">
        <f>IF(A237="","",COUNTIFS($A$2:A237,A237,$B$2:B237,B237))</f>
        <v/>
      </c>
      <c r="D237" s="2" t="str">
        <f t="shared" si="9"/>
        <v/>
      </c>
      <c r="E237" s="2"/>
      <c r="F237" t="str">
        <f t="shared" si="10"/>
        <v/>
      </c>
      <c r="G237" t="str">
        <f t="shared" si="11"/>
        <v/>
      </c>
      <c r="H237" t="str">
        <f>IF(F237="","",VLOOKUP(F237,Validation!$A$2:$B$17,2,FALSE))</f>
        <v/>
      </c>
      <c r="I237">
        <f>INT((ROW()-2)/Settings!$B$6)+2</f>
        <v>21</v>
      </c>
      <c r="J237">
        <f>MOD(ROW()-2,Settings!$B$6)+1</f>
        <v>8</v>
      </c>
    </row>
    <row r="238" spans="1:10" x14ac:dyDescent="0.3">
      <c r="A238" t="str">
        <f>IF(OR(INDEX(Matches!$I$2:$I$25,I238-1)="",INDEX(Matches!$J$2:$J$25,I238-1)=""),"",IF(J238&lt;=INDEX(Matches!$I$2:$I$25,I238-1)+INDEX(Matches!$J$2:$J$25,I238-1),INDEX(Matches!$A$2:$A$25,I238-1),""))</f>
        <v/>
      </c>
      <c r="B238" t="str">
        <f>IF(A238="","",IF(J238&lt;=INDEX(Matches!$I$2:$I$25,I238-1),INDEX(Matches!$G$2:$G$25,I238-1),INDEX(Matches!$H$2:$H$25,I238-1)))</f>
        <v/>
      </c>
      <c r="C238" t="str">
        <f>IF(A238="","",COUNTIFS($A$2:A238,A238,$B$2:B238,B238))</f>
        <v/>
      </c>
      <c r="D238" s="2" t="str">
        <f t="shared" si="9"/>
        <v/>
      </c>
      <c r="E238" s="2"/>
      <c r="F238" t="str">
        <f t="shared" si="10"/>
        <v/>
      </c>
      <c r="G238" t="str">
        <f t="shared" si="11"/>
        <v/>
      </c>
      <c r="H238" t="str">
        <f>IF(F238="","",VLOOKUP(F238,Validation!$A$2:$B$17,2,FALSE))</f>
        <v/>
      </c>
      <c r="I238">
        <f>INT((ROW()-2)/Settings!$B$6)+2</f>
        <v>21</v>
      </c>
      <c r="J238">
        <f>MOD(ROW()-2,Settings!$B$6)+1</f>
        <v>9</v>
      </c>
    </row>
    <row r="239" spans="1:10" x14ac:dyDescent="0.3">
      <c r="A239" t="str">
        <f>IF(OR(INDEX(Matches!$I$2:$I$25,I239-1)="",INDEX(Matches!$J$2:$J$25,I239-1)=""),"",IF(J239&lt;=INDEX(Matches!$I$2:$I$25,I239-1)+INDEX(Matches!$J$2:$J$25,I239-1),INDEX(Matches!$A$2:$A$25,I239-1),""))</f>
        <v/>
      </c>
      <c r="B239" t="str">
        <f>IF(A239="","",IF(J239&lt;=INDEX(Matches!$I$2:$I$25,I239-1),INDEX(Matches!$G$2:$G$25,I239-1),INDEX(Matches!$H$2:$H$25,I239-1)))</f>
        <v/>
      </c>
      <c r="C239" t="str">
        <f>IF(A239="","",COUNTIFS($A$2:A239,A239,$B$2:B239,B239))</f>
        <v/>
      </c>
      <c r="D239" s="2" t="str">
        <f t="shared" si="9"/>
        <v/>
      </c>
      <c r="E239" s="2"/>
      <c r="F239" t="str">
        <f t="shared" si="10"/>
        <v/>
      </c>
      <c r="G239" t="str">
        <f t="shared" si="11"/>
        <v/>
      </c>
      <c r="H239" t="str">
        <f>IF(F239="","",VLOOKUP(F239,Validation!$A$2:$B$17,2,FALSE))</f>
        <v/>
      </c>
      <c r="I239">
        <f>INT((ROW()-2)/Settings!$B$6)+2</f>
        <v>21</v>
      </c>
      <c r="J239">
        <f>MOD(ROW()-2,Settings!$B$6)+1</f>
        <v>10</v>
      </c>
    </row>
    <row r="240" spans="1:10" x14ac:dyDescent="0.3">
      <c r="A240" t="str">
        <f>IF(OR(INDEX(Matches!$I$2:$I$25,I240-1)="",INDEX(Matches!$J$2:$J$25,I240-1)=""),"",IF(J240&lt;=INDEX(Matches!$I$2:$I$25,I240-1)+INDEX(Matches!$J$2:$J$25,I240-1),INDEX(Matches!$A$2:$A$25,I240-1),""))</f>
        <v/>
      </c>
      <c r="B240" t="str">
        <f>IF(A240="","",IF(J240&lt;=INDEX(Matches!$I$2:$I$25,I240-1),INDEX(Matches!$G$2:$G$25,I240-1),INDEX(Matches!$H$2:$H$25,I240-1)))</f>
        <v/>
      </c>
      <c r="C240" t="str">
        <f>IF(A240="","",COUNTIFS($A$2:A240,A240,$B$2:B240,B240))</f>
        <v/>
      </c>
      <c r="D240" s="2" t="str">
        <f t="shared" si="9"/>
        <v/>
      </c>
      <c r="E240" s="2"/>
      <c r="F240" t="str">
        <f t="shared" si="10"/>
        <v/>
      </c>
      <c r="G240" t="str">
        <f t="shared" si="11"/>
        <v/>
      </c>
      <c r="H240" t="str">
        <f>IF(F240="","",VLOOKUP(F240,Validation!$A$2:$B$17,2,FALSE))</f>
        <v/>
      </c>
      <c r="I240">
        <f>INT((ROW()-2)/Settings!$B$6)+2</f>
        <v>21</v>
      </c>
      <c r="J240">
        <f>MOD(ROW()-2,Settings!$B$6)+1</f>
        <v>11</v>
      </c>
    </row>
    <row r="241" spans="1:10" x14ac:dyDescent="0.3">
      <c r="A241" t="str">
        <f>IF(OR(INDEX(Matches!$I$2:$I$25,I241-1)="",INDEX(Matches!$J$2:$J$25,I241-1)=""),"",IF(J241&lt;=INDEX(Matches!$I$2:$I$25,I241-1)+INDEX(Matches!$J$2:$J$25,I241-1),INDEX(Matches!$A$2:$A$25,I241-1),""))</f>
        <v/>
      </c>
      <c r="B241" t="str">
        <f>IF(A241="","",IF(J241&lt;=INDEX(Matches!$I$2:$I$25,I241-1),INDEX(Matches!$G$2:$G$25,I241-1),INDEX(Matches!$H$2:$H$25,I241-1)))</f>
        <v/>
      </c>
      <c r="C241" t="str">
        <f>IF(A241="","",COUNTIFS($A$2:A241,A241,$B$2:B241,B241))</f>
        <v/>
      </c>
      <c r="D241" s="2" t="str">
        <f t="shared" si="9"/>
        <v/>
      </c>
      <c r="E241" s="2"/>
      <c r="F241" t="str">
        <f t="shared" si="10"/>
        <v/>
      </c>
      <c r="G241" t="str">
        <f t="shared" si="11"/>
        <v/>
      </c>
      <c r="H241" t="str">
        <f>IF(F241="","",VLOOKUP(F241,Validation!$A$2:$B$17,2,FALSE))</f>
        <v/>
      </c>
      <c r="I241">
        <f>INT((ROW()-2)/Settings!$B$6)+2</f>
        <v>21</v>
      </c>
      <c r="J241">
        <f>MOD(ROW()-2,Settings!$B$6)+1</f>
        <v>12</v>
      </c>
    </row>
    <row r="242" spans="1:10" x14ac:dyDescent="0.3">
      <c r="A242" t="str">
        <f>IF(OR(INDEX(Matches!$I$2:$I$25,I242-1)="",INDEX(Matches!$J$2:$J$25,I242-1)=""),"",IF(J242&lt;=INDEX(Matches!$I$2:$I$25,I242-1)+INDEX(Matches!$J$2:$J$25,I242-1),INDEX(Matches!$A$2:$A$25,I242-1),""))</f>
        <v/>
      </c>
      <c r="B242" t="str">
        <f>IF(A242="","",IF(J242&lt;=INDEX(Matches!$I$2:$I$25,I242-1),INDEX(Matches!$G$2:$G$25,I242-1),INDEX(Matches!$H$2:$H$25,I242-1)))</f>
        <v/>
      </c>
      <c r="C242" t="str">
        <f>IF(A242="","",COUNTIFS($A$2:A242,A242,$B$2:B242,B242))</f>
        <v/>
      </c>
      <c r="D242" s="2" t="str">
        <f t="shared" si="9"/>
        <v/>
      </c>
      <c r="E242" s="2"/>
      <c r="F242" t="str">
        <f t="shared" si="10"/>
        <v/>
      </c>
      <c r="G242" t="str">
        <f t="shared" si="11"/>
        <v/>
      </c>
      <c r="H242" t="str">
        <f>IF(F242="","",VLOOKUP(F242,Validation!$A$2:$B$17,2,FALSE))</f>
        <v/>
      </c>
      <c r="I242">
        <f>INT((ROW()-2)/Settings!$B$6)+2</f>
        <v>22</v>
      </c>
      <c r="J242">
        <f>MOD(ROW()-2,Settings!$B$6)+1</f>
        <v>1</v>
      </c>
    </row>
    <row r="243" spans="1:10" x14ac:dyDescent="0.3">
      <c r="A243" t="str">
        <f>IF(OR(INDEX(Matches!$I$2:$I$25,I243-1)="",INDEX(Matches!$J$2:$J$25,I243-1)=""),"",IF(J243&lt;=INDEX(Matches!$I$2:$I$25,I243-1)+INDEX(Matches!$J$2:$J$25,I243-1),INDEX(Matches!$A$2:$A$25,I243-1),""))</f>
        <v/>
      </c>
      <c r="B243" t="str">
        <f>IF(A243="","",IF(J243&lt;=INDEX(Matches!$I$2:$I$25,I243-1),INDEX(Matches!$G$2:$G$25,I243-1),INDEX(Matches!$H$2:$H$25,I243-1)))</f>
        <v/>
      </c>
      <c r="C243" t="str">
        <f>IF(A243="","",COUNTIFS($A$2:A243,A243,$B$2:B243,B243))</f>
        <v/>
      </c>
      <c r="D243" s="2" t="str">
        <f t="shared" si="9"/>
        <v/>
      </c>
      <c r="E243" s="2"/>
      <c r="F243" t="str">
        <f t="shared" si="10"/>
        <v/>
      </c>
      <c r="G243" t="str">
        <f t="shared" si="11"/>
        <v/>
      </c>
      <c r="H243" t="str">
        <f>IF(F243="","",VLOOKUP(F243,Validation!$A$2:$B$17,2,FALSE))</f>
        <v/>
      </c>
      <c r="I243">
        <f>INT((ROW()-2)/Settings!$B$6)+2</f>
        <v>22</v>
      </c>
      <c r="J243">
        <f>MOD(ROW()-2,Settings!$B$6)+1</f>
        <v>2</v>
      </c>
    </row>
    <row r="244" spans="1:10" x14ac:dyDescent="0.3">
      <c r="A244" t="str">
        <f>IF(OR(INDEX(Matches!$I$2:$I$25,I244-1)="",INDEX(Matches!$J$2:$J$25,I244-1)=""),"",IF(J244&lt;=INDEX(Matches!$I$2:$I$25,I244-1)+INDEX(Matches!$J$2:$J$25,I244-1),INDEX(Matches!$A$2:$A$25,I244-1),""))</f>
        <v/>
      </c>
      <c r="B244" t="str">
        <f>IF(A244="","",IF(J244&lt;=INDEX(Matches!$I$2:$I$25,I244-1),INDEX(Matches!$G$2:$G$25,I244-1),INDEX(Matches!$H$2:$H$25,I244-1)))</f>
        <v/>
      </c>
      <c r="C244" t="str">
        <f>IF(A244="","",COUNTIFS($A$2:A244,A244,$B$2:B244,B244))</f>
        <v/>
      </c>
      <c r="D244" s="2" t="str">
        <f t="shared" si="9"/>
        <v/>
      </c>
      <c r="E244" s="2"/>
      <c r="F244" t="str">
        <f t="shared" si="10"/>
        <v/>
      </c>
      <c r="G244" t="str">
        <f t="shared" si="11"/>
        <v/>
      </c>
      <c r="H244" t="str">
        <f>IF(F244="","",VLOOKUP(F244,Validation!$A$2:$B$17,2,FALSE))</f>
        <v/>
      </c>
      <c r="I244">
        <f>INT((ROW()-2)/Settings!$B$6)+2</f>
        <v>22</v>
      </c>
      <c r="J244">
        <f>MOD(ROW()-2,Settings!$B$6)+1</f>
        <v>3</v>
      </c>
    </row>
    <row r="245" spans="1:10" x14ac:dyDescent="0.3">
      <c r="A245" t="str">
        <f>IF(OR(INDEX(Matches!$I$2:$I$25,I245-1)="",INDEX(Matches!$J$2:$J$25,I245-1)=""),"",IF(J245&lt;=INDEX(Matches!$I$2:$I$25,I245-1)+INDEX(Matches!$J$2:$J$25,I245-1),INDEX(Matches!$A$2:$A$25,I245-1),""))</f>
        <v/>
      </c>
      <c r="B245" t="str">
        <f>IF(A245="","",IF(J245&lt;=INDEX(Matches!$I$2:$I$25,I245-1),INDEX(Matches!$G$2:$G$25,I245-1),INDEX(Matches!$H$2:$H$25,I245-1)))</f>
        <v/>
      </c>
      <c r="C245" t="str">
        <f>IF(A245="","",COUNTIFS($A$2:A245,A245,$B$2:B245,B245))</f>
        <v/>
      </c>
      <c r="D245" s="2" t="str">
        <f t="shared" si="9"/>
        <v/>
      </c>
      <c r="E245" s="2"/>
      <c r="F245" t="str">
        <f t="shared" si="10"/>
        <v/>
      </c>
      <c r="G245" t="str">
        <f t="shared" si="11"/>
        <v/>
      </c>
      <c r="H245" t="str">
        <f>IF(F245="","",VLOOKUP(F245,Validation!$A$2:$B$17,2,FALSE))</f>
        <v/>
      </c>
      <c r="I245">
        <f>INT((ROW()-2)/Settings!$B$6)+2</f>
        <v>22</v>
      </c>
      <c r="J245">
        <f>MOD(ROW()-2,Settings!$B$6)+1</f>
        <v>4</v>
      </c>
    </row>
    <row r="246" spans="1:10" x14ac:dyDescent="0.3">
      <c r="A246" t="str">
        <f>IF(OR(INDEX(Matches!$I$2:$I$25,I246-1)="",INDEX(Matches!$J$2:$J$25,I246-1)=""),"",IF(J246&lt;=INDEX(Matches!$I$2:$I$25,I246-1)+INDEX(Matches!$J$2:$J$25,I246-1),INDEX(Matches!$A$2:$A$25,I246-1),""))</f>
        <v/>
      </c>
      <c r="B246" t="str">
        <f>IF(A246="","",IF(J246&lt;=INDEX(Matches!$I$2:$I$25,I246-1),INDEX(Matches!$G$2:$G$25,I246-1),INDEX(Matches!$H$2:$H$25,I246-1)))</f>
        <v/>
      </c>
      <c r="C246" t="str">
        <f>IF(A246="","",COUNTIFS($A$2:A246,A246,$B$2:B246,B246))</f>
        <v/>
      </c>
      <c r="D246" s="2" t="str">
        <f t="shared" si="9"/>
        <v/>
      </c>
      <c r="E246" s="2"/>
      <c r="F246" t="str">
        <f t="shared" si="10"/>
        <v/>
      </c>
      <c r="G246" t="str">
        <f t="shared" si="11"/>
        <v/>
      </c>
      <c r="H246" t="str">
        <f>IF(F246="","",VLOOKUP(F246,Validation!$A$2:$B$17,2,FALSE))</f>
        <v/>
      </c>
      <c r="I246">
        <f>INT((ROW()-2)/Settings!$B$6)+2</f>
        <v>22</v>
      </c>
      <c r="J246">
        <f>MOD(ROW()-2,Settings!$B$6)+1</f>
        <v>5</v>
      </c>
    </row>
    <row r="247" spans="1:10" x14ac:dyDescent="0.3">
      <c r="A247" t="str">
        <f>IF(OR(INDEX(Matches!$I$2:$I$25,I247-1)="",INDEX(Matches!$J$2:$J$25,I247-1)=""),"",IF(J247&lt;=INDEX(Matches!$I$2:$I$25,I247-1)+INDEX(Matches!$J$2:$J$25,I247-1),INDEX(Matches!$A$2:$A$25,I247-1),""))</f>
        <v/>
      </c>
      <c r="B247" t="str">
        <f>IF(A247="","",IF(J247&lt;=INDEX(Matches!$I$2:$I$25,I247-1),INDEX(Matches!$G$2:$G$25,I247-1),INDEX(Matches!$H$2:$H$25,I247-1)))</f>
        <v/>
      </c>
      <c r="C247" t="str">
        <f>IF(A247="","",COUNTIFS($A$2:A247,A247,$B$2:B247,B247))</f>
        <v/>
      </c>
      <c r="D247" s="2" t="str">
        <f t="shared" si="9"/>
        <v/>
      </c>
      <c r="E247" s="2"/>
      <c r="F247" t="str">
        <f t="shared" si="10"/>
        <v/>
      </c>
      <c r="G247" t="str">
        <f t="shared" si="11"/>
        <v/>
      </c>
      <c r="H247" t="str">
        <f>IF(F247="","",VLOOKUP(F247,Validation!$A$2:$B$17,2,FALSE))</f>
        <v/>
      </c>
      <c r="I247">
        <f>INT((ROW()-2)/Settings!$B$6)+2</f>
        <v>22</v>
      </c>
      <c r="J247">
        <f>MOD(ROW()-2,Settings!$B$6)+1</f>
        <v>6</v>
      </c>
    </row>
    <row r="248" spans="1:10" x14ac:dyDescent="0.3">
      <c r="A248" t="str">
        <f>IF(OR(INDEX(Matches!$I$2:$I$25,I248-1)="",INDEX(Matches!$J$2:$J$25,I248-1)=""),"",IF(J248&lt;=INDEX(Matches!$I$2:$I$25,I248-1)+INDEX(Matches!$J$2:$J$25,I248-1),INDEX(Matches!$A$2:$A$25,I248-1),""))</f>
        <v/>
      </c>
      <c r="B248" t="str">
        <f>IF(A248="","",IF(J248&lt;=INDEX(Matches!$I$2:$I$25,I248-1),INDEX(Matches!$G$2:$G$25,I248-1),INDEX(Matches!$H$2:$H$25,I248-1)))</f>
        <v/>
      </c>
      <c r="C248" t="str">
        <f>IF(A248="","",COUNTIFS($A$2:A248,A248,$B$2:B248,B248))</f>
        <v/>
      </c>
      <c r="D248" s="2" t="str">
        <f t="shared" si="9"/>
        <v/>
      </c>
      <c r="E248" s="2"/>
      <c r="F248" t="str">
        <f t="shared" si="10"/>
        <v/>
      </c>
      <c r="G248" t="str">
        <f t="shared" si="11"/>
        <v/>
      </c>
      <c r="H248" t="str">
        <f>IF(F248="","",VLOOKUP(F248,Validation!$A$2:$B$17,2,FALSE))</f>
        <v/>
      </c>
      <c r="I248">
        <f>INT((ROW()-2)/Settings!$B$6)+2</f>
        <v>22</v>
      </c>
      <c r="J248">
        <f>MOD(ROW()-2,Settings!$B$6)+1</f>
        <v>7</v>
      </c>
    </row>
    <row r="249" spans="1:10" x14ac:dyDescent="0.3">
      <c r="A249" t="str">
        <f>IF(OR(INDEX(Matches!$I$2:$I$25,I249-1)="",INDEX(Matches!$J$2:$J$25,I249-1)=""),"",IF(J249&lt;=INDEX(Matches!$I$2:$I$25,I249-1)+INDEX(Matches!$J$2:$J$25,I249-1),INDEX(Matches!$A$2:$A$25,I249-1),""))</f>
        <v/>
      </c>
      <c r="B249" t="str">
        <f>IF(A249="","",IF(J249&lt;=INDEX(Matches!$I$2:$I$25,I249-1),INDEX(Matches!$G$2:$G$25,I249-1),INDEX(Matches!$H$2:$H$25,I249-1)))</f>
        <v/>
      </c>
      <c r="C249" t="str">
        <f>IF(A249="","",COUNTIFS($A$2:A249,A249,$B$2:B249,B249))</f>
        <v/>
      </c>
      <c r="D249" s="2" t="str">
        <f t="shared" si="9"/>
        <v/>
      </c>
      <c r="E249" s="2"/>
      <c r="F249" t="str">
        <f t="shared" si="10"/>
        <v/>
      </c>
      <c r="G249" t="str">
        <f t="shared" si="11"/>
        <v/>
      </c>
      <c r="H249" t="str">
        <f>IF(F249="","",VLOOKUP(F249,Validation!$A$2:$B$17,2,FALSE))</f>
        <v/>
      </c>
      <c r="I249">
        <f>INT((ROW()-2)/Settings!$B$6)+2</f>
        <v>22</v>
      </c>
      <c r="J249">
        <f>MOD(ROW()-2,Settings!$B$6)+1</f>
        <v>8</v>
      </c>
    </row>
    <row r="250" spans="1:10" x14ac:dyDescent="0.3">
      <c r="A250" t="str">
        <f>IF(OR(INDEX(Matches!$I$2:$I$25,I250-1)="",INDEX(Matches!$J$2:$J$25,I250-1)=""),"",IF(J250&lt;=INDEX(Matches!$I$2:$I$25,I250-1)+INDEX(Matches!$J$2:$J$25,I250-1),INDEX(Matches!$A$2:$A$25,I250-1),""))</f>
        <v/>
      </c>
      <c r="B250" t="str">
        <f>IF(A250="","",IF(J250&lt;=INDEX(Matches!$I$2:$I$25,I250-1),INDEX(Matches!$G$2:$G$25,I250-1),INDEX(Matches!$H$2:$H$25,I250-1)))</f>
        <v/>
      </c>
      <c r="C250" t="str">
        <f>IF(A250="","",COUNTIFS($A$2:A250,A250,$B$2:B250,B250))</f>
        <v/>
      </c>
      <c r="D250" s="2" t="str">
        <f t="shared" si="9"/>
        <v/>
      </c>
      <c r="E250" s="2"/>
      <c r="F250" t="str">
        <f t="shared" si="10"/>
        <v/>
      </c>
      <c r="G250" t="str">
        <f t="shared" si="11"/>
        <v/>
      </c>
      <c r="H250" t="str">
        <f>IF(F250="","",VLOOKUP(F250,Validation!$A$2:$B$17,2,FALSE))</f>
        <v/>
      </c>
      <c r="I250">
        <f>INT((ROW()-2)/Settings!$B$6)+2</f>
        <v>22</v>
      </c>
      <c r="J250">
        <f>MOD(ROW()-2,Settings!$B$6)+1</f>
        <v>9</v>
      </c>
    </row>
    <row r="251" spans="1:10" x14ac:dyDescent="0.3">
      <c r="A251" t="str">
        <f>IF(OR(INDEX(Matches!$I$2:$I$25,I251-1)="",INDEX(Matches!$J$2:$J$25,I251-1)=""),"",IF(J251&lt;=INDEX(Matches!$I$2:$I$25,I251-1)+INDEX(Matches!$J$2:$J$25,I251-1),INDEX(Matches!$A$2:$A$25,I251-1),""))</f>
        <v/>
      </c>
      <c r="B251" t="str">
        <f>IF(A251="","",IF(J251&lt;=INDEX(Matches!$I$2:$I$25,I251-1),INDEX(Matches!$G$2:$G$25,I251-1),INDEX(Matches!$H$2:$H$25,I251-1)))</f>
        <v/>
      </c>
      <c r="C251" t="str">
        <f>IF(A251="","",COUNTIFS($A$2:A251,A251,$B$2:B251,B251))</f>
        <v/>
      </c>
      <c r="D251" s="2" t="str">
        <f t="shared" si="9"/>
        <v/>
      </c>
      <c r="E251" s="2"/>
      <c r="F251" t="str">
        <f t="shared" si="10"/>
        <v/>
      </c>
      <c r="G251" t="str">
        <f t="shared" si="11"/>
        <v/>
      </c>
      <c r="H251" t="str">
        <f>IF(F251="","",VLOOKUP(F251,Validation!$A$2:$B$17,2,FALSE))</f>
        <v/>
      </c>
      <c r="I251">
        <f>INT((ROW()-2)/Settings!$B$6)+2</f>
        <v>22</v>
      </c>
      <c r="J251">
        <f>MOD(ROW()-2,Settings!$B$6)+1</f>
        <v>10</v>
      </c>
    </row>
    <row r="252" spans="1:10" x14ac:dyDescent="0.3">
      <c r="A252" t="str">
        <f>IF(OR(INDEX(Matches!$I$2:$I$25,I252-1)="",INDEX(Matches!$J$2:$J$25,I252-1)=""),"",IF(J252&lt;=INDEX(Matches!$I$2:$I$25,I252-1)+INDEX(Matches!$J$2:$J$25,I252-1),INDEX(Matches!$A$2:$A$25,I252-1),""))</f>
        <v/>
      </c>
      <c r="B252" t="str">
        <f>IF(A252="","",IF(J252&lt;=INDEX(Matches!$I$2:$I$25,I252-1),INDEX(Matches!$G$2:$G$25,I252-1),INDEX(Matches!$H$2:$H$25,I252-1)))</f>
        <v/>
      </c>
      <c r="C252" t="str">
        <f>IF(A252="","",COUNTIFS($A$2:A252,A252,$B$2:B252,B252))</f>
        <v/>
      </c>
      <c r="D252" s="2" t="str">
        <f t="shared" si="9"/>
        <v/>
      </c>
      <c r="E252" s="2"/>
      <c r="F252" t="str">
        <f t="shared" si="10"/>
        <v/>
      </c>
      <c r="G252" t="str">
        <f t="shared" si="11"/>
        <v/>
      </c>
      <c r="H252" t="str">
        <f>IF(F252="","",VLOOKUP(F252,Validation!$A$2:$B$17,2,FALSE))</f>
        <v/>
      </c>
      <c r="I252">
        <f>INT((ROW()-2)/Settings!$B$6)+2</f>
        <v>22</v>
      </c>
      <c r="J252">
        <f>MOD(ROW()-2,Settings!$B$6)+1</f>
        <v>11</v>
      </c>
    </row>
    <row r="253" spans="1:10" x14ac:dyDescent="0.3">
      <c r="A253" t="str">
        <f>IF(OR(INDEX(Matches!$I$2:$I$25,I253-1)="",INDEX(Matches!$J$2:$J$25,I253-1)=""),"",IF(J253&lt;=INDEX(Matches!$I$2:$I$25,I253-1)+INDEX(Matches!$J$2:$J$25,I253-1),INDEX(Matches!$A$2:$A$25,I253-1),""))</f>
        <v/>
      </c>
      <c r="B253" t="str">
        <f>IF(A253="","",IF(J253&lt;=INDEX(Matches!$I$2:$I$25,I253-1),INDEX(Matches!$G$2:$G$25,I253-1),INDEX(Matches!$H$2:$H$25,I253-1)))</f>
        <v/>
      </c>
      <c r="C253" t="str">
        <f>IF(A253="","",COUNTIFS($A$2:A253,A253,$B$2:B253,B253))</f>
        <v/>
      </c>
      <c r="D253" s="2" t="str">
        <f t="shared" si="9"/>
        <v/>
      </c>
      <c r="E253" s="2"/>
      <c r="F253" t="str">
        <f t="shared" si="10"/>
        <v/>
      </c>
      <c r="G253" t="str">
        <f t="shared" si="11"/>
        <v/>
      </c>
      <c r="H253" t="str">
        <f>IF(F253="","",VLOOKUP(F253,Validation!$A$2:$B$17,2,FALSE))</f>
        <v/>
      </c>
      <c r="I253">
        <f>INT((ROW()-2)/Settings!$B$6)+2</f>
        <v>22</v>
      </c>
      <c r="J253">
        <f>MOD(ROW()-2,Settings!$B$6)+1</f>
        <v>12</v>
      </c>
    </row>
    <row r="254" spans="1:10" x14ac:dyDescent="0.3">
      <c r="A254" t="str">
        <f>IF(OR(INDEX(Matches!$I$2:$I$25,I254-1)="",INDEX(Matches!$J$2:$J$25,I254-1)=""),"",IF(J254&lt;=INDEX(Matches!$I$2:$I$25,I254-1)+INDEX(Matches!$J$2:$J$25,I254-1),INDEX(Matches!$A$2:$A$25,I254-1),""))</f>
        <v/>
      </c>
      <c r="B254" t="str">
        <f>IF(A254="","",IF(J254&lt;=INDEX(Matches!$I$2:$I$25,I254-1),INDEX(Matches!$G$2:$G$25,I254-1),INDEX(Matches!$H$2:$H$25,I254-1)))</f>
        <v/>
      </c>
      <c r="C254" t="str">
        <f>IF(A254="","",COUNTIFS($A$2:A254,A254,$B$2:B254,B254))</f>
        <v/>
      </c>
      <c r="D254" s="2" t="str">
        <f t="shared" si="9"/>
        <v/>
      </c>
      <c r="E254" s="2"/>
      <c r="F254" t="str">
        <f t="shared" si="10"/>
        <v/>
      </c>
      <c r="G254" t="str">
        <f t="shared" si="11"/>
        <v/>
      </c>
      <c r="H254" t="str">
        <f>IF(F254="","",VLOOKUP(F254,Validation!$A$2:$B$17,2,FALSE))</f>
        <v/>
      </c>
      <c r="I254">
        <f>INT((ROW()-2)/Settings!$B$6)+2</f>
        <v>23</v>
      </c>
      <c r="J254">
        <f>MOD(ROW()-2,Settings!$B$6)+1</f>
        <v>1</v>
      </c>
    </row>
    <row r="255" spans="1:10" x14ac:dyDescent="0.3">
      <c r="A255" t="str">
        <f>IF(OR(INDEX(Matches!$I$2:$I$25,I255-1)="",INDEX(Matches!$J$2:$J$25,I255-1)=""),"",IF(J255&lt;=INDEX(Matches!$I$2:$I$25,I255-1)+INDEX(Matches!$J$2:$J$25,I255-1),INDEX(Matches!$A$2:$A$25,I255-1),""))</f>
        <v/>
      </c>
      <c r="B255" t="str">
        <f>IF(A255="","",IF(J255&lt;=INDEX(Matches!$I$2:$I$25,I255-1),INDEX(Matches!$G$2:$G$25,I255-1),INDEX(Matches!$H$2:$H$25,I255-1)))</f>
        <v/>
      </c>
      <c r="C255" t="str">
        <f>IF(A255="","",COUNTIFS($A$2:A255,A255,$B$2:B255,B255))</f>
        <v/>
      </c>
      <c r="D255" s="2" t="str">
        <f t="shared" si="9"/>
        <v/>
      </c>
      <c r="E255" s="2"/>
      <c r="F255" t="str">
        <f t="shared" si="10"/>
        <v/>
      </c>
      <c r="G255" t="str">
        <f t="shared" si="11"/>
        <v/>
      </c>
      <c r="H255" t="str">
        <f>IF(F255="","",VLOOKUP(F255,Validation!$A$2:$B$17,2,FALSE))</f>
        <v/>
      </c>
      <c r="I255">
        <f>INT((ROW()-2)/Settings!$B$6)+2</f>
        <v>23</v>
      </c>
      <c r="J255">
        <f>MOD(ROW()-2,Settings!$B$6)+1</f>
        <v>2</v>
      </c>
    </row>
    <row r="256" spans="1:10" x14ac:dyDescent="0.3">
      <c r="A256" t="str">
        <f>IF(OR(INDEX(Matches!$I$2:$I$25,I256-1)="",INDEX(Matches!$J$2:$J$25,I256-1)=""),"",IF(J256&lt;=INDEX(Matches!$I$2:$I$25,I256-1)+INDEX(Matches!$J$2:$J$25,I256-1),INDEX(Matches!$A$2:$A$25,I256-1),""))</f>
        <v/>
      </c>
      <c r="B256" t="str">
        <f>IF(A256="","",IF(J256&lt;=INDEX(Matches!$I$2:$I$25,I256-1),INDEX(Matches!$G$2:$G$25,I256-1),INDEX(Matches!$H$2:$H$25,I256-1)))</f>
        <v/>
      </c>
      <c r="C256" t="str">
        <f>IF(A256="","",COUNTIFS($A$2:A256,A256,$B$2:B256,B256))</f>
        <v/>
      </c>
      <c r="D256" s="2" t="str">
        <f t="shared" si="9"/>
        <v/>
      </c>
      <c r="E256" s="2"/>
      <c r="F256" t="str">
        <f t="shared" si="10"/>
        <v/>
      </c>
      <c r="G256" t="str">
        <f t="shared" si="11"/>
        <v/>
      </c>
      <c r="H256" t="str">
        <f>IF(F256="","",VLOOKUP(F256,Validation!$A$2:$B$17,2,FALSE))</f>
        <v/>
      </c>
      <c r="I256">
        <f>INT((ROW()-2)/Settings!$B$6)+2</f>
        <v>23</v>
      </c>
      <c r="J256">
        <f>MOD(ROW()-2,Settings!$B$6)+1</f>
        <v>3</v>
      </c>
    </row>
    <row r="257" spans="1:10" x14ac:dyDescent="0.3">
      <c r="A257" t="str">
        <f>IF(OR(INDEX(Matches!$I$2:$I$25,I257-1)="",INDEX(Matches!$J$2:$J$25,I257-1)=""),"",IF(J257&lt;=INDEX(Matches!$I$2:$I$25,I257-1)+INDEX(Matches!$J$2:$J$25,I257-1),INDEX(Matches!$A$2:$A$25,I257-1),""))</f>
        <v/>
      </c>
      <c r="B257" t="str">
        <f>IF(A257="","",IF(J257&lt;=INDEX(Matches!$I$2:$I$25,I257-1),INDEX(Matches!$G$2:$G$25,I257-1),INDEX(Matches!$H$2:$H$25,I257-1)))</f>
        <v/>
      </c>
      <c r="C257" t="str">
        <f>IF(A257="","",COUNTIFS($A$2:A257,A257,$B$2:B257,B257))</f>
        <v/>
      </c>
      <c r="D257" s="2" t="str">
        <f t="shared" si="9"/>
        <v/>
      </c>
      <c r="E257" s="2"/>
      <c r="F257" t="str">
        <f t="shared" si="10"/>
        <v/>
      </c>
      <c r="G257" t="str">
        <f t="shared" si="11"/>
        <v/>
      </c>
      <c r="H257" t="str">
        <f>IF(F257="","",VLOOKUP(F257,Validation!$A$2:$B$17,2,FALSE))</f>
        <v/>
      </c>
      <c r="I257">
        <f>INT((ROW()-2)/Settings!$B$6)+2</f>
        <v>23</v>
      </c>
      <c r="J257">
        <f>MOD(ROW()-2,Settings!$B$6)+1</f>
        <v>4</v>
      </c>
    </row>
    <row r="258" spans="1:10" x14ac:dyDescent="0.3">
      <c r="A258" t="str">
        <f>IF(OR(INDEX(Matches!$I$2:$I$25,I258-1)="",INDEX(Matches!$J$2:$J$25,I258-1)=""),"",IF(J258&lt;=INDEX(Matches!$I$2:$I$25,I258-1)+INDEX(Matches!$J$2:$J$25,I258-1),INDEX(Matches!$A$2:$A$25,I258-1),""))</f>
        <v/>
      </c>
      <c r="B258" t="str">
        <f>IF(A258="","",IF(J258&lt;=INDEX(Matches!$I$2:$I$25,I258-1),INDEX(Matches!$G$2:$G$25,I258-1),INDEX(Matches!$H$2:$H$25,I258-1)))</f>
        <v/>
      </c>
      <c r="C258" t="str">
        <f>IF(A258="","",COUNTIFS($A$2:A258,A258,$B$2:B258,B258))</f>
        <v/>
      </c>
      <c r="D258" s="2" t="str">
        <f t="shared" ref="D258:D289" si="12">IF(A258="","","Goal")</f>
        <v/>
      </c>
      <c r="E258" s="2"/>
      <c r="F258" t="str">
        <f t="shared" ref="F258:F289" si="13">IF(A258="","",IF(D258="Autogol","",IF(D258="Goal",B258,"")))</f>
        <v/>
      </c>
      <c r="G258" t="str">
        <f t="shared" ref="G258:G289" si="14">IF(A258="","",IF(D258="","Manca tipo",IF(D258="Goal",IF(E258="","Manca giocatore","OK"),IF(D258="Autogol",IF(E258&lt;&gt;"","Autogol: svuota Player","OK"),"Tipo non valido"))))</f>
        <v/>
      </c>
      <c r="H258" t="str">
        <f>IF(F258="","",VLOOKUP(F258,Validation!$A$2:$B$17,2,FALSE))</f>
        <v/>
      </c>
      <c r="I258">
        <f>INT((ROW()-2)/Settings!$B$6)+2</f>
        <v>23</v>
      </c>
      <c r="J258">
        <f>MOD(ROW()-2,Settings!$B$6)+1</f>
        <v>5</v>
      </c>
    </row>
    <row r="259" spans="1:10" x14ac:dyDescent="0.3">
      <c r="A259" t="str">
        <f>IF(OR(INDEX(Matches!$I$2:$I$25,I259-1)="",INDEX(Matches!$J$2:$J$25,I259-1)=""),"",IF(J259&lt;=INDEX(Matches!$I$2:$I$25,I259-1)+INDEX(Matches!$J$2:$J$25,I259-1),INDEX(Matches!$A$2:$A$25,I259-1),""))</f>
        <v/>
      </c>
      <c r="B259" t="str">
        <f>IF(A259="","",IF(J259&lt;=INDEX(Matches!$I$2:$I$25,I259-1),INDEX(Matches!$G$2:$G$25,I259-1),INDEX(Matches!$H$2:$H$25,I259-1)))</f>
        <v/>
      </c>
      <c r="C259" t="str">
        <f>IF(A259="","",COUNTIFS($A$2:A259,A259,$B$2:B259,B259))</f>
        <v/>
      </c>
      <c r="D259" s="2" t="str">
        <f t="shared" si="12"/>
        <v/>
      </c>
      <c r="E259" s="2"/>
      <c r="F259" t="str">
        <f t="shared" si="13"/>
        <v/>
      </c>
      <c r="G259" t="str">
        <f t="shared" si="14"/>
        <v/>
      </c>
      <c r="H259" t="str">
        <f>IF(F259="","",VLOOKUP(F259,Validation!$A$2:$B$17,2,FALSE))</f>
        <v/>
      </c>
      <c r="I259">
        <f>INT((ROW()-2)/Settings!$B$6)+2</f>
        <v>23</v>
      </c>
      <c r="J259">
        <f>MOD(ROW()-2,Settings!$B$6)+1</f>
        <v>6</v>
      </c>
    </row>
    <row r="260" spans="1:10" x14ac:dyDescent="0.3">
      <c r="A260" t="str">
        <f>IF(OR(INDEX(Matches!$I$2:$I$25,I260-1)="",INDEX(Matches!$J$2:$J$25,I260-1)=""),"",IF(J260&lt;=INDEX(Matches!$I$2:$I$25,I260-1)+INDEX(Matches!$J$2:$J$25,I260-1),INDEX(Matches!$A$2:$A$25,I260-1),""))</f>
        <v/>
      </c>
      <c r="B260" t="str">
        <f>IF(A260="","",IF(J260&lt;=INDEX(Matches!$I$2:$I$25,I260-1),INDEX(Matches!$G$2:$G$25,I260-1),INDEX(Matches!$H$2:$H$25,I260-1)))</f>
        <v/>
      </c>
      <c r="C260" t="str">
        <f>IF(A260="","",COUNTIFS($A$2:A260,A260,$B$2:B260,B260))</f>
        <v/>
      </c>
      <c r="D260" s="2" t="str">
        <f t="shared" si="12"/>
        <v/>
      </c>
      <c r="E260" s="2"/>
      <c r="F260" t="str">
        <f t="shared" si="13"/>
        <v/>
      </c>
      <c r="G260" t="str">
        <f t="shared" si="14"/>
        <v/>
      </c>
      <c r="H260" t="str">
        <f>IF(F260="","",VLOOKUP(F260,Validation!$A$2:$B$17,2,FALSE))</f>
        <v/>
      </c>
      <c r="I260">
        <f>INT((ROW()-2)/Settings!$B$6)+2</f>
        <v>23</v>
      </c>
      <c r="J260">
        <f>MOD(ROW()-2,Settings!$B$6)+1</f>
        <v>7</v>
      </c>
    </row>
    <row r="261" spans="1:10" x14ac:dyDescent="0.3">
      <c r="A261" t="str">
        <f>IF(OR(INDEX(Matches!$I$2:$I$25,I261-1)="",INDEX(Matches!$J$2:$J$25,I261-1)=""),"",IF(J261&lt;=INDEX(Matches!$I$2:$I$25,I261-1)+INDEX(Matches!$J$2:$J$25,I261-1),INDEX(Matches!$A$2:$A$25,I261-1),""))</f>
        <v/>
      </c>
      <c r="B261" t="str">
        <f>IF(A261="","",IF(J261&lt;=INDEX(Matches!$I$2:$I$25,I261-1),INDEX(Matches!$G$2:$G$25,I261-1),INDEX(Matches!$H$2:$H$25,I261-1)))</f>
        <v/>
      </c>
      <c r="C261" t="str">
        <f>IF(A261="","",COUNTIFS($A$2:A261,A261,$B$2:B261,B261))</f>
        <v/>
      </c>
      <c r="D261" s="2" t="str">
        <f t="shared" si="12"/>
        <v/>
      </c>
      <c r="E261" s="2"/>
      <c r="F261" t="str">
        <f t="shared" si="13"/>
        <v/>
      </c>
      <c r="G261" t="str">
        <f t="shared" si="14"/>
        <v/>
      </c>
      <c r="H261" t="str">
        <f>IF(F261="","",VLOOKUP(F261,Validation!$A$2:$B$17,2,FALSE))</f>
        <v/>
      </c>
      <c r="I261">
        <f>INT((ROW()-2)/Settings!$B$6)+2</f>
        <v>23</v>
      </c>
      <c r="J261">
        <f>MOD(ROW()-2,Settings!$B$6)+1</f>
        <v>8</v>
      </c>
    </row>
    <row r="262" spans="1:10" x14ac:dyDescent="0.3">
      <c r="A262" t="str">
        <f>IF(OR(INDEX(Matches!$I$2:$I$25,I262-1)="",INDEX(Matches!$J$2:$J$25,I262-1)=""),"",IF(J262&lt;=INDEX(Matches!$I$2:$I$25,I262-1)+INDEX(Matches!$J$2:$J$25,I262-1),INDEX(Matches!$A$2:$A$25,I262-1),""))</f>
        <v/>
      </c>
      <c r="B262" t="str">
        <f>IF(A262="","",IF(J262&lt;=INDEX(Matches!$I$2:$I$25,I262-1),INDEX(Matches!$G$2:$G$25,I262-1),INDEX(Matches!$H$2:$H$25,I262-1)))</f>
        <v/>
      </c>
      <c r="C262" t="str">
        <f>IF(A262="","",COUNTIFS($A$2:A262,A262,$B$2:B262,B262))</f>
        <v/>
      </c>
      <c r="D262" s="2" t="str">
        <f t="shared" si="12"/>
        <v/>
      </c>
      <c r="E262" s="2"/>
      <c r="F262" t="str">
        <f t="shared" si="13"/>
        <v/>
      </c>
      <c r="G262" t="str">
        <f t="shared" si="14"/>
        <v/>
      </c>
      <c r="H262" t="str">
        <f>IF(F262="","",VLOOKUP(F262,Validation!$A$2:$B$17,2,FALSE))</f>
        <v/>
      </c>
      <c r="I262">
        <f>INT((ROW()-2)/Settings!$B$6)+2</f>
        <v>23</v>
      </c>
      <c r="J262">
        <f>MOD(ROW()-2,Settings!$B$6)+1</f>
        <v>9</v>
      </c>
    </row>
    <row r="263" spans="1:10" x14ac:dyDescent="0.3">
      <c r="A263" t="str">
        <f>IF(OR(INDEX(Matches!$I$2:$I$25,I263-1)="",INDEX(Matches!$J$2:$J$25,I263-1)=""),"",IF(J263&lt;=INDEX(Matches!$I$2:$I$25,I263-1)+INDEX(Matches!$J$2:$J$25,I263-1),INDEX(Matches!$A$2:$A$25,I263-1),""))</f>
        <v/>
      </c>
      <c r="B263" t="str">
        <f>IF(A263="","",IF(J263&lt;=INDEX(Matches!$I$2:$I$25,I263-1),INDEX(Matches!$G$2:$G$25,I263-1),INDEX(Matches!$H$2:$H$25,I263-1)))</f>
        <v/>
      </c>
      <c r="C263" t="str">
        <f>IF(A263="","",COUNTIFS($A$2:A263,A263,$B$2:B263,B263))</f>
        <v/>
      </c>
      <c r="D263" s="2" t="str">
        <f t="shared" si="12"/>
        <v/>
      </c>
      <c r="E263" s="2"/>
      <c r="F263" t="str">
        <f t="shared" si="13"/>
        <v/>
      </c>
      <c r="G263" t="str">
        <f t="shared" si="14"/>
        <v/>
      </c>
      <c r="H263" t="str">
        <f>IF(F263="","",VLOOKUP(F263,Validation!$A$2:$B$17,2,FALSE))</f>
        <v/>
      </c>
      <c r="I263">
        <f>INT((ROW()-2)/Settings!$B$6)+2</f>
        <v>23</v>
      </c>
      <c r="J263">
        <f>MOD(ROW()-2,Settings!$B$6)+1</f>
        <v>10</v>
      </c>
    </row>
    <row r="264" spans="1:10" x14ac:dyDescent="0.3">
      <c r="A264" t="str">
        <f>IF(OR(INDEX(Matches!$I$2:$I$25,I264-1)="",INDEX(Matches!$J$2:$J$25,I264-1)=""),"",IF(J264&lt;=INDEX(Matches!$I$2:$I$25,I264-1)+INDEX(Matches!$J$2:$J$25,I264-1),INDEX(Matches!$A$2:$A$25,I264-1),""))</f>
        <v/>
      </c>
      <c r="B264" t="str">
        <f>IF(A264="","",IF(J264&lt;=INDEX(Matches!$I$2:$I$25,I264-1),INDEX(Matches!$G$2:$G$25,I264-1),INDEX(Matches!$H$2:$H$25,I264-1)))</f>
        <v/>
      </c>
      <c r="C264" t="str">
        <f>IF(A264="","",COUNTIFS($A$2:A264,A264,$B$2:B264,B264))</f>
        <v/>
      </c>
      <c r="D264" s="2" t="str">
        <f t="shared" si="12"/>
        <v/>
      </c>
      <c r="E264" s="2"/>
      <c r="F264" t="str">
        <f t="shared" si="13"/>
        <v/>
      </c>
      <c r="G264" t="str">
        <f t="shared" si="14"/>
        <v/>
      </c>
      <c r="H264" t="str">
        <f>IF(F264="","",VLOOKUP(F264,Validation!$A$2:$B$17,2,FALSE))</f>
        <v/>
      </c>
      <c r="I264">
        <f>INT((ROW()-2)/Settings!$B$6)+2</f>
        <v>23</v>
      </c>
      <c r="J264">
        <f>MOD(ROW()-2,Settings!$B$6)+1</f>
        <v>11</v>
      </c>
    </row>
    <row r="265" spans="1:10" x14ac:dyDescent="0.3">
      <c r="A265" t="str">
        <f>IF(OR(INDEX(Matches!$I$2:$I$25,I265-1)="",INDEX(Matches!$J$2:$J$25,I265-1)=""),"",IF(J265&lt;=INDEX(Matches!$I$2:$I$25,I265-1)+INDEX(Matches!$J$2:$J$25,I265-1),INDEX(Matches!$A$2:$A$25,I265-1),""))</f>
        <v/>
      </c>
      <c r="B265" t="str">
        <f>IF(A265="","",IF(J265&lt;=INDEX(Matches!$I$2:$I$25,I265-1),INDEX(Matches!$G$2:$G$25,I265-1),INDEX(Matches!$H$2:$H$25,I265-1)))</f>
        <v/>
      </c>
      <c r="C265" t="str">
        <f>IF(A265="","",COUNTIFS($A$2:A265,A265,$B$2:B265,B265))</f>
        <v/>
      </c>
      <c r="D265" s="2" t="str">
        <f t="shared" si="12"/>
        <v/>
      </c>
      <c r="E265" s="2"/>
      <c r="F265" t="str">
        <f t="shared" si="13"/>
        <v/>
      </c>
      <c r="G265" t="str">
        <f t="shared" si="14"/>
        <v/>
      </c>
      <c r="H265" t="str">
        <f>IF(F265="","",VLOOKUP(F265,Validation!$A$2:$B$17,2,FALSE))</f>
        <v/>
      </c>
      <c r="I265">
        <f>INT((ROW()-2)/Settings!$B$6)+2</f>
        <v>23</v>
      </c>
      <c r="J265">
        <f>MOD(ROW()-2,Settings!$B$6)+1</f>
        <v>12</v>
      </c>
    </row>
    <row r="266" spans="1:10" x14ac:dyDescent="0.3">
      <c r="A266" t="str">
        <f>IF(OR(INDEX(Matches!$I$2:$I$25,I266-1)="",INDEX(Matches!$J$2:$J$25,I266-1)=""),"",IF(J266&lt;=INDEX(Matches!$I$2:$I$25,I266-1)+INDEX(Matches!$J$2:$J$25,I266-1),INDEX(Matches!$A$2:$A$25,I266-1),""))</f>
        <v/>
      </c>
      <c r="B266" t="str">
        <f>IF(A266="","",IF(J266&lt;=INDEX(Matches!$I$2:$I$25,I266-1),INDEX(Matches!$G$2:$G$25,I266-1),INDEX(Matches!$H$2:$H$25,I266-1)))</f>
        <v/>
      </c>
      <c r="C266" t="str">
        <f>IF(A266="","",COUNTIFS($A$2:A266,A266,$B$2:B266,B266))</f>
        <v/>
      </c>
      <c r="D266" s="2" t="str">
        <f t="shared" si="12"/>
        <v/>
      </c>
      <c r="E266" s="2"/>
      <c r="F266" t="str">
        <f t="shared" si="13"/>
        <v/>
      </c>
      <c r="G266" t="str">
        <f t="shared" si="14"/>
        <v/>
      </c>
      <c r="H266" t="str">
        <f>IF(F266="","",VLOOKUP(F266,Validation!$A$2:$B$17,2,FALSE))</f>
        <v/>
      </c>
      <c r="I266">
        <f>INT((ROW()-2)/Settings!$B$6)+2</f>
        <v>24</v>
      </c>
      <c r="J266">
        <f>MOD(ROW()-2,Settings!$B$6)+1</f>
        <v>1</v>
      </c>
    </row>
    <row r="267" spans="1:10" x14ac:dyDescent="0.3">
      <c r="A267" t="str">
        <f>IF(OR(INDEX(Matches!$I$2:$I$25,I267-1)="",INDEX(Matches!$J$2:$J$25,I267-1)=""),"",IF(J267&lt;=INDEX(Matches!$I$2:$I$25,I267-1)+INDEX(Matches!$J$2:$J$25,I267-1),INDEX(Matches!$A$2:$A$25,I267-1),""))</f>
        <v/>
      </c>
      <c r="B267" t="str">
        <f>IF(A267="","",IF(J267&lt;=INDEX(Matches!$I$2:$I$25,I267-1),INDEX(Matches!$G$2:$G$25,I267-1),INDEX(Matches!$H$2:$H$25,I267-1)))</f>
        <v/>
      </c>
      <c r="C267" t="str">
        <f>IF(A267="","",COUNTIFS($A$2:A267,A267,$B$2:B267,B267))</f>
        <v/>
      </c>
      <c r="D267" s="2" t="str">
        <f t="shared" si="12"/>
        <v/>
      </c>
      <c r="E267" s="2"/>
      <c r="F267" t="str">
        <f t="shared" si="13"/>
        <v/>
      </c>
      <c r="G267" t="str">
        <f t="shared" si="14"/>
        <v/>
      </c>
      <c r="H267" t="str">
        <f>IF(F267="","",VLOOKUP(F267,Validation!$A$2:$B$17,2,FALSE))</f>
        <v/>
      </c>
      <c r="I267">
        <f>INT((ROW()-2)/Settings!$B$6)+2</f>
        <v>24</v>
      </c>
      <c r="J267">
        <f>MOD(ROW()-2,Settings!$B$6)+1</f>
        <v>2</v>
      </c>
    </row>
    <row r="268" spans="1:10" x14ac:dyDescent="0.3">
      <c r="A268" t="str">
        <f>IF(OR(INDEX(Matches!$I$2:$I$25,I268-1)="",INDEX(Matches!$J$2:$J$25,I268-1)=""),"",IF(J268&lt;=INDEX(Matches!$I$2:$I$25,I268-1)+INDEX(Matches!$J$2:$J$25,I268-1),INDEX(Matches!$A$2:$A$25,I268-1),""))</f>
        <v/>
      </c>
      <c r="B268" t="str">
        <f>IF(A268="","",IF(J268&lt;=INDEX(Matches!$I$2:$I$25,I268-1),INDEX(Matches!$G$2:$G$25,I268-1),INDEX(Matches!$H$2:$H$25,I268-1)))</f>
        <v/>
      </c>
      <c r="C268" t="str">
        <f>IF(A268="","",COUNTIFS($A$2:A268,A268,$B$2:B268,B268))</f>
        <v/>
      </c>
      <c r="D268" s="2" t="str">
        <f t="shared" si="12"/>
        <v/>
      </c>
      <c r="E268" s="2"/>
      <c r="F268" t="str">
        <f t="shared" si="13"/>
        <v/>
      </c>
      <c r="G268" t="str">
        <f t="shared" si="14"/>
        <v/>
      </c>
      <c r="H268" t="str">
        <f>IF(F268="","",VLOOKUP(F268,Validation!$A$2:$B$17,2,FALSE))</f>
        <v/>
      </c>
      <c r="I268">
        <f>INT((ROW()-2)/Settings!$B$6)+2</f>
        <v>24</v>
      </c>
      <c r="J268">
        <f>MOD(ROW()-2,Settings!$B$6)+1</f>
        <v>3</v>
      </c>
    </row>
    <row r="269" spans="1:10" x14ac:dyDescent="0.3">
      <c r="A269" t="str">
        <f>IF(OR(INDEX(Matches!$I$2:$I$25,I269-1)="",INDEX(Matches!$J$2:$J$25,I269-1)=""),"",IF(J269&lt;=INDEX(Matches!$I$2:$I$25,I269-1)+INDEX(Matches!$J$2:$J$25,I269-1),INDEX(Matches!$A$2:$A$25,I269-1),""))</f>
        <v/>
      </c>
      <c r="B269" t="str">
        <f>IF(A269="","",IF(J269&lt;=INDEX(Matches!$I$2:$I$25,I269-1),INDEX(Matches!$G$2:$G$25,I269-1),INDEX(Matches!$H$2:$H$25,I269-1)))</f>
        <v/>
      </c>
      <c r="C269" t="str">
        <f>IF(A269="","",COUNTIFS($A$2:A269,A269,$B$2:B269,B269))</f>
        <v/>
      </c>
      <c r="D269" s="2" t="str">
        <f t="shared" si="12"/>
        <v/>
      </c>
      <c r="E269" s="2"/>
      <c r="F269" t="str">
        <f t="shared" si="13"/>
        <v/>
      </c>
      <c r="G269" t="str">
        <f t="shared" si="14"/>
        <v/>
      </c>
      <c r="H269" t="str">
        <f>IF(F269="","",VLOOKUP(F269,Validation!$A$2:$B$17,2,FALSE))</f>
        <v/>
      </c>
      <c r="I269">
        <f>INT((ROW()-2)/Settings!$B$6)+2</f>
        <v>24</v>
      </c>
      <c r="J269">
        <f>MOD(ROW()-2,Settings!$B$6)+1</f>
        <v>4</v>
      </c>
    </row>
    <row r="270" spans="1:10" x14ac:dyDescent="0.3">
      <c r="A270" t="str">
        <f>IF(OR(INDEX(Matches!$I$2:$I$25,I270-1)="",INDEX(Matches!$J$2:$J$25,I270-1)=""),"",IF(J270&lt;=INDEX(Matches!$I$2:$I$25,I270-1)+INDEX(Matches!$J$2:$J$25,I270-1),INDEX(Matches!$A$2:$A$25,I270-1),""))</f>
        <v/>
      </c>
      <c r="B270" t="str">
        <f>IF(A270="","",IF(J270&lt;=INDEX(Matches!$I$2:$I$25,I270-1),INDEX(Matches!$G$2:$G$25,I270-1),INDEX(Matches!$H$2:$H$25,I270-1)))</f>
        <v/>
      </c>
      <c r="C270" t="str">
        <f>IF(A270="","",COUNTIFS($A$2:A270,A270,$B$2:B270,B270))</f>
        <v/>
      </c>
      <c r="D270" s="2" t="str">
        <f t="shared" si="12"/>
        <v/>
      </c>
      <c r="E270" s="2"/>
      <c r="F270" t="str">
        <f t="shared" si="13"/>
        <v/>
      </c>
      <c r="G270" t="str">
        <f t="shared" si="14"/>
        <v/>
      </c>
      <c r="H270" t="str">
        <f>IF(F270="","",VLOOKUP(F270,Validation!$A$2:$B$17,2,FALSE))</f>
        <v/>
      </c>
      <c r="I270">
        <f>INT((ROW()-2)/Settings!$B$6)+2</f>
        <v>24</v>
      </c>
      <c r="J270">
        <f>MOD(ROW()-2,Settings!$B$6)+1</f>
        <v>5</v>
      </c>
    </row>
    <row r="271" spans="1:10" x14ac:dyDescent="0.3">
      <c r="A271" t="str">
        <f>IF(OR(INDEX(Matches!$I$2:$I$25,I271-1)="",INDEX(Matches!$J$2:$J$25,I271-1)=""),"",IF(J271&lt;=INDEX(Matches!$I$2:$I$25,I271-1)+INDEX(Matches!$J$2:$J$25,I271-1),INDEX(Matches!$A$2:$A$25,I271-1),""))</f>
        <v/>
      </c>
      <c r="B271" t="str">
        <f>IF(A271="","",IF(J271&lt;=INDEX(Matches!$I$2:$I$25,I271-1),INDEX(Matches!$G$2:$G$25,I271-1),INDEX(Matches!$H$2:$H$25,I271-1)))</f>
        <v/>
      </c>
      <c r="C271" t="str">
        <f>IF(A271="","",COUNTIFS($A$2:A271,A271,$B$2:B271,B271))</f>
        <v/>
      </c>
      <c r="D271" s="2" t="str">
        <f t="shared" si="12"/>
        <v/>
      </c>
      <c r="E271" s="2"/>
      <c r="F271" t="str">
        <f t="shared" si="13"/>
        <v/>
      </c>
      <c r="G271" t="str">
        <f t="shared" si="14"/>
        <v/>
      </c>
      <c r="H271" t="str">
        <f>IF(F271="","",VLOOKUP(F271,Validation!$A$2:$B$17,2,FALSE))</f>
        <v/>
      </c>
      <c r="I271">
        <f>INT((ROW()-2)/Settings!$B$6)+2</f>
        <v>24</v>
      </c>
      <c r="J271">
        <f>MOD(ROW()-2,Settings!$B$6)+1</f>
        <v>6</v>
      </c>
    </row>
    <row r="272" spans="1:10" x14ac:dyDescent="0.3">
      <c r="A272" t="str">
        <f>IF(OR(INDEX(Matches!$I$2:$I$25,I272-1)="",INDEX(Matches!$J$2:$J$25,I272-1)=""),"",IF(J272&lt;=INDEX(Matches!$I$2:$I$25,I272-1)+INDEX(Matches!$J$2:$J$25,I272-1),INDEX(Matches!$A$2:$A$25,I272-1),""))</f>
        <v/>
      </c>
      <c r="B272" t="str">
        <f>IF(A272="","",IF(J272&lt;=INDEX(Matches!$I$2:$I$25,I272-1),INDEX(Matches!$G$2:$G$25,I272-1),INDEX(Matches!$H$2:$H$25,I272-1)))</f>
        <v/>
      </c>
      <c r="C272" t="str">
        <f>IF(A272="","",COUNTIFS($A$2:A272,A272,$B$2:B272,B272))</f>
        <v/>
      </c>
      <c r="D272" s="2" t="str">
        <f t="shared" si="12"/>
        <v/>
      </c>
      <c r="E272" s="2"/>
      <c r="F272" t="str">
        <f t="shared" si="13"/>
        <v/>
      </c>
      <c r="G272" t="str">
        <f t="shared" si="14"/>
        <v/>
      </c>
      <c r="H272" t="str">
        <f>IF(F272="","",VLOOKUP(F272,Validation!$A$2:$B$17,2,FALSE))</f>
        <v/>
      </c>
      <c r="I272">
        <f>INT((ROW()-2)/Settings!$B$6)+2</f>
        <v>24</v>
      </c>
      <c r="J272">
        <f>MOD(ROW()-2,Settings!$B$6)+1</f>
        <v>7</v>
      </c>
    </row>
    <row r="273" spans="1:10" x14ac:dyDescent="0.3">
      <c r="A273" t="str">
        <f>IF(OR(INDEX(Matches!$I$2:$I$25,I273-1)="",INDEX(Matches!$J$2:$J$25,I273-1)=""),"",IF(J273&lt;=INDEX(Matches!$I$2:$I$25,I273-1)+INDEX(Matches!$J$2:$J$25,I273-1),INDEX(Matches!$A$2:$A$25,I273-1),""))</f>
        <v/>
      </c>
      <c r="B273" t="str">
        <f>IF(A273="","",IF(J273&lt;=INDEX(Matches!$I$2:$I$25,I273-1),INDEX(Matches!$G$2:$G$25,I273-1),INDEX(Matches!$H$2:$H$25,I273-1)))</f>
        <v/>
      </c>
      <c r="C273" t="str">
        <f>IF(A273="","",COUNTIFS($A$2:A273,A273,$B$2:B273,B273))</f>
        <v/>
      </c>
      <c r="D273" s="2" t="str">
        <f t="shared" si="12"/>
        <v/>
      </c>
      <c r="E273" s="2"/>
      <c r="F273" t="str">
        <f t="shared" si="13"/>
        <v/>
      </c>
      <c r="G273" t="str">
        <f t="shared" si="14"/>
        <v/>
      </c>
      <c r="H273" t="str">
        <f>IF(F273="","",VLOOKUP(F273,Validation!$A$2:$B$17,2,FALSE))</f>
        <v/>
      </c>
      <c r="I273">
        <f>INT((ROW()-2)/Settings!$B$6)+2</f>
        <v>24</v>
      </c>
      <c r="J273">
        <f>MOD(ROW()-2,Settings!$B$6)+1</f>
        <v>8</v>
      </c>
    </row>
    <row r="274" spans="1:10" x14ac:dyDescent="0.3">
      <c r="A274" t="str">
        <f>IF(OR(INDEX(Matches!$I$2:$I$25,I274-1)="",INDEX(Matches!$J$2:$J$25,I274-1)=""),"",IF(J274&lt;=INDEX(Matches!$I$2:$I$25,I274-1)+INDEX(Matches!$J$2:$J$25,I274-1),INDEX(Matches!$A$2:$A$25,I274-1),""))</f>
        <v/>
      </c>
      <c r="B274" t="str">
        <f>IF(A274="","",IF(J274&lt;=INDEX(Matches!$I$2:$I$25,I274-1),INDEX(Matches!$G$2:$G$25,I274-1),INDEX(Matches!$H$2:$H$25,I274-1)))</f>
        <v/>
      </c>
      <c r="C274" t="str">
        <f>IF(A274="","",COUNTIFS($A$2:A274,A274,$B$2:B274,B274))</f>
        <v/>
      </c>
      <c r="D274" s="2" t="str">
        <f t="shared" si="12"/>
        <v/>
      </c>
      <c r="E274" s="2"/>
      <c r="F274" t="str">
        <f t="shared" si="13"/>
        <v/>
      </c>
      <c r="G274" t="str">
        <f t="shared" si="14"/>
        <v/>
      </c>
      <c r="H274" t="str">
        <f>IF(F274="","",VLOOKUP(F274,Validation!$A$2:$B$17,2,FALSE))</f>
        <v/>
      </c>
      <c r="I274">
        <f>INT((ROW()-2)/Settings!$B$6)+2</f>
        <v>24</v>
      </c>
      <c r="J274">
        <f>MOD(ROW()-2,Settings!$B$6)+1</f>
        <v>9</v>
      </c>
    </row>
    <row r="275" spans="1:10" x14ac:dyDescent="0.3">
      <c r="A275" t="str">
        <f>IF(OR(INDEX(Matches!$I$2:$I$25,I275-1)="",INDEX(Matches!$J$2:$J$25,I275-1)=""),"",IF(J275&lt;=INDEX(Matches!$I$2:$I$25,I275-1)+INDEX(Matches!$J$2:$J$25,I275-1),INDEX(Matches!$A$2:$A$25,I275-1),""))</f>
        <v/>
      </c>
      <c r="B275" t="str">
        <f>IF(A275="","",IF(J275&lt;=INDEX(Matches!$I$2:$I$25,I275-1),INDEX(Matches!$G$2:$G$25,I275-1),INDEX(Matches!$H$2:$H$25,I275-1)))</f>
        <v/>
      </c>
      <c r="C275" t="str">
        <f>IF(A275="","",COUNTIFS($A$2:A275,A275,$B$2:B275,B275))</f>
        <v/>
      </c>
      <c r="D275" s="2" t="str">
        <f t="shared" si="12"/>
        <v/>
      </c>
      <c r="E275" s="2"/>
      <c r="F275" t="str">
        <f t="shared" si="13"/>
        <v/>
      </c>
      <c r="G275" t="str">
        <f t="shared" si="14"/>
        <v/>
      </c>
      <c r="H275" t="str">
        <f>IF(F275="","",VLOOKUP(F275,Validation!$A$2:$B$17,2,FALSE))</f>
        <v/>
      </c>
      <c r="I275">
        <f>INT((ROW()-2)/Settings!$B$6)+2</f>
        <v>24</v>
      </c>
      <c r="J275">
        <f>MOD(ROW()-2,Settings!$B$6)+1</f>
        <v>10</v>
      </c>
    </row>
    <row r="276" spans="1:10" x14ac:dyDescent="0.3">
      <c r="A276" t="str">
        <f>IF(OR(INDEX(Matches!$I$2:$I$25,I276-1)="",INDEX(Matches!$J$2:$J$25,I276-1)=""),"",IF(J276&lt;=INDEX(Matches!$I$2:$I$25,I276-1)+INDEX(Matches!$J$2:$J$25,I276-1),INDEX(Matches!$A$2:$A$25,I276-1),""))</f>
        <v/>
      </c>
      <c r="B276" t="str">
        <f>IF(A276="","",IF(J276&lt;=INDEX(Matches!$I$2:$I$25,I276-1),INDEX(Matches!$G$2:$G$25,I276-1),INDEX(Matches!$H$2:$H$25,I276-1)))</f>
        <v/>
      </c>
      <c r="C276" t="str">
        <f>IF(A276="","",COUNTIFS($A$2:A276,A276,$B$2:B276,B276))</f>
        <v/>
      </c>
      <c r="D276" s="2" t="str">
        <f t="shared" si="12"/>
        <v/>
      </c>
      <c r="E276" s="2"/>
      <c r="F276" t="str">
        <f t="shared" si="13"/>
        <v/>
      </c>
      <c r="G276" t="str">
        <f t="shared" si="14"/>
        <v/>
      </c>
      <c r="H276" t="str">
        <f>IF(F276="","",VLOOKUP(F276,Validation!$A$2:$B$17,2,FALSE))</f>
        <v/>
      </c>
      <c r="I276">
        <f>INT((ROW()-2)/Settings!$B$6)+2</f>
        <v>24</v>
      </c>
      <c r="J276">
        <f>MOD(ROW()-2,Settings!$B$6)+1</f>
        <v>11</v>
      </c>
    </row>
    <row r="277" spans="1:10" x14ac:dyDescent="0.3">
      <c r="A277" t="str">
        <f>IF(OR(INDEX(Matches!$I$2:$I$25,I277-1)="",INDEX(Matches!$J$2:$J$25,I277-1)=""),"",IF(J277&lt;=INDEX(Matches!$I$2:$I$25,I277-1)+INDEX(Matches!$J$2:$J$25,I277-1),INDEX(Matches!$A$2:$A$25,I277-1),""))</f>
        <v/>
      </c>
      <c r="B277" t="str">
        <f>IF(A277="","",IF(J277&lt;=INDEX(Matches!$I$2:$I$25,I277-1),INDEX(Matches!$G$2:$G$25,I277-1),INDEX(Matches!$H$2:$H$25,I277-1)))</f>
        <v/>
      </c>
      <c r="C277" t="str">
        <f>IF(A277="","",COUNTIFS($A$2:A277,A277,$B$2:B277,B277))</f>
        <v/>
      </c>
      <c r="D277" s="2" t="str">
        <f t="shared" si="12"/>
        <v/>
      </c>
      <c r="E277" s="2"/>
      <c r="F277" t="str">
        <f t="shared" si="13"/>
        <v/>
      </c>
      <c r="G277" t="str">
        <f t="shared" si="14"/>
        <v/>
      </c>
      <c r="H277" t="str">
        <f>IF(F277="","",VLOOKUP(F277,Validation!$A$2:$B$17,2,FALSE))</f>
        <v/>
      </c>
      <c r="I277">
        <f>INT((ROW()-2)/Settings!$B$6)+2</f>
        <v>24</v>
      </c>
      <c r="J277">
        <f>MOD(ROW()-2,Settings!$B$6)+1</f>
        <v>12</v>
      </c>
    </row>
    <row r="278" spans="1:10" x14ac:dyDescent="0.3">
      <c r="A278" t="str">
        <f>IF(OR(INDEX(Matches!$I$2:$I$25,I278-1)="",INDEX(Matches!$J$2:$J$25,I278-1)=""),"",IF(J278&lt;=INDEX(Matches!$I$2:$I$25,I278-1)+INDEX(Matches!$J$2:$J$25,I278-1),INDEX(Matches!$A$2:$A$25,I278-1),""))</f>
        <v/>
      </c>
      <c r="B278" t="str">
        <f>IF(A278="","",IF(J278&lt;=INDEX(Matches!$I$2:$I$25,I278-1),INDEX(Matches!$G$2:$G$25,I278-1),INDEX(Matches!$H$2:$H$25,I278-1)))</f>
        <v/>
      </c>
      <c r="C278" t="str">
        <f>IF(A278="","",COUNTIFS($A$2:A278,A278,$B$2:B278,B278))</f>
        <v/>
      </c>
      <c r="D278" s="2" t="str">
        <f t="shared" si="12"/>
        <v/>
      </c>
      <c r="E278" s="2"/>
      <c r="F278" t="str">
        <f t="shared" si="13"/>
        <v/>
      </c>
      <c r="G278" t="str">
        <f t="shared" si="14"/>
        <v/>
      </c>
      <c r="H278" t="str">
        <f>IF(F278="","",VLOOKUP(F278,Validation!$A$2:$B$17,2,FALSE))</f>
        <v/>
      </c>
      <c r="I278">
        <f>INT((ROW()-2)/Settings!$B$6)+2</f>
        <v>25</v>
      </c>
      <c r="J278">
        <f>MOD(ROW()-2,Settings!$B$6)+1</f>
        <v>1</v>
      </c>
    </row>
    <row r="279" spans="1:10" x14ac:dyDescent="0.3">
      <c r="A279" t="str">
        <f>IF(OR(INDEX(Matches!$I$2:$I$25,I279-1)="",INDEX(Matches!$J$2:$J$25,I279-1)=""),"",IF(J279&lt;=INDEX(Matches!$I$2:$I$25,I279-1)+INDEX(Matches!$J$2:$J$25,I279-1),INDEX(Matches!$A$2:$A$25,I279-1),""))</f>
        <v/>
      </c>
      <c r="B279" t="str">
        <f>IF(A279="","",IF(J279&lt;=INDEX(Matches!$I$2:$I$25,I279-1),INDEX(Matches!$G$2:$G$25,I279-1),INDEX(Matches!$H$2:$H$25,I279-1)))</f>
        <v/>
      </c>
      <c r="C279" t="str">
        <f>IF(A279="","",COUNTIFS($A$2:A279,A279,$B$2:B279,B279))</f>
        <v/>
      </c>
      <c r="D279" s="2" t="str">
        <f t="shared" si="12"/>
        <v/>
      </c>
      <c r="E279" s="2"/>
      <c r="F279" t="str">
        <f t="shared" si="13"/>
        <v/>
      </c>
      <c r="G279" t="str">
        <f t="shared" si="14"/>
        <v/>
      </c>
      <c r="H279" t="str">
        <f>IF(F279="","",VLOOKUP(F279,Validation!$A$2:$B$17,2,FALSE))</f>
        <v/>
      </c>
      <c r="I279">
        <f>INT((ROW()-2)/Settings!$B$6)+2</f>
        <v>25</v>
      </c>
      <c r="J279">
        <f>MOD(ROW()-2,Settings!$B$6)+1</f>
        <v>2</v>
      </c>
    </row>
    <row r="280" spans="1:10" x14ac:dyDescent="0.3">
      <c r="A280" t="str">
        <f>IF(OR(INDEX(Matches!$I$2:$I$25,I280-1)="",INDEX(Matches!$J$2:$J$25,I280-1)=""),"",IF(J280&lt;=INDEX(Matches!$I$2:$I$25,I280-1)+INDEX(Matches!$J$2:$J$25,I280-1),INDEX(Matches!$A$2:$A$25,I280-1),""))</f>
        <v/>
      </c>
      <c r="B280" t="str">
        <f>IF(A280="","",IF(J280&lt;=INDEX(Matches!$I$2:$I$25,I280-1),INDEX(Matches!$G$2:$G$25,I280-1),INDEX(Matches!$H$2:$H$25,I280-1)))</f>
        <v/>
      </c>
      <c r="C280" t="str">
        <f>IF(A280="","",COUNTIFS($A$2:A280,A280,$B$2:B280,B280))</f>
        <v/>
      </c>
      <c r="D280" s="2" t="str">
        <f t="shared" si="12"/>
        <v/>
      </c>
      <c r="E280" s="2"/>
      <c r="F280" t="str">
        <f t="shared" si="13"/>
        <v/>
      </c>
      <c r="G280" t="str">
        <f t="shared" si="14"/>
        <v/>
      </c>
      <c r="H280" t="str">
        <f>IF(F280="","",VLOOKUP(F280,Validation!$A$2:$B$17,2,FALSE))</f>
        <v/>
      </c>
      <c r="I280">
        <f>INT((ROW()-2)/Settings!$B$6)+2</f>
        <v>25</v>
      </c>
      <c r="J280">
        <f>MOD(ROW()-2,Settings!$B$6)+1</f>
        <v>3</v>
      </c>
    </row>
    <row r="281" spans="1:10" x14ac:dyDescent="0.3">
      <c r="A281" t="str">
        <f>IF(OR(INDEX(Matches!$I$2:$I$25,I281-1)="",INDEX(Matches!$J$2:$J$25,I281-1)=""),"",IF(J281&lt;=INDEX(Matches!$I$2:$I$25,I281-1)+INDEX(Matches!$J$2:$J$25,I281-1),INDEX(Matches!$A$2:$A$25,I281-1),""))</f>
        <v/>
      </c>
      <c r="B281" t="str">
        <f>IF(A281="","",IF(J281&lt;=INDEX(Matches!$I$2:$I$25,I281-1),INDEX(Matches!$G$2:$G$25,I281-1),INDEX(Matches!$H$2:$H$25,I281-1)))</f>
        <v/>
      </c>
      <c r="C281" t="str">
        <f>IF(A281="","",COUNTIFS($A$2:A281,A281,$B$2:B281,B281))</f>
        <v/>
      </c>
      <c r="D281" s="2" t="str">
        <f t="shared" si="12"/>
        <v/>
      </c>
      <c r="E281" s="2"/>
      <c r="F281" t="str">
        <f t="shared" si="13"/>
        <v/>
      </c>
      <c r="G281" t="str">
        <f t="shared" si="14"/>
        <v/>
      </c>
      <c r="H281" t="str">
        <f>IF(F281="","",VLOOKUP(F281,Validation!$A$2:$B$17,2,FALSE))</f>
        <v/>
      </c>
      <c r="I281">
        <f>INT((ROW()-2)/Settings!$B$6)+2</f>
        <v>25</v>
      </c>
      <c r="J281">
        <f>MOD(ROW()-2,Settings!$B$6)+1</f>
        <v>4</v>
      </c>
    </row>
    <row r="282" spans="1:10" x14ac:dyDescent="0.3">
      <c r="A282" t="str">
        <f>IF(OR(INDEX(Matches!$I$2:$I$25,I282-1)="",INDEX(Matches!$J$2:$J$25,I282-1)=""),"",IF(J282&lt;=INDEX(Matches!$I$2:$I$25,I282-1)+INDEX(Matches!$J$2:$J$25,I282-1),INDEX(Matches!$A$2:$A$25,I282-1),""))</f>
        <v/>
      </c>
      <c r="B282" t="str">
        <f>IF(A282="","",IF(J282&lt;=INDEX(Matches!$I$2:$I$25,I282-1),INDEX(Matches!$G$2:$G$25,I282-1),INDEX(Matches!$H$2:$H$25,I282-1)))</f>
        <v/>
      </c>
      <c r="C282" t="str">
        <f>IF(A282="","",COUNTIFS($A$2:A282,A282,$B$2:B282,B282))</f>
        <v/>
      </c>
      <c r="D282" s="2" t="str">
        <f t="shared" si="12"/>
        <v/>
      </c>
      <c r="E282" s="2"/>
      <c r="F282" t="str">
        <f t="shared" si="13"/>
        <v/>
      </c>
      <c r="G282" t="str">
        <f t="shared" si="14"/>
        <v/>
      </c>
      <c r="H282" t="str">
        <f>IF(F282="","",VLOOKUP(F282,Validation!$A$2:$B$17,2,FALSE))</f>
        <v/>
      </c>
      <c r="I282">
        <f>INT((ROW()-2)/Settings!$B$6)+2</f>
        <v>25</v>
      </c>
      <c r="J282">
        <f>MOD(ROW()-2,Settings!$B$6)+1</f>
        <v>5</v>
      </c>
    </row>
    <row r="283" spans="1:10" x14ac:dyDescent="0.3">
      <c r="A283" t="str">
        <f>IF(OR(INDEX(Matches!$I$2:$I$25,I283-1)="",INDEX(Matches!$J$2:$J$25,I283-1)=""),"",IF(J283&lt;=INDEX(Matches!$I$2:$I$25,I283-1)+INDEX(Matches!$J$2:$J$25,I283-1),INDEX(Matches!$A$2:$A$25,I283-1),""))</f>
        <v/>
      </c>
      <c r="B283" t="str">
        <f>IF(A283="","",IF(J283&lt;=INDEX(Matches!$I$2:$I$25,I283-1),INDEX(Matches!$G$2:$G$25,I283-1),INDEX(Matches!$H$2:$H$25,I283-1)))</f>
        <v/>
      </c>
      <c r="C283" t="str">
        <f>IF(A283="","",COUNTIFS($A$2:A283,A283,$B$2:B283,B283))</f>
        <v/>
      </c>
      <c r="D283" s="2" t="str">
        <f t="shared" si="12"/>
        <v/>
      </c>
      <c r="E283" s="2"/>
      <c r="F283" t="str">
        <f t="shared" si="13"/>
        <v/>
      </c>
      <c r="G283" t="str">
        <f t="shared" si="14"/>
        <v/>
      </c>
      <c r="H283" t="str">
        <f>IF(F283="","",VLOOKUP(F283,Validation!$A$2:$B$17,2,FALSE))</f>
        <v/>
      </c>
      <c r="I283">
        <f>INT((ROW()-2)/Settings!$B$6)+2</f>
        <v>25</v>
      </c>
      <c r="J283">
        <f>MOD(ROW()-2,Settings!$B$6)+1</f>
        <v>6</v>
      </c>
    </row>
    <row r="284" spans="1:10" x14ac:dyDescent="0.3">
      <c r="A284" t="str">
        <f>IF(OR(INDEX(Matches!$I$2:$I$25,I284-1)="",INDEX(Matches!$J$2:$J$25,I284-1)=""),"",IF(J284&lt;=INDEX(Matches!$I$2:$I$25,I284-1)+INDEX(Matches!$J$2:$J$25,I284-1),INDEX(Matches!$A$2:$A$25,I284-1),""))</f>
        <v/>
      </c>
      <c r="B284" t="str">
        <f>IF(A284="","",IF(J284&lt;=INDEX(Matches!$I$2:$I$25,I284-1),INDEX(Matches!$G$2:$G$25,I284-1),INDEX(Matches!$H$2:$H$25,I284-1)))</f>
        <v/>
      </c>
      <c r="C284" t="str">
        <f>IF(A284="","",COUNTIFS($A$2:A284,A284,$B$2:B284,B284))</f>
        <v/>
      </c>
      <c r="D284" s="2" t="str">
        <f t="shared" si="12"/>
        <v/>
      </c>
      <c r="E284" s="2"/>
      <c r="F284" t="str">
        <f t="shared" si="13"/>
        <v/>
      </c>
      <c r="G284" t="str">
        <f t="shared" si="14"/>
        <v/>
      </c>
      <c r="H284" t="str">
        <f>IF(F284="","",VLOOKUP(F284,Validation!$A$2:$B$17,2,FALSE))</f>
        <v/>
      </c>
      <c r="I284">
        <f>INT((ROW()-2)/Settings!$B$6)+2</f>
        <v>25</v>
      </c>
      <c r="J284">
        <f>MOD(ROW()-2,Settings!$B$6)+1</f>
        <v>7</v>
      </c>
    </row>
    <row r="285" spans="1:10" x14ac:dyDescent="0.3">
      <c r="A285" t="str">
        <f>IF(OR(INDEX(Matches!$I$2:$I$25,I285-1)="",INDEX(Matches!$J$2:$J$25,I285-1)=""),"",IF(J285&lt;=INDEX(Matches!$I$2:$I$25,I285-1)+INDEX(Matches!$J$2:$J$25,I285-1),INDEX(Matches!$A$2:$A$25,I285-1),""))</f>
        <v/>
      </c>
      <c r="B285" t="str">
        <f>IF(A285="","",IF(J285&lt;=INDEX(Matches!$I$2:$I$25,I285-1),INDEX(Matches!$G$2:$G$25,I285-1),INDEX(Matches!$H$2:$H$25,I285-1)))</f>
        <v/>
      </c>
      <c r="C285" t="str">
        <f>IF(A285="","",COUNTIFS($A$2:A285,A285,$B$2:B285,B285))</f>
        <v/>
      </c>
      <c r="D285" s="2" t="str">
        <f t="shared" si="12"/>
        <v/>
      </c>
      <c r="E285" s="2"/>
      <c r="F285" t="str">
        <f t="shared" si="13"/>
        <v/>
      </c>
      <c r="G285" t="str">
        <f t="shared" si="14"/>
        <v/>
      </c>
      <c r="H285" t="str">
        <f>IF(F285="","",VLOOKUP(F285,Validation!$A$2:$B$17,2,FALSE))</f>
        <v/>
      </c>
      <c r="I285">
        <f>INT((ROW()-2)/Settings!$B$6)+2</f>
        <v>25</v>
      </c>
      <c r="J285">
        <f>MOD(ROW()-2,Settings!$B$6)+1</f>
        <v>8</v>
      </c>
    </row>
    <row r="286" spans="1:10" x14ac:dyDescent="0.3">
      <c r="A286" t="str">
        <f>IF(OR(INDEX(Matches!$I$2:$I$25,I286-1)="",INDEX(Matches!$J$2:$J$25,I286-1)=""),"",IF(J286&lt;=INDEX(Matches!$I$2:$I$25,I286-1)+INDEX(Matches!$J$2:$J$25,I286-1),INDEX(Matches!$A$2:$A$25,I286-1),""))</f>
        <v/>
      </c>
      <c r="B286" t="str">
        <f>IF(A286="","",IF(J286&lt;=INDEX(Matches!$I$2:$I$25,I286-1),INDEX(Matches!$G$2:$G$25,I286-1),INDEX(Matches!$H$2:$H$25,I286-1)))</f>
        <v/>
      </c>
      <c r="C286" t="str">
        <f>IF(A286="","",COUNTIFS($A$2:A286,A286,$B$2:B286,B286))</f>
        <v/>
      </c>
      <c r="D286" s="2" t="str">
        <f t="shared" si="12"/>
        <v/>
      </c>
      <c r="E286" s="2"/>
      <c r="F286" t="str">
        <f t="shared" si="13"/>
        <v/>
      </c>
      <c r="G286" t="str">
        <f t="shared" si="14"/>
        <v/>
      </c>
      <c r="H286" t="str">
        <f>IF(F286="","",VLOOKUP(F286,Validation!$A$2:$B$17,2,FALSE))</f>
        <v/>
      </c>
      <c r="I286">
        <f>INT((ROW()-2)/Settings!$B$6)+2</f>
        <v>25</v>
      </c>
      <c r="J286">
        <f>MOD(ROW()-2,Settings!$B$6)+1</f>
        <v>9</v>
      </c>
    </row>
    <row r="287" spans="1:10" x14ac:dyDescent="0.3">
      <c r="A287" t="str">
        <f>IF(OR(INDEX(Matches!$I$2:$I$25,I287-1)="",INDEX(Matches!$J$2:$J$25,I287-1)=""),"",IF(J287&lt;=INDEX(Matches!$I$2:$I$25,I287-1)+INDEX(Matches!$J$2:$J$25,I287-1),INDEX(Matches!$A$2:$A$25,I287-1),""))</f>
        <v/>
      </c>
      <c r="B287" t="str">
        <f>IF(A287="","",IF(J287&lt;=INDEX(Matches!$I$2:$I$25,I287-1),INDEX(Matches!$G$2:$G$25,I287-1),INDEX(Matches!$H$2:$H$25,I287-1)))</f>
        <v/>
      </c>
      <c r="C287" t="str">
        <f>IF(A287="","",COUNTIFS($A$2:A287,A287,$B$2:B287,B287))</f>
        <v/>
      </c>
      <c r="D287" s="2" t="str">
        <f t="shared" si="12"/>
        <v/>
      </c>
      <c r="E287" s="2"/>
      <c r="F287" t="str">
        <f t="shared" si="13"/>
        <v/>
      </c>
      <c r="G287" t="str">
        <f t="shared" si="14"/>
        <v/>
      </c>
      <c r="H287" t="str">
        <f>IF(F287="","",VLOOKUP(F287,Validation!$A$2:$B$17,2,FALSE))</f>
        <v/>
      </c>
      <c r="I287">
        <f>INT((ROW()-2)/Settings!$B$6)+2</f>
        <v>25</v>
      </c>
      <c r="J287">
        <f>MOD(ROW()-2,Settings!$B$6)+1</f>
        <v>10</v>
      </c>
    </row>
    <row r="288" spans="1:10" x14ac:dyDescent="0.3">
      <c r="A288" t="str">
        <f>IF(OR(INDEX(Matches!$I$2:$I$25,I288-1)="",INDEX(Matches!$J$2:$J$25,I288-1)=""),"",IF(J288&lt;=INDEX(Matches!$I$2:$I$25,I288-1)+INDEX(Matches!$J$2:$J$25,I288-1),INDEX(Matches!$A$2:$A$25,I288-1),""))</f>
        <v/>
      </c>
      <c r="B288" t="str">
        <f>IF(A288="","",IF(J288&lt;=INDEX(Matches!$I$2:$I$25,I288-1),INDEX(Matches!$G$2:$G$25,I288-1),INDEX(Matches!$H$2:$H$25,I288-1)))</f>
        <v/>
      </c>
      <c r="C288" t="str">
        <f>IF(A288="","",COUNTIFS($A$2:A288,A288,$B$2:B288,B288))</f>
        <v/>
      </c>
      <c r="D288" s="2" t="str">
        <f t="shared" si="12"/>
        <v/>
      </c>
      <c r="E288" s="2"/>
      <c r="F288" t="str">
        <f t="shared" si="13"/>
        <v/>
      </c>
      <c r="G288" t="str">
        <f t="shared" si="14"/>
        <v/>
      </c>
      <c r="H288" t="str">
        <f>IF(F288="","",VLOOKUP(F288,Validation!$A$2:$B$17,2,FALSE))</f>
        <v/>
      </c>
      <c r="I288">
        <f>INT((ROW()-2)/Settings!$B$6)+2</f>
        <v>25</v>
      </c>
      <c r="J288">
        <f>MOD(ROW()-2,Settings!$B$6)+1</f>
        <v>11</v>
      </c>
    </row>
    <row r="289" spans="1:10" x14ac:dyDescent="0.3">
      <c r="A289" t="str">
        <f>IF(OR(INDEX(Matches!$I$2:$I$25,I289-1)="",INDEX(Matches!$J$2:$J$25,I289-1)=""),"",IF(J289&lt;=INDEX(Matches!$I$2:$I$25,I289-1)+INDEX(Matches!$J$2:$J$25,I289-1),INDEX(Matches!$A$2:$A$25,I289-1),""))</f>
        <v/>
      </c>
      <c r="B289" t="str">
        <f>IF(A289="","",IF(J289&lt;=INDEX(Matches!$I$2:$I$25,I289-1),INDEX(Matches!$G$2:$G$25,I289-1),INDEX(Matches!$H$2:$H$25,I289-1)))</f>
        <v/>
      </c>
      <c r="C289" t="str">
        <f>IF(A289="","",COUNTIFS($A$2:A289,A289,$B$2:B289,B289))</f>
        <v/>
      </c>
      <c r="D289" s="2" t="str">
        <f t="shared" si="12"/>
        <v/>
      </c>
      <c r="E289" s="2"/>
      <c r="F289" t="str">
        <f t="shared" si="13"/>
        <v/>
      </c>
      <c r="G289" t="str">
        <f t="shared" si="14"/>
        <v/>
      </c>
      <c r="H289" t="str">
        <f>IF(F289="","",VLOOKUP(F289,Validation!$A$2:$B$17,2,FALSE))</f>
        <v/>
      </c>
      <c r="I289">
        <f>INT((ROW()-2)/Settings!$B$6)+2</f>
        <v>25</v>
      </c>
      <c r="J289">
        <f>MOD(ROW()-2,Settings!$B$6)+1</f>
        <v>12</v>
      </c>
    </row>
  </sheetData>
  <conditionalFormatting sqref="A2:K361">
    <cfRule type="expression" dxfId="3" priority="1">
      <formula>AND($A2&lt;&gt;"",$G2&lt;&gt;"OK")</formula>
    </cfRule>
    <cfRule type="expression" dxfId="2" priority="2">
      <formula>AND($A2&lt;&gt;"",$G2="OK")</formula>
    </cfRule>
  </conditionalFormatting>
  <dataValidations count="2">
    <dataValidation type="list" allowBlank="1" sqref="D2:D289" xr:uid="{00000000-0002-0000-0600-000000000000}">
      <formula1>"Goal,Autogol"</formula1>
    </dataValidation>
    <dataValidation type="list" allowBlank="1" showErrorMessage="1" errorTitle="Marcatore non valido" error="Seleziona un giocatore della squadra indicata." sqref="E2:E289" xr:uid="{00000000-0002-0000-0600-000001000000}">
      <formula1>INDIRECT($H2)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81"/>
  <sheetViews>
    <sheetView workbookViewId="0"/>
  </sheetViews>
  <sheetFormatPr defaultRowHeight="14.4" x14ac:dyDescent="0.3"/>
  <cols>
    <col min="1" max="2" width="28" customWidth="1"/>
    <col min="3" max="3" width="38" customWidth="1"/>
    <col min="4" max="5" width="28" customWidth="1"/>
  </cols>
  <sheetData>
    <row r="1" spans="1:26" x14ac:dyDescent="0.3">
      <c r="A1" s="5" t="s">
        <v>286</v>
      </c>
      <c r="B1" s="5" t="s">
        <v>293</v>
      </c>
      <c r="C1" s="5" t="s">
        <v>242</v>
      </c>
      <c r="D1" s="5" t="s">
        <v>294</v>
      </c>
      <c r="E1" s="5" t="s">
        <v>295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IF(Players!E2="","",Players!E2)</f>
        <v>PIETRO SEGATO</v>
      </c>
      <c r="B2" t="str">
        <f>IF(A2="","",Players!C2)</f>
        <v>Fatine FC</v>
      </c>
      <c r="C2" t="str">
        <f>IF(A2="","",Players!G2)</f>
        <v>1 - PIETRO SEGATO</v>
      </c>
      <c r="D2">
        <f>IF(A2="","",COUNTIFS(Goals!$D$2:$D$289,"Goal",Goals!$E$2:$E$289,"*"&amp;A2&amp;"*",Goals!$F$2:$F$289,B2)+COUNTIFS(KnockoutGoals!$D$2:$D$85,"Goal",KnockoutGoals!$E$2:$E$85,"*"&amp;A2&amp;"*",KnockoutGoals!$F$2:$F$85,B2))</f>
        <v>0</v>
      </c>
      <c r="E2">
        <f t="shared" ref="E2:E65" si="0">IF(A2="",0,D2*100000-ROW()/1000)</f>
        <v>-2E-3</v>
      </c>
    </row>
    <row r="3" spans="1:26" x14ac:dyDescent="0.3">
      <c r="A3" t="str">
        <f>IF(Players!E3="","",Players!E3)</f>
        <v>GIOVANNI BALLO</v>
      </c>
      <c r="B3" t="str">
        <f>IF(A3="","",Players!C3)</f>
        <v>Fatine FC</v>
      </c>
      <c r="C3" t="str">
        <f>IF(A3="","",Players!G3)</f>
        <v>99 - GIOVANNI BALLO</v>
      </c>
      <c r="D3">
        <f>IF(A3="","",COUNTIFS(Goals!$D$2:$D$289,"Goal",Goals!$E$2:$E$289,"*"&amp;A3&amp;"*",Goals!$F$2:$F$289,B3)+COUNTIFS(KnockoutGoals!$D$2:$D$85,"Goal",KnockoutGoals!$E$2:$E$85,"*"&amp;A3&amp;"*",KnockoutGoals!$F$2:$F$85,B3))</f>
        <v>0</v>
      </c>
      <c r="E3">
        <f t="shared" si="0"/>
        <v>-3.0000000000000001E-3</v>
      </c>
    </row>
    <row r="4" spans="1:26" x14ac:dyDescent="0.3">
      <c r="A4" t="str">
        <f>IF(Players!E4="","",Players!E4)</f>
        <v>DANIELE MARZOLLA</v>
      </c>
      <c r="B4" t="str">
        <f>IF(A4="","",Players!C4)</f>
        <v>Fatine FC</v>
      </c>
      <c r="C4" t="str">
        <f>IF(A4="","",Players!G4)</f>
        <v>5 - DANIELE MARZOLLA</v>
      </c>
      <c r="D4">
        <f>IF(A4="","",COUNTIFS(Goals!$D$2:$D$289,"Goal",Goals!$E$2:$E$289,"*"&amp;A4&amp;"*",Goals!$F$2:$F$289,B4)+COUNTIFS(KnockoutGoals!$D$2:$D$85,"Goal",KnockoutGoals!$E$2:$E$85,"*"&amp;A4&amp;"*",KnockoutGoals!$F$2:$F$85,B4))</f>
        <v>0</v>
      </c>
      <c r="E4">
        <f t="shared" si="0"/>
        <v>-4.0000000000000001E-3</v>
      </c>
    </row>
    <row r="5" spans="1:26" x14ac:dyDescent="0.3">
      <c r="A5" t="str">
        <f>IF(Players!E5="","",Players!E5)</f>
        <v>NICHOLAS MILAN</v>
      </c>
      <c r="B5" t="str">
        <f>IF(A5="","",Players!C5)</f>
        <v>Fatine FC</v>
      </c>
      <c r="C5" t="str">
        <f>IF(A5="","",Players!G5)</f>
        <v>7 - NICHOLAS MILAN</v>
      </c>
      <c r="D5">
        <f>IF(A5="","",COUNTIFS(Goals!$D$2:$D$289,"Goal",Goals!$E$2:$E$289,"*"&amp;A5&amp;"*",Goals!$F$2:$F$289,B5)+COUNTIFS(KnockoutGoals!$D$2:$D$85,"Goal",KnockoutGoals!$E$2:$E$85,"*"&amp;A5&amp;"*",KnockoutGoals!$F$2:$F$85,B5))</f>
        <v>0</v>
      </c>
      <c r="E5">
        <f t="shared" si="0"/>
        <v>-5.0000000000000001E-3</v>
      </c>
    </row>
    <row r="6" spans="1:26" x14ac:dyDescent="0.3">
      <c r="A6" t="str">
        <f>IF(Players!E6="","",Players!E6)</f>
        <v>ALESSIO MILAN</v>
      </c>
      <c r="B6" t="str">
        <f>IF(A6="","",Players!C6)</f>
        <v>Fatine FC</v>
      </c>
      <c r="C6" t="str">
        <f>IF(A6="","",Players!G6)</f>
        <v>8 - ALESSIO MILAN</v>
      </c>
      <c r="D6">
        <f>IF(A6="","",COUNTIFS(Goals!$D$2:$D$289,"Goal",Goals!$E$2:$E$289,"*"&amp;A6&amp;"*",Goals!$F$2:$F$289,B6)+COUNTIFS(KnockoutGoals!$D$2:$D$85,"Goal",KnockoutGoals!$E$2:$E$85,"*"&amp;A6&amp;"*",KnockoutGoals!$F$2:$F$85,B6))</f>
        <v>0</v>
      </c>
      <c r="E6">
        <f t="shared" si="0"/>
        <v>-6.0000000000000001E-3</v>
      </c>
    </row>
    <row r="7" spans="1:26" x14ac:dyDescent="0.3">
      <c r="A7" t="str">
        <f>IF(Players!E7="","",Players!E7)</f>
        <v>LUCA MARINI</v>
      </c>
      <c r="B7" t="str">
        <f>IF(A7="","",Players!C7)</f>
        <v>Fatine FC</v>
      </c>
      <c r="C7" t="str">
        <f>IF(A7="","",Players!G7)</f>
        <v>10 - LUCA MARINI</v>
      </c>
      <c r="D7">
        <f>IF(A7="","",COUNTIFS(Goals!$D$2:$D$289,"Goal",Goals!$E$2:$E$289,"*"&amp;A7&amp;"*",Goals!$F$2:$F$289,B7)+COUNTIFS(KnockoutGoals!$D$2:$D$85,"Goal",KnockoutGoals!$E$2:$E$85,"*"&amp;A7&amp;"*",KnockoutGoals!$F$2:$F$85,B7))</f>
        <v>0</v>
      </c>
      <c r="E7">
        <f t="shared" si="0"/>
        <v>-7.0000000000000001E-3</v>
      </c>
    </row>
    <row r="8" spans="1:26" x14ac:dyDescent="0.3">
      <c r="A8" t="str">
        <f>IF(Players!E8="","",Players!E8)</f>
        <v>SAMUELE DURRA</v>
      </c>
      <c r="B8" t="str">
        <f>IF(A8="","",Players!C8)</f>
        <v>Fatine FC</v>
      </c>
      <c r="C8" t="str">
        <f>IF(A8="","",Players!G8)</f>
        <v>11 - SAMUELE DURRA</v>
      </c>
      <c r="D8">
        <f>IF(A8="","",COUNTIFS(Goals!$D$2:$D$289,"Goal",Goals!$E$2:$E$289,"*"&amp;A8&amp;"*",Goals!$F$2:$F$289,B8)+COUNTIFS(KnockoutGoals!$D$2:$D$85,"Goal",KnockoutGoals!$E$2:$E$85,"*"&amp;A8&amp;"*",KnockoutGoals!$F$2:$F$85,B8))</f>
        <v>0</v>
      </c>
      <c r="E8">
        <f t="shared" si="0"/>
        <v>-8.0000000000000002E-3</v>
      </c>
    </row>
    <row r="9" spans="1:26" x14ac:dyDescent="0.3">
      <c r="A9" t="str">
        <f>IF(Players!E9="","",Players!E9)</f>
        <v>NICOLA MARINI</v>
      </c>
      <c r="B9" t="str">
        <f>IF(A9="","",Players!C9)</f>
        <v>Fatine FC</v>
      </c>
      <c r="C9" t="str">
        <f>IF(A9="","",Players!G9)</f>
        <v>23 - NICOLA MARINI (C)</v>
      </c>
      <c r="D9">
        <f>IF(A9="","",COUNTIFS(Goals!$D$2:$D$289,"Goal",Goals!$E$2:$E$289,"*"&amp;A9&amp;"*",Goals!$F$2:$F$289,B9)+COUNTIFS(KnockoutGoals!$D$2:$D$85,"Goal",KnockoutGoals!$E$2:$E$85,"*"&amp;A9&amp;"*",KnockoutGoals!$F$2:$F$85,B9))</f>
        <v>0</v>
      </c>
      <c r="E9">
        <f t="shared" si="0"/>
        <v>-8.9999999999999993E-3</v>
      </c>
    </row>
    <row r="10" spans="1:26" x14ac:dyDescent="0.3">
      <c r="A10" t="str">
        <f>IF(Players!E10="","",Players!E10)</f>
        <v>LUCA ROSSETTO</v>
      </c>
      <c r="B10" t="str">
        <f>IF(A10="","",Players!C10)</f>
        <v>Fatine FC</v>
      </c>
      <c r="C10" t="str">
        <f>IF(A10="","",Players!G10)</f>
        <v>69 - LUCA ROSSETTO</v>
      </c>
      <c r="D10">
        <f>IF(A10="","",COUNTIFS(Goals!$D$2:$D$289,"Goal",Goals!$E$2:$E$289,"*"&amp;A10&amp;"*",Goals!$F$2:$F$289,B10)+COUNTIFS(KnockoutGoals!$D$2:$D$85,"Goal",KnockoutGoals!$E$2:$E$85,"*"&amp;A10&amp;"*",KnockoutGoals!$F$2:$F$85,B10))</f>
        <v>0</v>
      </c>
      <c r="E10">
        <f t="shared" si="0"/>
        <v>-0.01</v>
      </c>
    </row>
    <row r="11" spans="1:26" x14ac:dyDescent="0.3">
      <c r="A11" t="str">
        <f>IF(Players!E11="","",Players!E11)</f>
        <v>MATTEO COL</v>
      </c>
      <c r="B11" t="str">
        <f>IF(A11="","",Players!C11)</f>
        <v>Fatine FC</v>
      </c>
      <c r="C11" t="str">
        <f>IF(A11="","",Players!G11)</f>
        <v>90 - MATTEO COL</v>
      </c>
      <c r="D11">
        <f>IF(A11="","",COUNTIFS(Goals!$D$2:$D$289,"Goal",Goals!$E$2:$E$289,"*"&amp;A11&amp;"*",Goals!$F$2:$F$289,B11)+COUNTIFS(KnockoutGoals!$D$2:$D$85,"Goal",KnockoutGoals!$E$2:$E$85,"*"&amp;A11&amp;"*",KnockoutGoals!$F$2:$F$85,B11))</f>
        <v>0</v>
      </c>
      <c r="E11">
        <f t="shared" si="0"/>
        <v>-1.0999999999999999E-2</v>
      </c>
    </row>
    <row r="12" spans="1:26" x14ac:dyDescent="0.3">
      <c r="A12" t="str">
        <f>IF(Players!E12="","",Players!E12)</f>
        <v/>
      </c>
      <c r="B12" t="str">
        <f>IF(A12="","",Players!C12)</f>
        <v/>
      </c>
      <c r="C12" t="str">
        <f>IF(A12="","",Players!G12)</f>
        <v/>
      </c>
      <c r="D12" t="str">
        <f>IF(A12="","",COUNTIFS(Goals!$D$2:$D$289,"Goal",Goals!$E$2:$E$289,"*"&amp;A12&amp;"*",Goals!$F$2:$F$289,B12)+COUNTIFS(KnockoutGoals!$D$2:$D$85,"Goal",KnockoutGoals!$E$2:$E$85,"*"&amp;A12&amp;"*",KnockoutGoals!$F$2:$F$85,B12))</f>
        <v/>
      </c>
      <c r="E12">
        <f t="shared" si="0"/>
        <v>0</v>
      </c>
    </row>
    <row r="13" spans="1:26" x14ac:dyDescent="0.3">
      <c r="A13" t="str">
        <f>IF(Players!E13="","",Players!E13)</f>
        <v/>
      </c>
      <c r="B13" t="str">
        <f>IF(A13="","",Players!C13)</f>
        <v/>
      </c>
      <c r="C13" t="str">
        <f>IF(A13="","",Players!G13)</f>
        <v/>
      </c>
      <c r="D13" t="str">
        <f>IF(A13="","",COUNTIFS(Goals!$D$2:$D$289,"Goal",Goals!$E$2:$E$289,"*"&amp;A13&amp;"*",Goals!$F$2:$F$289,B13)+COUNTIFS(KnockoutGoals!$D$2:$D$85,"Goal",KnockoutGoals!$E$2:$E$85,"*"&amp;A13&amp;"*",KnockoutGoals!$F$2:$F$85,B13))</f>
        <v/>
      </c>
      <c r="E13">
        <f t="shared" si="0"/>
        <v>0</v>
      </c>
    </row>
    <row r="14" spans="1:26" x14ac:dyDescent="0.3">
      <c r="A14" t="str">
        <f>IF(Players!E14="","",Players!E14)</f>
        <v/>
      </c>
      <c r="B14" t="str">
        <f>IF(A14="","",Players!C14)</f>
        <v/>
      </c>
      <c r="C14" t="str">
        <f>IF(A14="","",Players!G14)</f>
        <v/>
      </c>
      <c r="D14" t="str">
        <f>IF(A14="","",COUNTIFS(Goals!$D$2:$D$289,"Goal",Goals!$E$2:$E$289,"*"&amp;A14&amp;"*",Goals!$F$2:$F$289,B14)+COUNTIFS(KnockoutGoals!$D$2:$D$85,"Goal",KnockoutGoals!$E$2:$E$85,"*"&amp;A14&amp;"*",KnockoutGoals!$F$2:$F$85,B14))</f>
        <v/>
      </c>
      <c r="E14">
        <f t="shared" si="0"/>
        <v>0</v>
      </c>
    </row>
    <row r="15" spans="1:26" x14ac:dyDescent="0.3">
      <c r="A15" t="str">
        <f>IF(Players!E15="","",Players!E15)</f>
        <v/>
      </c>
      <c r="B15" t="str">
        <f>IF(A15="","",Players!C15)</f>
        <v/>
      </c>
      <c r="C15" t="str">
        <f>IF(A15="","",Players!G15)</f>
        <v/>
      </c>
      <c r="D15" t="str">
        <f>IF(A15="","",COUNTIFS(Goals!$D$2:$D$289,"Goal",Goals!$E$2:$E$289,"*"&amp;A15&amp;"*",Goals!$F$2:$F$289,B15)+COUNTIFS(KnockoutGoals!$D$2:$D$85,"Goal",KnockoutGoals!$E$2:$E$85,"*"&amp;A15&amp;"*",KnockoutGoals!$F$2:$F$85,B15))</f>
        <v/>
      </c>
      <c r="E15">
        <f t="shared" si="0"/>
        <v>0</v>
      </c>
    </row>
    <row r="16" spans="1:26" x14ac:dyDescent="0.3">
      <c r="A16" t="str">
        <f>IF(Players!E16="","",Players!E16)</f>
        <v/>
      </c>
      <c r="B16" t="str">
        <f>IF(A16="","",Players!C16)</f>
        <v/>
      </c>
      <c r="C16" t="str">
        <f>IF(A16="","",Players!G16)</f>
        <v/>
      </c>
      <c r="D16" t="str">
        <f>IF(A16="","",COUNTIFS(Goals!$D$2:$D$289,"Goal",Goals!$E$2:$E$289,"*"&amp;A16&amp;"*",Goals!$F$2:$F$289,B16)+COUNTIFS(KnockoutGoals!$D$2:$D$85,"Goal",KnockoutGoals!$E$2:$E$85,"*"&amp;A16&amp;"*",KnockoutGoals!$F$2:$F$85,B16))</f>
        <v/>
      </c>
      <c r="E16">
        <f t="shared" si="0"/>
        <v>0</v>
      </c>
    </row>
    <row r="17" spans="1:5" x14ac:dyDescent="0.3">
      <c r="A17" t="str">
        <f>IF(Players!E17="","",Players!E17)</f>
        <v/>
      </c>
      <c r="B17" t="str">
        <f>IF(A17="","",Players!C17)</f>
        <v/>
      </c>
      <c r="C17" t="str">
        <f>IF(A17="","",Players!G17)</f>
        <v/>
      </c>
      <c r="D17" t="str">
        <f>IF(A17="","",COUNTIFS(Goals!$D$2:$D$289,"Goal",Goals!$E$2:$E$289,"*"&amp;A17&amp;"*",Goals!$F$2:$F$289,B17)+COUNTIFS(KnockoutGoals!$D$2:$D$85,"Goal",KnockoutGoals!$E$2:$E$85,"*"&amp;A17&amp;"*",KnockoutGoals!$F$2:$F$85,B17))</f>
        <v/>
      </c>
      <c r="E17">
        <f t="shared" si="0"/>
        <v>0</v>
      </c>
    </row>
    <row r="18" spans="1:5" x14ac:dyDescent="0.3">
      <c r="A18" t="str">
        <f>IF(Players!E18="","",Players!E18)</f>
        <v/>
      </c>
      <c r="B18" t="str">
        <f>IF(A18="","",Players!C18)</f>
        <v/>
      </c>
      <c r="C18" t="str">
        <f>IF(A18="","",Players!G18)</f>
        <v/>
      </c>
      <c r="D18" t="str">
        <f>IF(A18="","",COUNTIFS(Goals!$D$2:$D$289,"Goal",Goals!$E$2:$E$289,"*"&amp;A18&amp;"*",Goals!$F$2:$F$289,B18)+COUNTIFS(KnockoutGoals!$D$2:$D$85,"Goal",KnockoutGoals!$E$2:$E$85,"*"&amp;A18&amp;"*",KnockoutGoals!$F$2:$F$85,B18))</f>
        <v/>
      </c>
      <c r="E18">
        <f t="shared" si="0"/>
        <v>0</v>
      </c>
    </row>
    <row r="19" spans="1:5" x14ac:dyDescent="0.3">
      <c r="A19" t="str">
        <f>IF(Players!E19="","",Players!E19)</f>
        <v/>
      </c>
      <c r="B19" t="str">
        <f>IF(A19="","",Players!C19)</f>
        <v/>
      </c>
      <c r="C19" t="str">
        <f>IF(A19="","",Players!G19)</f>
        <v/>
      </c>
      <c r="D19" t="str">
        <f>IF(A19="","",COUNTIFS(Goals!$D$2:$D$289,"Goal",Goals!$E$2:$E$289,"*"&amp;A19&amp;"*",Goals!$F$2:$F$289,B19)+COUNTIFS(KnockoutGoals!$D$2:$D$85,"Goal",KnockoutGoals!$E$2:$E$85,"*"&amp;A19&amp;"*",KnockoutGoals!$F$2:$F$85,B19))</f>
        <v/>
      </c>
      <c r="E19">
        <f t="shared" si="0"/>
        <v>0</v>
      </c>
    </row>
    <row r="20" spans="1:5" x14ac:dyDescent="0.3">
      <c r="A20" t="str">
        <f>IF(Players!E20="","",Players!E20)</f>
        <v/>
      </c>
      <c r="B20" t="str">
        <f>IF(A20="","",Players!C20)</f>
        <v/>
      </c>
      <c r="C20" t="str">
        <f>IF(A20="","",Players!G20)</f>
        <v/>
      </c>
      <c r="D20" t="str">
        <f>IF(A20="","",COUNTIFS(Goals!$D$2:$D$289,"Goal",Goals!$E$2:$E$289,"*"&amp;A20&amp;"*",Goals!$F$2:$F$289,B20)+COUNTIFS(KnockoutGoals!$D$2:$D$85,"Goal",KnockoutGoals!$E$2:$E$85,"*"&amp;A20&amp;"*",KnockoutGoals!$F$2:$F$85,B20))</f>
        <v/>
      </c>
      <c r="E20">
        <f t="shared" si="0"/>
        <v>0</v>
      </c>
    </row>
    <row r="21" spans="1:5" x14ac:dyDescent="0.3">
      <c r="A21" t="str">
        <f>IF(Players!E21="","",Players!E21)</f>
        <v/>
      </c>
      <c r="B21" t="str">
        <f>IF(A21="","",Players!C21)</f>
        <v/>
      </c>
      <c r="C21" t="str">
        <f>IF(A21="","",Players!G21)</f>
        <v/>
      </c>
      <c r="D21" t="str">
        <f>IF(A21="","",COUNTIFS(Goals!$D$2:$D$289,"Goal",Goals!$E$2:$E$289,"*"&amp;A21&amp;"*",Goals!$F$2:$F$289,B21)+COUNTIFS(KnockoutGoals!$D$2:$D$85,"Goal",KnockoutGoals!$E$2:$E$85,"*"&amp;A21&amp;"*",KnockoutGoals!$F$2:$F$85,B21))</f>
        <v/>
      </c>
      <c r="E21">
        <f t="shared" si="0"/>
        <v>0</v>
      </c>
    </row>
    <row r="22" spans="1:5" x14ac:dyDescent="0.3">
      <c r="A22" t="str">
        <f>IF(Players!E22="","",Players!E22)</f>
        <v/>
      </c>
      <c r="B22" t="str">
        <f>IF(A22="","",Players!C22)</f>
        <v/>
      </c>
      <c r="C22" t="str">
        <f>IF(A22="","",Players!G22)</f>
        <v/>
      </c>
      <c r="D22" t="str">
        <f>IF(A22="","",COUNTIFS(Goals!$D$2:$D$289,"Goal",Goals!$E$2:$E$289,"*"&amp;A22&amp;"*",Goals!$F$2:$F$289,B22)+COUNTIFS(KnockoutGoals!$D$2:$D$85,"Goal",KnockoutGoals!$E$2:$E$85,"*"&amp;A22&amp;"*",KnockoutGoals!$F$2:$F$85,B22))</f>
        <v/>
      </c>
      <c r="E22">
        <f t="shared" si="0"/>
        <v>0</v>
      </c>
    </row>
    <row r="23" spans="1:5" x14ac:dyDescent="0.3">
      <c r="A23" t="str">
        <f>IF(Players!E23="","",Players!E23)</f>
        <v/>
      </c>
      <c r="B23" t="str">
        <f>IF(A23="","",Players!C23)</f>
        <v/>
      </c>
      <c r="C23" t="str">
        <f>IF(A23="","",Players!G23)</f>
        <v/>
      </c>
      <c r="D23" t="str">
        <f>IF(A23="","",COUNTIFS(Goals!$D$2:$D$289,"Goal",Goals!$E$2:$E$289,"*"&amp;A23&amp;"*",Goals!$F$2:$F$289,B23)+COUNTIFS(KnockoutGoals!$D$2:$D$85,"Goal",KnockoutGoals!$E$2:$E$85,"*"&amp;A23&amp;"*",KnockoutGoals!$F$2:$F$85,B23))</f>
        <v/>
      </c>
      <c r="E23">
        <f t="shared" si="0"/>
        <v>0</v>
      </c>
    </row>
    <row r="24" spans="1:5" x14ac:dyDescent="0.3">
      <c r="A24" t="str">
        <f>IF(Players!E24="","",Players!E24)</f>
        <v/>
      </c>
      <c r="B24" t="str">
        <f>IF(A24="","",Players!C24)</f>
        <v/>
      </c>
      <c r="C24" t="str">
        <f>IF(A24="","",Players!G24)</f>
        <v/>
      </c>
      <c r="D24" t="str">
        <f>IF(A24="","",COUNTIFS(Goals!$D$2:$D$289,"Goal",Goals!$E$2:$E$289,"*"&amp;A24&amp;"*",Goals!$F$2:$F$289,B24)+COUNTIFS(KnockoutGoals!$D$2:$D$85,"Goal",KnockoutGoals!$E$2:$E$85,"*"&amp;A24&amp;"*",KnockoutGoals!$F$2:$F$85,B24))</f>
        <v/>
      </c>
      <c r="E24">
        <f t="shared" si="0"/>
        <v>0</v>
      </c>
    </row>
    <row r="25" spans="1:5" x14ac:dyDescent="0.3">
      <c r="A25" t="str">
        <f>IF(Players!E25="","",Players!E25)</f>
        <v/>
      </c>
      <c r="B25" t="str">
        <f>IF(A25="","",Players!C25)</f>
        <v/>
      </c>
      <c r="C25" t="str">
        <f>IF(A25="","",Players!G25)</f>
        <v/>
      </c>
      <c r="D25" t="str">
        <f>IF(A25="","",COUNTIFS(Goals!$D$2:$D$289,"Goal",Goals!$E$2:$E$289,"*"&amp;A25&amp;"*",Goals!$F$2:$F$289,B25)+COUNTIFS(KnockoutGoals!$D$2:$D$85,"Goal",KnockoutGoals!$E$2:$E$85,"*"&amp;A25&amp;"*",KnockoutGoals!$F$2:$F$85,B25))</f>
        <v/>
      </c>
      <c r="E25">
        <f t="shared" si="0"/>
        <v>0</v>
      </c>
    </row>
    <row r="26" spans="1:5" x14ac:dyDescent="0.3">
      <c r="A26" t="str">
        <f>IF(Players!E26="","",Players!E26)</f>
        <v/>
      </c>
      <c r="B26" t="str">
        <f>IF(A26="","",Players!C26)</f>
        <v/>
      </c>
      <c r="C26" t="str">
        <f>IF(A26="","",Players!G26)</f>
        <v/>
      </c>
      <c r="D26" t="str">
        <f>IF(A26="","",COUNTIFS(Goals!$D$2:$D$289,"Goal",Goals!$E$2:$E$289,"*"&amp;A26&amp;"*",Goals!$F$2:$F$289,B26)+COUNTIFS(KnockoutGoals!$D$2:$D$85,"Goal",KnockoutGoals!$E$2:$E$85,"*"&amp;A26&amp;"*",KnockoutGoals!$F$2:$F$85,B26))</f>
        <v/>
      </c>
      <c r="E26">
        <f t="shared" si="0"/>
        <v>0</v>
      </c>
    </row>
    <row r="27" spans="1:5" x14ac:dyDescent="0.3">
      <c r="A27" t="str">
        <f>IF(Players!E27="","",Players!E27)</f>
        <v/>
      </c>
      <c r="B27" t="str">
        <f>IF(A27="","",Players!C27)</f>
        <v/>
      </c>
      <c r="C27" t="str">
        <f>IF(A27="","",Players!G27)</f>
        <v/>
      </c>
      <c r="D27" t="str">
        <f>IF(A27="","",COUNTIFS(Goals!$D$2:$D$289,"Goal",Goals!$E$2:$E$289,"*"&amp;A27&amp;"*",Goals!$F$2:$F$289,B27)+COUNTIFS(KnockoutGoals!$D$2:$D$85,"Goal",KnockoutGoals!$E$2:$E$85,"*"&amp;A27&amp;"*",KnockoutGoals!$F$2:$F$85,B27))</f>
        <v/>
      </c>
      <c r="E27">
        <f t="shared" si="0"/>
        <v>0</v>
      </c>
    </row>
    <row r="28" spans="1:5" x14ac:dyDescent="0.3">
      <c r="A28" t="str">
        <f>IF(Players!E28="","",Players!E28)</f>
        <v/>
      </c>
      <c r="B28" t="str">
        <f>IF(A28="","",Players!C28)</f>
        <v/>
      </c>
      <c r="C28" t="str">
        <f>IF(A28="","",Players!G28)</f>
        <v/>
      </c>
      <c r="D28" t="str">
        <f>IF(A28="","",COUNTIFS(Goals!$D$2:$D$289,"Goal",Goals!$E$2:$E$289,"*"&amp;A28&amp;"*",Goals!$F$2:$F$289,B28)+COUNTIFS(KnockoutGoals!$D$2:$D$85,"Goal",KnockoutGoals!$E$2:$E$85,"*"&amp;A28&amp;"*",KnockoutGoals!$F$2:$F$85,B28))</f>
        <v/>
      </c>
      <c r="E28">
        <f t="shared" si="0"/>
        <v>0</v>
      </c>
    </row>
    <row r="29" spans="1:5" x14ac:dyDescent="0.3">
      <c r="A29" t="str">
        <f>IF(Players!E29="","",Players!E29)</f>
        <v/>
      </c>
      <c r="B29" t="str">
        <f>IF(A29="","",Players!C29)</f>
        <v/>
      </c>
      <c r="C29" t="str">
        <f>IF(A29="","",Players!G29)</f>
        <v/>
      </c>
      <c r="D29" t="str">
        <f>IF(A29="","",COUNTIFS(Goals!$D$2:$D$289,"Goal",Goals!$E$2:$E$289,"*"&amp;A29&amp;"*",Goals!$F$2:$F$289,B29)+COUNTIFS(KnockoutGoals!$D$2:$D$85,"Goal",KnockoutGoals!$E$2:$E$85,"*"&amp;A29&amp;"*",KnockoutGoals!$F$2:$F$85,B29))</f>
        <v/>
      </c>
      <c r="E29">
        <f t="shared" si="0"/>
        <v>0</v>
      </c>
    </row>
    <row r="30" spans="1:5" x14ac:dyDescent="0.3">
      <c r="A30" t="str">
        <f>IF(Players!E30="","",Players!E30)</f>
        <v/>
      </c>
      <c r="B30" t="str">
        <f>IF(A30="","",Players!C30)</f>
        <v/>
      </c>
      <c r="C30" t="str">
        <f>IF(A30="","",Players!G30)</f>
        <v/>
      </c>
      <c r="D30" t="str">
        <f>IF(A30="","",COUNTIFS(Goals!$D$2:$D$289,"Goal",Goals!$E$2:$E$289,"*"&amp;A30&amp;"*",Goals!$F$2:$F$289,B30)+COUNTIFS(KnockoutGoals!$D$2:$D$85,"Goal",KnockoutGoals!$E$2:$E$85,"*"&amp;A30&amp;"*",KnockoutGoals!$F$2:$F$85,B30))</f>
        <v/>
      </c>
      <c r="E30">
        <f t="shared" si="0"/>
        <v>0</v>
      </c>
    </row>
    <row r="31" spans="1:5" x14ac:dyDescent="0.3">
      <c r="A31" t="str">
        <f>IF(Players!E31="","",Players!E31)</f>
        <v/>
      </c>
      <c r="B31" t="str">
        <f>IF(A31="","",Players!C31)</f>
        <v/>
      </c>
      <c r="C31" t="str">
        <f>IF(A31="","",Players!G31)</f>
        <v/>
      </c>
      <c r="D31" t="str">
        <f>IF(A31="","",COUNTIFS(Goals!$D$2:$D$289,"Goal",Goals!$E$2:$E$289,"*"&amp;A31&amp;"*",Goals!$F$2:$F$289,B31)+COUNTIFS(KnockoutGoals!$D$2:$D$85,"Goal",KnockoutGoals!$E$2:$E$85,"*"&amp;A31&amp;"*",KnockoutGoals!$F$2:$F$85,B31))</f>
        <v/>
      </c>
      <c r="E31">
        <f t="shared" si="0"/>
        <v>0</v>
      </c>
    </row>
    <row r="32" spans="1:5" x14ac:dyDescent="0.3">
      <c r="A32" t="str">
        <f>IF(Players!E32="","",Players!E32)</f>
        <v>BOGDAN ATAMANYUK</v>
      </c>
      <c r="B32" t="str">
        <f>IF(A32="","",Players!C32)</f>
        <v>FC Internazionale Rovigo</v>
      </c>
      <c r="C32" t="str">
        <f>IF(A32="","",Players!G32)</f>
        <v>0 - BOGDAN ATAMANYUK</v>
      </c>
      <c r="D32">
        <f>IF(A32="","",COUNTIFS(Goals!$D$2:$D$289,"Goal",Goals!$E$2:$E$289,"*"&amp;A32&amp;"*",Goals!$F$2:$F$289,B32)+COUNTIFS(KnockoutGoals!$D$2:$D$85,"Goal",KnockoutGoals!$E$2:$E$85,"*"&amp;A32&amp;"*",KnockoutGoals!$F$2:$F$85,B32))</f>
        <v>0</v>
      </c>
      <c r="E32">
        <f t="shared" si="0"/>
        <v>-3.2000000000000001E-2</v>
      </c>
    </row>
    <row r="33" spans="1:5" x14ac:dyDescent="0.3">
      <c r="A33" t="str">
        <f>IF(Players!E33="","",Players!E33)</f>
        <v>IVAN DENIS SHEVERAK</v>
      </c>
      <c r="B33" t="str">
        <f>IF(A33="","",Players!C33)</f>
        <v>FC Internazionale Rovigo</v>
      </c>
      <c r="C33" t="str">
        <f>IF(A33="","",Players!G33)</f>
        <v>0 - IVAN DENIS SHEVERAK</v>
      </c>
      <c r="D33">
        <f>IF(A33="","",COUNTIFS(Goals!$D$2:$D$289,"Goal",Goals!$E$2:$E$289,"*"&amp;A33&amp;"*",Goals!$F$2:$F$289,B33)+COUNTIFS(KnockoutGoals!$D$2:$D$85,"Goal",KnockoutGoals!$E$2:$E$85,"*"&amp;A33&amp;"*",KnockoutGoals!$F$2:$F$85,B33))</f>
        <v>0</v>
      </c>
      <c r="E33">
        <f t="shared" si="0"/>
        <v>-3.3000000000000002E-2</v>
      </c>
    </row>
    <row r="34" spans="1:5" x14ac:dyDescent="0.3">
      <c r="A34" t="str">
        <f>IF(Players!E34="","",Players!E34)</f>
        <v>MOHAMED IAICH</v>
      </c>
      <c r="B34" t="str">
        <f>IF(A34="","",Players!C34)</f>
        <v>FC Internazionale Rovigo</v>
      </c>
      <c r="C34" t="str">
        <f>IF(A34="","",Players!G34)</f>
        <v>0 - MOHAMED IAICH</v>
      </c>
      <c r="D34">
        <f>IF(A34="","",COUNTIFS(Goals!$D$2:$D$289,"Goal",Goals!$E$2:$E$289,"*"&amp;A34&amp;"*",Goals!$F$2:$F$289,B34)+COUNTIFS(KnockoutGoals!$D$2:$D$85,"Goal",KnockoutGoals!$E$2:$E$85,"*"&amp;A34&amp;"*",KnockoutGoals!$F$2:$F$85,B34))</f>
        <v>0</v>
      </c>
      <c r="E34">
        <f t="shared" si="0"/>
        <v>-3.4000000000000002E-2</v>
      </c>
    </row>
    <row r="35" spans="1:5" x14ac:dyDescent="0.3">
      <c r="A35" t="str">
        <f>IF(Players!E35="","",Players!E35)</f>
        <v>DANIIL YAKIMENKO</v>
      </c>
      <c r="B35" t="str">
        <f>IF(A35="","",Players!C35)</f>
        <v>FC Internazionale Rovigo</v>
      </c>
      <c r="C35" t="str">
        <f>IF(A35="","",Players!G35)</f>
        <v>0 - DANIIL YAKIMENKO</v>
      </c>
      <c r="D35">
        <f>IF(A35="","",COUNTIFS(Goals!$D$2:$D$289,"Goal",Goals!$E$2:$E$289,"*"&amp;A35&amp;"*",Goals!$F$2:$F$289,B35)+COUNTIFS(KnockoutGoals!$D$2:$D$85,"Goal",KnockoutGoals!$E$2:$E$85,"*"&amp;A35&amp;"*",KnockoutGoals!$F$2:$F$85,B35))</f>
        <v>0</v>
      </c>
      <c r="E35">
        <f t="shared" si="0"/>
        <v>-3.5000000000000003E-2</v>
      </c>
    </row>
    <row r="36" spans="1:5" x14ac:dyDescent="0.3">
      <c r="A36" t="str">
        <f>IF(Players!E36="","",Players!E36)</f>
        <v>AHMED ZOUZAF</v>
      </c>
      <c r="B36" t="str">
        <f>IF(A36="","",Players!C36)</f>
        <v>FC Internazionale Rovigo</v>
      </c>
      <c r="C36" t="str">
        <f>IF(A36="","",Players!G36)</f>
        <v>0 - AHMED ZOUZAF</v>
      </c>
      <c r="D36">
        <f>IF(A36="","",COUNTIFS(Goals!$D$2:$D$289,"Goal",Goals!$E$2:$E$289,"*"&amp;A36&amp;"*",Goals!$F$2:$F$289,B36)+COUNTIFS(KnockoutGoals!$D$2:$D$85,"Goal",KnockoutGoals!$E$2:$E$85,"*"&amp;A36&amp;"*",KnockoutGoals!$F$2:$F$85,B36))</f>
        <v>0</v>
      </c>
      <c r="E36">
        <f t="shared" si="0"/>
        <v>-3.5999999999999997E-2</v>
      </c>
    </row>
    <row r="37" spans="1:5" x14ac:dyDescent="0.3">
      <c r="A37" t="str">
        <f>IF(Players!E37="","",Players!E37)</f>
        <v>YOUSSEF IAICH</v>
      </c>
      <c r="B37" t="str">
        <f>IF(A37="","",Players!C37)</f>
        <v>FC Internazionale Rovigo</v>
      </c>
      <c r="C37" t="str">
        <f>IF(A37="","",Players!G37)</f>
        <v>0 - YOUSSEF IAICH</v>
      </c>
      <c r="D37">
        <f>IF(A37="","",COUNTIFS(Goals!$D$2:$D$289,"Goal",Goals!$E$2:$E$289,"*"&amp;A37&amp;"*",Goals!$F$2:$F$289,B37)+COUNTIFS(KnockoutGoals!$D$2:$D$85,"Goal",KnockoutGoals!$E$2:$E$85,"*"&amp;A37&amp;"*",KnockoutGoals!$F$2:$F$85,B37))</f>
        <v>0</v>
      </c>
      <c r="E37">
        <f t="shared" si="0"/>
        <v>-3.6999999999999998E-2</v>
      </c>
    </row>
    <row r="38" spans="1:5" x14ac:dyDescent="0.3">
      <c r="A38" t="str">
        <f>IF(Players!E38="","",Players!E38)</f>
        <v>HAMZA AGRIBI</v>
      </c>
      <c r="B38" t="str">
        <f>IF(A38="","",Players!C38)</f>
        <v>FC Internazionale Rovigo</v>
      </c>
      <c r="C38" t="str">
        <f>IF(A38="","",Players!G38)</f>
        <v>0 - HAMZA AGRIBI (C)</v>
      </c>
      <c r="D38">
        <f>IF(A38="","",COUNTIFS(Goals!$D$2:$D$289,"Goal",Goals!$E$2:$E$289,"*"&amp;A38&amp;"*",Goals!$F$2:$F$289,B38)+COUNTIFS(KnockoutGoals!$D$2:$D$85,"Goal",KnockoutGoals!$E$2:$E$85,"*"&amp;A38&amp;"*",KnockoutGoals!$F$2:$F$85,B38))</f>
        <v>0</v>
      </c>
      <c r="E38">
        <f t="shared" si="0"/>
        <v>-3.7999999999999999E-2</v>
      </c>
    </row>
    <row r="39" spans="1:5" x14ac:dyDescent="0.3">
      <c r="A39" t="str">
        <f>IF(Players!E39="","",Players!E39)</f>
        <v>KHALID BENNOUNE</v>
      </c>
      <c r="B39" t="str">
        <f>IF(A39="","",Players!C39)</f>
        <v>FC Internazionale Rovigo</v>
      </c>
      <c r="C39" t="str">
        <f>IF(A39="","",Players!G39)</f>
        <v>0 - KHALID BENNOUNE</v>
      </c>
      <c r="D39">
        <f>IF(A39="","",COUNTIFS(Goals!$D$2:$D$289,"Goal",Goals!$E$2:$E$289,"*"&amp;A39&amp;"*",Goals!$F$2:$F$289,B39)+COUNTIFS(KnockoutGoals!$D$2:$D$85,"Goal",KnockoutGoals!$E$2:$E$85,"*"&amp;A39&amp;"*",KnockoutGoals!$F$2:$F$85,B39))</f>
        <v>0</v>
      </c>
      <c r="E39">
        <f t="shared" si="0"/>
        <v>-3.9E-2</v>
      </c>
    </row>
    <row r="40" spans="1:5" x14ac:dyDescent="0.3">
      <c r="A40" t="str">
        <f>IF(Players!E40="","",Players!E40)</f>
        <v>YASSINE SOHAYB</v>
      </c>
      <c r="B40" t="str">
        <f>IF(A40="","",Players!C40)</f>
        <v>FC Internazionale Rovigo</v>
      </c>
      <c r="C40" t="str">
        <f>IF(A40="","",Players!G40)</f>
        <v>0 - YASSINE SOHAYB</v>
      </c>
      <c r="D40">
        <f>IF(A40="","",COUNTIFS(Goals!$D$2:$D$289,"Goal",Goals!$E$2:$E$289,"*"&amp;A40&amp;"*",Goals!$F$2:$F$289,B40)+COUNTIFS(KnockoutGoals!$D$2:$D$85,"Goal",KnockoutGoals!$E$2:$E$85,"*"&amp;A40&amp;"*",KnockoutGoals!$F$2:$F$85,B40))</f>
        <v>0</v>
      </c>
      <c r="E40">
        <f t="shared" si="0"/>
        <v>-0.04</v>
      </c>
    </row>
    <row r="41" spans="1:5" x14ac:dyDescent="0.3">
      <c r="A41" t="str">
        <f>IF(Players!E41="","",Players!E41)</f>
        <v>ABDESSAMAD BAGHROUCH</v>
      </c>
      <c r="B41" t="str">
        <f>IF(A41="","",Players!C41)</f>
        <v>FC Internazionale Rovigo</v>
      </c>
      <c r="C41" t="str">
        <f>IF(A41="","",Players!G41)</f>
        <v>0 - ABDESSAMAD BAGHROUCH</v>
      </c>
      <c r="D41">
        <f>IF(A41="","",COUNTIFS(Goals!$D$2:$D$289,"Goal",Goals!$E$2:$E$289,"*"&amp;A41&amp;"*",Goals!$F$2:$F$289,B41)+COUNTIFS(KnockoutGoals!$D$2:$D$85,"Goal",KnockoutGoals!$E$2:$E$85,"*"&amp;A41&amp;"*",KnockoutGoals!$F$2:$F$85,B41))</f>
        <v>0</v>
      </c>
      <c r="E41">
        <f t="shared" si="0"/>
        <v>-4.1000000000000002E-2</v>
      </c>
    </row>
    <row r="42" spans="1:5" x14ac:dyDescent="0.3">
      <c r="A42" t="str">
        <f>IF(Players!E42="","",Players!E42)</f>
        <v/>
      </c>
      <c r="B42" t="str">
        <f>IF(A42="","",Players!C42)</f>
        <v/>
      </c>
      <c r="C42" t="str">
        <f>IF(A42="","",Players!G42)</f>
        <v/>
      </c>
      <c r="D42" t="str">
        <f>IF(A42="","",COUNTIFS(Goals!$D$2:$D$289,"Goal",Goals!$E$2:$E$289,"*"&amp;A42&amp;"*",Goals!$F$2:$F$289,B42)+COUNTIFS(KnockoutGoals!$D$2:$D$85,"Goal",KnockoutGoals!$E$2:$E$85,"*"&amp;A42&amp;"*",KnockoutGoals!$F$2:$F$85,B42))</f>
        <v/>
      </c>
      <c r="E42">
        <f t="shared" si="0"/>
        <v>0</v>
      </c>
    </row>
    <row r="43" spans="1:5" x14ac:dyDescent="0.3">
      <c r="A43" t="str">
        <f>IF(Players!E43="","",Players!E43)</f>
        <v/>
      </c>
      <c r="B43" t="str">
        <f>IF(A43="","",Players!C43)</f>
        <v/>
      </c>
      <c r="C43" t="str">
        <f>IF(A43="","",Players!G43)</f>
        <v/>
      </c>
      <c r="D43" t="str">
        <f>IF(A43="","",COUNTIFS(Goals!$D$2:$D$289,"Goal",Goals!$E$2:$E$289,"*"&amp;A43&amp;"*",Goals!$F$2:$F$289,B43)+COUNTIFS(KnockoutGoals!$D$2:$D$85,"Goal",KnockoutGoals!$E$2:$E$85,"*"&amp;A43&amp;"*",KnockoutGoals!$F$2:$F$85,B43))</f>
        <v/>
      </c>
      <c r="E43">
        <f t="shared" si="0"/>
        <v>0</v>
      </c>
    </row>
    <row r="44" spans="1:5" x14ac:dyDescent="0.3">
      <c r="A44" t="str">
        <f>IF(Players!E44="","",Players!E44)</f>
        <v/>
      </c>
      <c r="B44" t="str">
        <f>IF(A44="","",Players!C44)</f>
        <v/>
      </c>
      <c r="C44" t="str">
        <f>IF(A44="","",Players!G44)</f>
        <v/>
      </c>
      <c r="D44" t="str">
        <f>IF(A44="","",COUNTIFS(Goals!$D$2:$D$289,"Goal",Goals!$E$2:$E$289,"*"&amp;A44&amp;"*",Goals!$F$2:$F$289,B44)+COUNTIFS(KnockoutGoals!$D$2:$D$85,"Goal",KnockoutGoals!$E$2:$E$85,"*"&amp;A44&amp;"*",KnockoutGoals!$F$2:$F$85,B44))</f>
        <v/>
      </c>
      <c r="E44">
        <f t="shared" si="0"/>
        <v>0</v>
      </c>
    </row>
    <row r="45" spans="1:5" x14ac:dyDescent="0.3">
      <c r="A45" t="str">
        <f>IF(Players!E45="","",Players!E45)</f>
        <v/>
      </c>
      <c r="B45" t="str">
        <f>IF(A45="","",Players!C45)</f>
        <v/>
      </c>
      <c r="C45" t="str">
        <f>IF(A45="","",Players!G45)</f>
        <v/>
      </c>
      <c r="D45" t="str">
        <f>IF(A45="","",COUNTIFS(Goals!$D$2:$D$289,"Goal",Goals!$E$2:$E$289,"*"&amp;A45&amp;"*",Goals!$F$2:$F$289,B45)+COUNTIFS(KnockoutGoals!$D$2:$D$85,"Goal",KnockoutGoals!$E$2:$E$85,"*"&amp;A45&amp;"*",KnockoutGoals!$F$2:$F$85,B45))</f>
        <v/>
      </c>
      <c r="E45">
        <f t="shared" si="0"/>
        <v>0</v>
      </c>
    </row>
    <row r="46" spans="1:5" x14ac:dyDescent="0.3">
      <c r="A46" t="str">
        <f>IF(Players!E46="","",Players!E46)</f>
        <v/>
      </c>
      <c r="B46" t="str">
        <f>IF(A46="","",Players!C46)</f>
        <v/>
      </c>
      <c r="C46" t="str">
        <f>IF(A46="","",Players!G46)</f>
        <v/>
      </c>
      <c r="D46" t="str">
        <f>IF(A46="","",COUNTIFS(Goals!$D$2:$D$289,"Goal",Goals!$E$2:$E$289,"*"&amp;A46&amp;"*",Goals!$F$2:$F$289,B46)+COUNTIFS(KnockoutGoals!$D$2:$D$85,"Goal",KnockoutGoals!$E$2:$E$85,"*"&amp;A46&amp;"*",KnockoutGoals!$F$2:$F$85,B46))</f>
        <v/>
      </c>
      <c r="E46">
        <f t="shared" si="0"/>
        <v>0</v>
      </c>
    </row>
    <row r="47" spans="1:5" x14ac:dyDescent="0.3">
      <c r="A47" t="str">
        <f>IF(Players!E47="","",Players!E47)</f>
        <v/>
      </c>
      <c r="B47" t="str">
        <f>IF(A47="","",Players!C47)</f>
        <v/>
      </c>
      <c r="C47" t="str">
        <f>IF(A47="","",Players!G47)</f>
        <v/>
      </c>
      <c r="D47" t="str">
        <f>IF(A47="","",COUNTIFS(Goals!$D$2:$D$289,"Goal",Goals!$E$2:$E$289,"*"&amp;A47&amp;"*",Goals!$F$2:$F$289,B47)+COUNTIFS(KnockoutGoals!$D$2:$D$85,"Goal",KnockoutGoals!$E$2:$E$85,"*"&amp;A47&amp;"*",KnockoutGoals!$F$2:$F$85,B47))</f>
        <v/>
      </c>
      <c r="E47">
        <f t="shared" si="0"/>
        <v>0</v>
      </c>
    </row>
    <row r="48" spans="1:5" x14ac:dyDescent="0.3">
      <c r="A48" t="str">
        <f>IF(Players!E48="","",Players!E48)</f>
        <v/>
      </c>
      <c r="B48" t="str">
        <f>IF(A48="","",Players!C48)</f>
        <v/>
      </c>
      <c r="C48" t="str">
        <f>IF(A48="","",Players!G48)</f>
        <v/>
      </c>
      <c r="D48" t="str">
        <f>IF(A48="","",COUNTIFS(Goals!$D$2:$D$289,"Goal",Goals!$E$2:$E$289,"*"&amp;A48&amp;"*",Goals!$F$2:$F$289,B48)+COUNTIFS(KnockoutGoals!$D$2:$D$85,"Goal",KnockoutGoals!$E$2:$E$85,"*"&amp;A48&amp;"*",KnockoutGoals!$F$2:$F$85,B48))</f>
        <v/>
      </c>
      <c r="E48">
        <f t="shared" si="0"/>
        <v>0</v>
      </c>
    </row>
    <row r="49" spans="1:5" x14ac:dyDescent="0.3">
      <c r="A49" t="str">
        <f>IF(Players!E49="","",Players!E49)</f>
        <v/>
      </c>
      <c r="B49" t="str">
        <f>IF(A49="","",Players!C49)</f>
        <v/>
      </c>
      <c r="C49" t="str">
        <f>IF(A49="","",Players!G49)</f>
        <v/>
      </c>
      <c r="D49" t="str">
        <f>IF(A49="","",COUNTIFS(Goals!$D$2:$D$289,"Goal",Goals!$E$2:$E$289,"*"&amp;A49&amp;"*",Goals!$F$2:$F$289,B49)+COUNTIFS(KnockoutGoals!$D$2:$D$85,"Goal",KnockoutGoals!$E$2:$E$85,"*"&amp;A49&amp;"*",KnockoutGoals!$F$2:$F$85,B49))</f>
        <v/>
      </c>
      <c r="E49">
        <f t="shared" si="0"/>
        <v>0</v>
      </c>
    </row>
    <row r="50" spans="1:5" x14ac:dyDescent="0.3">
      <c r="A50" t="str">
        <f>IF(Players!E50="","",Players!E50)</f>
        <v/>
      </c>
      <c r="B50" t="str">
        <f>IF(A50="","",Players!C50)</f>
        <v/>
      </c>
      <c r="C50" t="str">
        <f>IF(A50="","",Players!G50)</f>
        <v/>
      </c>
      <c r="D50" t="str">
        <f>IF(A50="","",COUNTIFS(Goals!$D$2:$D$289,"Goal",Goals!$E$2:$E$289,"*"&amp;A50&amp;"*",Goals!$F$2:$F$289,B50)+COUNTIFS(KnockoutGoals!$D$2:$D$85,"Goal",KnockoutGoals!$E$2:$E$85,"*"&amp;A50&amp;"*",KnockoutGoals!$F$2:$F$85,B50))</f>
        <v/>
      </c>
      <c r="E50">
        <f t="shared" si="0"/>
        <v>0</v>
      </c>
    </row>
    <row r="51" spans="1:5" x14ac:dyDescent="0.3">
      <c r="A51" t="str">
        <f>IF(Players!E51="","",Players!E51)</f>
        <v/>
      </c>
      <c r="B51" t="str">
        <f>IF(A51="","",Players!C51)</f>
        <v/>
      </c>
      <c r="C51" t="str">
        <f>IF(A51="","",Players!G51)</f>
        <v/>
      </c>
      <c r="D51" t="str">
        <f>IF(A51="","",COUNTIFS(Goals!$D$2:$D$289,"Goal",Goals!$E$2:$E$289,"*"&amp;A51&amp;"*",Goals!$F$2:$F$289,B51)+COUNTIFS(KnockoutGoals!$D$2:$D$85,"Goal",KnockoutGoals!$E$2:$E$85,"*"&amp;A51&amp;"*",KnockoutGoals!$F$2:$F$85,B51))</f>
        <v/>
      </c>
      <c r="E51">
        <f t="shared" si="0"/>
        <v>0</v>
      </c>
    </row>
    <row r="52" spans="1:5" x14ac:dyDescent="0.3">
      <c r="A52" t="str">
        <f>IF(Players!E52="","",Players!E52)</f>
        <v/>
      </c>
      <c r="B52" t="str">
        <f>IF(A52="","",Players!C52)</f>
        <v/>
      </c>
      <c r="C52" t="str">
        <f>IF(A52="","",Players!G52)</f>
        <v/>
      </c>
      <c r="D52" t="str">
        <f>IF(A52="","",COUNTIFS(Goals!$D$2:$D$289,"Goal",Goals!$E$2:$E$289,"*"&amp;A52&amp;"*",Goals!$F$2:$F$289,B52)+COUNTIFS(KnockoutGoals!$D$2:$D$85,"Goal",KnockoutGoals!$E$2:$E$85,"*"&amp;A52&amp;"*",KnockoutGoals!$F$2:$F$85,B52))</f>
        <v/>
      </c>
      <c r="E52">
        <f t="shared" si="0"/>
        <v>0</v>
      </c>
    </row>
    <row r="53" spans="1:5" x14ac:dyDescent="0.3">
      <c r="A53" t="str">
        <f>IF(Players!E53="","",Players!E53)</f>
        <v/>
      </c>
      <c r="B53" t="str">
        <f>IF(A53="","",Players!C53)</f>
        <v/>
      </c>
      <c r="C53" t="str">
        <f>IF(A53="","",Players!G53)</f>
        <v/>
      </c>
      <c r="D53" t="str">
        <f>IF(A53="","",COUNTIFS(Goals!$D$2:$D$289,"Goal",Goals!$E$2:$E$289,"*"&amp;A53&amp;"*",Goals!$F$2:$F$289,B53)+COUNTIFS(KnockoutGoals!$D$2:$D$85,"Goal",KnockoutGoals!$E$2:$E$85,"*"&amp;A53&amp;"*",KnockoutGoals!$F$2:$F$85,B53))</f>
        <v/>
      </c>
      <c r="E53">
        <f t="shared" si="0"/>
        <v>0</v>
      </c>
    </row>
    <row r="54" spans="1:5" x14ac:dyDescent="0.3">
      <c r="A54" t="str">
        <f>IF(Players!E54="","",Players!E54)</f>
        <v/>
      </c>
      <c r="B54" t="str">
        <f>IF(A54="","",Players!C54)</f>
        <v/>
      </c>
      <c r="C54" t="str">
        <f>IF(A54="","",Players!G54)</f>
        <v/>
      </c>
      <c r="D54" t="str">
        <f>IF(A54="","",COUNTIFS(Goals!$D$2:$D$289,"Goal",Goals!$E$2:$E$289,"*"&amp;A54&amp;"*",Goals!$F$2:$F$289,B54)+COUNTIFS(KnockoutGoals!$D$2:$D$85,"Goal",KnockoutGoals!$E$2:$E$85,"*"&amp;A54&amp;"*",KnockoutGoals!$F$2:$F$85,B54))</f>
        <v/>
      </c>
      <c r="E54">
        <f t="shared" si="0"/>
        <v>0</v>
      </c>
    </row>
    <row r="55" spans="1:5" x14ac:dyDescent="0.3">
      <c r="A55" t="str">
        <f>IF(Players!E55="","",Players!E55)</f>
        <v/>
      </c>
      <c r="B55" t="str">
        <f>IF(A55="","",Players!C55)</f>
        <v/>
      </c>
      <c r="C55" t="str">
        <f>IF(A55="","",Players!G55)</f>
        <v/>
      </c>
      <c r="D55" t="str">
        <f>IF(A55="","",COUNTIFS(Goals!$D$2:$D$289,"Goal",Goals!$E$2:$E$289,"*"&amp;A55&amp;"*",Goals!$F$2:$F$289,B55)+COUNTIFS(KnockoutGoals!$D$2:$D$85,"Goal",KnockoutGoals!$E$2:$E$85,"*"&amp;A55&amp;"*",KnockoutGoals!$F$2:$F$85,B55))</f>
        <v/>
      </c>
      <c r="E55">
        <f t="shared" si="0"/>
        <v>0</v>
      </c>
    </row>
    <row r="56" spans="1:5" x14ac:dyDescent="0.3">
      <c r="A56" t="str">
        <f>IF(Players!E56="","",Players!E56)</f>
        <v/>
      </c>
      <c r="B56" t="str">
        <f>IF(A56="","",Players!C56)</f>
        <v/>
      </c>
      <c r="C56" t="str">
        <f>IF(A56="","",Players!G56)</f>
        <v/>
      </c>
      <c r="D56" t="str">
        <f>IF(A56="","",COUNTIFS(Goals!$D$2:$D$289,"Goal",Goals!$E$2:$E$289,"*"&amp;A56&amp;"*",Goals!$F$2:$F$289,B56)+COUNTIFS(KnockoutGoals!$D$2:$D$85,"Goal",KnockoutGoals!$E$2:$E$85,"*"&amp;A56&amp;"*",KnockoutGoals!$F$2:$F$85,B56))</f>
        <v/>
      </c>
      <c r="E56">
        <f t="shared" si="0"/>
        <v>0</v>
      </c>
    </row>
    <row r="57" spans="1:5" x14ac:dyDescent="0.3">
      <c r="A57" t="str">
        <f>IF(Players!E57="","",Players!E57)</f>
        <v/>
      </c>
      <c r="B57" t="str">
        <f>IF(A57="","",Players!C57)</f>
        <v/>
      </c>
      <c r="C57" t="str">
        <f>IF(A57="","",Players!G57)</f>
        <v/>
      </c>
      <c r="D57" t="str">
        <f>IF(A57="","",COUNTIFS(Goals!$D$2:$D$289,"Goal",Goals!$E$2:$E$289,"*"&amp;A57&amp;"*",Goals!$F$2:$F$289,B57)+COUNTIFS(KnockoutGoals!$D$2:$D$85,"Goal",KnockoutGoals!$E$2:$E$85,"*"&amp;A57&amp;"*",KnockoutGoals!$F$2:$F$85,B57))</f>
        <v/>
      </c>
      <c r="E57">
        <f t="shared" si="0"/>
        <v>0</v>
      </c>
    </row>
    <row r="58" spans="1:5" x14ac:dyDescent="0.3">
      <c r="A58" t="str">
        <f>IF(Players!E58="","",Players!E58)</f>
        <v/>
      </c>
      <c r="B58" t="str">
        <f>IF(A58="","",Players!C58)</f>
        <v/>
      </c>
      <c r="C58" t="str">
        <f>IF(A58="","",Players!G58)</f>
        <v/>
      </c>
      <c r="D58" t="str">
        <f>IF(A58="","",COUNTIFS(Goals!$D$2:$D$289,"Goal",Goals!$E$2:$E$289,"*"&amp;A58&amp;"*",Goals!$F$2:$F$289,B58)+COUNTIFS(KnockoutGoals!$D$2:$D$85,"Goal",KnockoutGoals!$E$2:$E$85,"*"&amp;A58&amp;"*",KnockoutGoals!$F$2:$F$85,B58))</f>
        <v/>
      </c>
      <c r="E58">
        <f t="shared" si="0"/>
        <v>0</v>
      </c>
    </row>
    <row r="59" spans="1:5" x14ac:dyDescent="0.3">
      <c r="A59" t="str">
        <f>IF(Players!E59="","",Players!E59)</f>
        <v/>
      </c>
      <c r="B59" t="str">
        <f>IF(A59="","",Players!C59)</f>
        <v/>
      </c>
      <c r="C59" t="str">
        <f>IF(A59="","",Players!G59)</f>
        <v/>
      </c>
      <c r="D59" t="str">
        <f>IF(A59="","",COUNTIFS(Goals!$D$2:$D$289,"Goal",Goals!$E$2:$E$289,"*"&amp;A59&amp;"*",Goals!$F$2:$F$289,B59)+COUNTIFS(KnockoutGoals!$D$2:$D$85,"Goal",KnockoutGoals!$E$2:$E$85,"*"&amp;A59&amp;"*",KnockoutGoals!$F$2:$F$85,B59))</f>
        <v/>
      </c>
      <c r="E59">
        <f t="shared" si="0"/>
        <v>0</v>
      </c>
    </row>
    <row r="60" spans="1:5" x14ac:dyDescent="0.3">
      <c r="A60" t="str">
        <f>IF(Players!E60="","",Players!E60)</f>
        <v/>
      </c>
      <c r="B60" t="str">
        <f>IF(A60="","",Players!C60)</f>
        <v/>
      </c>
      <c r="C60" t="str">
        <f>IF(A60="","",Players!G60)</f>
        <v/>
      </c>
      <c r="D60" t="str">
        <f>IF(A60="","",COUNTIFS(Goals!$D$2:$D$289,"Goal",Goals!$E$2:$E$289,"*"&amp;A60&amp;"*",Goals!$F$2:$F$289,B60)+COUNTIFS(KnockoutGoals!$D$2:$D$85,"Goal",KnockoutGoals!$E$2:$E$85,"*"&amp;A60&amp;"*",KnockoutGoals!$F$2:$F$85,B60))</f>
        <v/>
      </c>
      <c r="E60">
        <f t="shared" si="0"/>
        <v>0</v>
      </c>
    </row>
    <row r="61" spans="1:5" x14ac:dyDescent="0.3">
      <c r="A61" t="str">
        <f>IF(Players!E61="","",Players!E61)</f>
        <v/>
      </c>
      <c r="B61" t="str">
        <f>IF(A61="","",Players!C61)</f>
        <v/>
      </c>
      <c r="C61" t="str">
        <f>IF(A61="","",Players!G61)</f>
        <v/>
      </c>
      <c r="D61" t="str">
        <f>IF(A61="","",COUNTIFS(Goals!$D$2:$D$289,"Goal",Goals!$E$2:$E$289,"*"&amp;A61&amp;"*",Goals!$F$2:$F$289,B61)+COUNTIFS(KnockoutGoals!$D$2:$D$85,"Goal",KnockoutGoals!$E$2:$E$85,"*"&amp;A61&amp;"*",KnockoutGoals!$F$2:$F$85,B61))</f>
        <v/>
      </c>
      <c r="E61">
        <f t="shared" si="0"/>
        <v>0</v>
      </c>
    </row>
    <row r="62" spans="1:5" x14ac:dyDescent="0.3">
      <c r="A62" t="str">
        <f>IF(Players!E62="","",Players!E62)</f>
        <v>MATTIA MERLO</v>
      </c>
      <c r="B62" t="str">
        <f>IF(A62="","",Players!C62)</f>
        <v>Moviola Utd</v>
      </c>
      <c r="C62" t="str">
        <f>IF(A62="","",Players!G62)</f>
        <v>0 - MATTIA MERLO</v>
      </c>
      <c r="D62">
        <f>IF(A62="","",COUNTIFS(Goals!$D$2:$D$289,"Goal",Goals!$E$2:$E$289,"*"&amp;A62&amp;"*",Goals!$F$2:$F$289,B62)+COUNTIFS(KnockoutGoals!$D$2:$D$85,"Goal",KnockoutGoals!$E$2:$E$85,"*"&amp;A62&amp;"*",KnockoutGoals!$F$2:$F$85,B62))</f>
        <v>0</v>
      </c>
      <c r="E62">
        <f t="shared" si="0"/>
        <v>-6.2E-2</v>
      </c>
    </row>
    <row r="63" spans="1:5" x14ac:dyDescent="0.3">
      <c r="A63" t="str">
        <f>IF(Players!E63="","",Players!E63)</f>
        <v>MICHAEL STRENGHETTO</v>
      </c>
      <c r="B63" t="str">
        <f>IF(A63="","",Players!C63)</f>
        <v>Moviola Utd</v>
      </c>
      <c r="C63" t="str">
        <f>IF(A63="","",Players!G63)</f>
        <v>0 - MICHAEL STRENGHETTO (C)</v>
      </c>
      <c r="D63">
        <f>IF(A63="","",COUNTIFS(Goals!$D$2:$D$289,"Goal",Goals!$E$2:$E$289,"*"&amp;A63&amp;"*",Goals!$F$2:$F$289,B63)+COUNTIFS(KnockoutGoals!$D$2:$D$85,"Goal",KnockoutGoals!$E$2:$E$85,"*"&amp;A63&amp;"*",KnockoutGoals!$F$2:$F$85,B63))</f>
        <v>0</v>
      </c>
      <c r="E63">
        <f t="shared" si="0"/>
        <v>-6.3E-2</v>
      </c>
    </row>
    <row r="64" spans="1:5" x14ac:dyDescent="0.3">
      <c r="A64" t="str">
        <f>IF(Players!E64="","",Players!E64)</f>
        <v>LUCA BACCO</v>
      </c>
      <c r="B64" t="str">
        <f>IF(A64="","",Players!C64)</f>
        <v>Moviola Utd</v>
      </c>
      <c r="C64" t="str">
        <f>IF(A64="","",Players!G64)</f>
        <v>0 - LUCA BACCO</v>
      </c>
      <c r="D64">
        <f>IF(A64="","",COUNTIFS(Goals!$D$2:$D$289,"Goal",Goals!$E$2:$E$289,"*"&amp;A64&amp;"*",Goals!$F$2:$F$289,B64)+COUNTIFS(KnockoutGoals!$D$2:$D$85,"Goal",KnockoutGoals!$E$2:$E$85,"*"&amp;A64&amp;"*",KnockoutGoals!$F$2:$F$85,B64))</f>
        <v>0</v>
      </c>
      <c r="E64">
        <f t="shared" si="0"/>
        <v>-6.4000000000000001E-2</v>
      </c>
    </row>
    <row r="65" spans="1:5" x14ac:dyDescent="0.3">
      <c r="A65" t="str">
        <f>IF(Players!E65="","",Players!E65)</f>
        <v>FILIPPO SCARANELLO</v>
      </c>
      <c r="B65" t="str">
        <f>IF(A65="","",Players!C65)</f>
        <v>Moviola Utd</v>
      </c>
      <c r="C65" t="str">
        <f>IF(A65="","",Players!G65)</f>
        <v>0 - FILIPPO SCARANELLO</v>
      </c>
      <c r="D65">
        <f>IF(A65="","",COUNTIFS(Goals!$D$2:$D$289,"Goal",Goals!$E$2:$E$289,"*"&amp;A65&amp;"*",Goals!$F$2:$F$289,B65)+COUNTIFS(KnockoutGoals!$D$2:$D$85,"Goal",KnockoutGoals!$E$2:$E$85,"*"&amp;A65&amp;"*",KnockoutGoals!$F$2:$F$85,B65))</f>
        <v>0</v>
      </c>
      <c r="E65">
        <f t="shared" si="0"/>
        <v>-6.5000000000000002E-2</v>
      </c>
    </row>
    <row r="66" spans="1:5" x14ac:dyDescent="0.3">
      <c r="A66" t="str">
        <f>IF(Players!E66="","",Players!E66)</f>
        <v>EDDY MAZZETTO</v>
      </c>
      <c r="B66" t="str">
        <f>IF(A66="","",Players!C66)</f>
        <v>Moviola Utd</v>
      </c>
      <c r="C66" t="str">
        <f>IF(A66="","",Players!G66)</f>
        <v>0 - EDDY MAZZETTO</v>
      </c>
      <c r="D66">
        <f>IF(A66="","",COUNTIFS(Goals!$D$2:$D$289,"Goal",Goals!$E$2:$E$289,"*"&amp;A66&amp;"*",Goals!$F$2:$F$289,B66)+COUNTIFS(KnockoutGoals!$D$2:$D$85,"Goal",KnockoutGoals!$E$2:$E$85,"*"&amp;A66&amp;"*",KnockoutGoals!$F$2:$F$85,B66))</f>
        <v>0</v>
      </c>
      <c r="E66">
        <f t="shared" ref="E66:E129" si="1">IF(A66="",0,D66*100000-ROW()/1000)</f>
        <v>-6.6000000000000003E-2</v>
      </c>
    </row>
    <row r="67" spans="1:5" x14ac:dyDescent="0.3">
      <c r="A67" t="str">
        <f>IF(Players!E67="","",Players!E67)</f>
        <v>MATTIA BORGATO</v>
      </c>
      <c r="B67" t="str">
        <f>IF(A67="","",Players!C67)</f>
        <v>Moviola Utd</v>
      </c>
      <c r="C67" t="str">
        <f>IF(A67="","",Players!G67)</f>
        <v>0 - MATTIA BORGATO</v>
      </c>
      <c r="D67">
        <f>IF(A67="","",COUNTIFS(Goals!$D$2:$D$289,"Goal",Goals!$E$2:$E$289,"*"&amp;A67&amp;"*",Goals!$F$2:$F$289,B67)+COUNTIFS(KnockoutGoals!$D$2:$D$85,"Goal",KnockoutGoals!$E$2:$E$85,"*"&amp;A67&amp;"*",KnockoutGoals!$F$2:$F$85,B67))</f>
        <v>0</v>
      </c>
      <c r="E67">
        <f t="shared" si="1"/>
        <v>-6.7000000000000004E-2</v>
      </c>
    </row>
    <row r="68" spans="1:5" x14ac:dyDescent="0.3">
      <c r="A68" t="str">
        <f>IF(Players!E68="","",Players!E68)</f>
        <v>MARCO CASAROTTI</v>
      </c>
      <c r="B68" t="str">
        <f>IF(A68="","",Players!C68)</f>
        <v>Moviola Utd</v>
      </c>
      <c r="C68" t="str">
        <f>IF(A68="","",Players!G68)</f>
        <v>0 - MARCO CASAROTTI</v>
      </c>
      <c r="D68">
        <f>IF(A68="","",COUNTIFS(Goals!$D$2:$D$289,"Goal",Goals!$E$2:$E$289,"*"&amp;A68&amp;"*",Goals!$F$2:$F$289,B68)+COUNTIFS(KnockoutGoals!$D$2:$D$85,"Goal",KnockoutGoals!$E$2:$E$85,"*"&amp;A68&amp;"*",KnockoutGoals!$F$2:$F$85,B68))</f>
        <v>0</v>
      </c>
      <c r="E68">
        <f t="shared" si="1"/>
        <v>-6.8000000000000005E-2</v>
      </c>
    </row>
    <row r="69" spans="1:5" x14ac:dyDescent="0.3">
      <c r="A69" t="str">
        <f>IF(Players!E69="","",Players!E69)</f>
        <v>MATTEO NATALI</v>
      </c>
      <c r="B69" t="str">
        <f>IF(A69="","",Players!C69)</f>
        <v>Moviola Utd</v>
      </c>
      <c r="C69" t="str">
        <f>IF(A69="","",Players!G69)</f>
        <v>0 - MATTEO NATALI</v>
      </c>
      <c r="D69">
        <f>IF(A69="","",COUNTIFS(Goals!$D$2:$D$289,"Goal",Goals!$E$2:$E$289,"*"&amp;A69&amp;"*",Goals!$F$2:$F$289,B69)+COUNTIFS(KnockoutGoals!$D$2:$D$85,"Goal",KnockoutGoals!$E$2:$E$85,"*"&amp;A69&amp;"*",KnockoutGoals!$F$2:$F$85,B69))</f>
        <v>0</v>
      </c>
      <c r="E69">
        <f t="shared" si="1"/>
        <v>-6.9000000000000006E-2</v>
      </c>
    </row>
    <row r="70" spans="1:5" x14ac:dyDescent="0.3">
      <c r="A70" t="str">
        <f>IF(Players!E70="","",Players!E70)</f>
        <v>FRANCESCO DADDATO</v>
      </c>
      <c r="B70" t="str">
        <f>IF(A70="","",Players!C70)</f>
        <v>Moviola Utd</v>
      </c>
      <c r="C70" t="str">
        <f>IF(A70="","",Players!G70)</f>
        <v>0 - FRANCESCO DADDATO</v>
      </c>
      <c r="D70">
        <f>IF(A70="","",COUNTIFS(Goals!$D$2:$D$289,"Goal",Goals!$E$2:$E$289,"*"&amp;A70&amp;"*",Goals!$F$2:$F$289,B70)+COUNTIFS(KnockoutGoals!$D$2:$D$85,"Goal",KnockoutGoals!$E$2:$E$85,"*"&amp;A70&amp;"*",KnockoutGoals!$F$2:$F$85,B70))</f>
        <v>0</v>
      </c>
      <c r="E70">
        <f t="shared" si="1"/>
        <v>-7.0000000000000007E-2</v>
      </c>
    </row>
    <row r="71" spans="1:5" x14ac:dyDescent="0.3">
      <c r="A71" t="str">
        <f>IF(Players!E71="","",Players!E71)</f>
        <v>NICHOLAS LANZONI</v>
      </c>
      <c r="B71" t="str">
        <f>IF(A71="","",Players!C71)</f>
        <v>Moviola Utd</v>
      </c>
      <c r="C71" t="str">
        <f>IF(A71="","",Players!G71)</f>
        <v>0 - NICHOLAS LANZONI</v>
      </c>
      <c r="D71">
        <f>IF(A71="","",COUNTIFS(Goals!$D$2:$D$289,"Goal",Goals!$E$2:$E$289,"*"&amp;A71&amp;"*",Goals!$F$2:$F$289,B71)+COUNTIFS(KnockoutGoals!$D$2:$D$85,"Goal",KnockoutGoals!$E$2:$E$85,"*"&amp;A71&amp;"*",KnockoutGoals!$F$2:$F$85,B71))</f>
        <v>0</v>
      </c>
      <c r="E71">
        <f t="shared" si="1"/>
        <v>-7.0999999999999994E-2</v>
      </c>
    </row>
    <row r="72" spans="1:5" x14ac:dyDescent="0.3">
      <c r="A72" t="str">
        <f>IF(Players!E72="","",Players!E72)</f>
        <v>NICOLÒ POLITI</v>
      </c>
      <c r="B72" t="str">
        <f>IF(A72="","",Players!C72)</f>
        <v>Moviola Utd</v>
      </c>
      <c r="C72" t="str">
        <f>IF(A72="","",Players!G72)</f>
        <v>0 - NICOLÒ POLITI</v>
      </c>
      <c r="D72">
        <f>IF(A72="","",COUNTIFS(Goals!$D$2:$D$289,"Goal",Goals!$E$2:$E$289,"*"&amp;A72&amp;"*",Goals!$F$2:$F$289,B72)+COUNTIFS(KnockoutGoals!$D$2:$D$85,"Goal",KnockoutGoals!$E$2:$E$85,"*"&amp;A72&amp;"*",KnockoutGoals!$F$2:$F$85,B72))</f>
        <v>0</v>
      </c>
      <c r="E72">
        <f t="shared" si="1"/>
        <v>-7.1999999999999995E-2</v>
      </c>
    </row>
    <row r="73" spans="1:5" x14ac:dyDescent="0.3">
      <c r="A73" t="str">
        <f>IF(Players!E73="","",Players!E73)</f>
        <v>MATTEO SENO</v>
      </c>
      <c r="B73" t="str">
        <f>IF(A73="","",Players!C73)</f>
        <v>Moviola Utd</v>
      </c>
      <c r="C73" t="str">
        <f>IF(A73="","",Players!G73)</f>
        <v>0 - MATTEO SENO</v>
      </c>
      <c r="D73">
        <f>IF(A73="","",COUNTIFS(Goals!$D$2:$D$289,"Goal",Goals!$E$2:$E$289,"*"&amp;A73&amp;"*",Goals!$F$2:$F$289,B73)+COUNTIFS(KnockoutGoals!$D$2:$D$85,"Goal",KnockoutGoals!$E$2:$E$85,"*"&amp;A73&amp;"*",KnockoutGoals!$F$2:$F$85,B73))</f>
        <v>0</v>
      </c>
      <c r="E73">
        <f t="shared" si="1"/>
        <v>-7.2999999999999995E-2</v>
      </c>
    </row>
    <row r="74" spans="1:5" x14ac:dyDescent="0.3">
      <c r="A74" t="str">
        <f>IF(Players!E74="","",Players!E74)</f>
        <v>NICO PAVANI</v>
      </c>
      <c r="B74" t="str">
        <f>IF(A74="","",Players!C74)</f>
        <v>Moviola Utd</v>
      </c>
      <c r="C74" t="str">
        <f>IF(A74="","",Players!G74)</f>
        <v>0 - NICO PAVANI</v>
      </c>
      <c r="D74">
        <f>IF(A74="","",COUNTIFS(Goals!$D$2:$D$289,"Goal",Goals!$E$2:$E$289,"*"&amp;A74&amp;"*",Goals!$F$2:$F$289,B74)+COUNTIFS(KnockoutGoals!$D$2:$D$85,"Goal",KnockoutGoals!$E$2:$E$85,"*"&amp;A74&amp;"*",KnockoutGoals!$F$2:$F$85,B74))</f>
        <v>0</v>
      </c>
      <c r="E74">
        <f t="shared" si="1"/>
        <v>-7.3999999999999996E-2</v>
      </c>
    </row>
    <row r="75" spans="1:5" x14ac:dyDescent="0.3">
      <c r="A75" t="str">
        <f>IF(Players!E75="","",Players!E75)</f>
        <v/>
      </c>
      <c r="B75" t="str">
        <f>IF(A75="","",Players!C75)</f>
        <v/>
      </c>
      <c r="C75" t="str">
        <f>IF(A75="","",Players!G75)</f>
        <v/>
      </c>
      <c r="D75" t="str">
        <f>IF(A75="","",COUNTIFS(Goals!$D$2:$D$289,"Goal",Goals!$E$2:$E$289,"*"&amp;A75&amp;"*",Goals!$F$2:$F$289,B75)+COUNTIFS(KnockoutGoals!$D$2:$D$85,"Goal",KnockoutGoals!$E$2:$E$85,"*"&amp;A75&amp;"*",KnockoutGoals!$F$2:$F$85,B75))</f>
        <v/>
      </c>
      <c r="E75">
        <f t="shared" si="1"/>
        <v>0</v>
      </c>
    </row>
    <row r="76" spans="1:5" x14ac:dyDescent="0.3">
      <c r="A76" t="str">
        <f>IF(Players!E76="","",Players!E76)</f>
        <v/>
      </c>
      <c r="B76" t="str">
        <f>IF(A76="","",Players!C76)</f>
        <v/>
      </c>
      <c r="C76" t="str">
        <f>IF(A76="","",Players!G76)</f>
        <v/>
      </c>
      <c r="D76" t="str">
        <f>IF(A76="","",COUNTIFS(Goals!$D$2:$D$289,"Goal",Goals!$E$2:$E$289,"*"&amp;A76&amp;"*",Goals!$F$2:$F$289,B76)+COUNTIFS(KnockoutGoals!$D$2:$D$85,"Goal",KnockoutGoals!$E$2:$E$85,"*"&amp;A76&amp;"*",KnockoutGoals!$F$2:$F$85,B76))</f>
        <v/>
      </c>
      <c r="E76">
        <f t="shared" si="1"/>
        <v>0</v>
      </c>
    </row>
    <row r="77" spans="1:5" x14ac:dyDescent="0.3">
      <c r="A77" t="str">
        <f>IF(Players!E77="","",Players!E77)</f>
        <v/>
      </c>
      <c r="B77" t="str">
        <f>IF(A77="","",Players!C77)</f>
        <v/>
      </c>
      <c r="C77" t="str">
        <f>IF(A77="","",Players!G77)</f>
        <v/>
      </c>
      <c r="D77" t="str">
        <f>IF(A77="","",COUNTIFS(Goals!$D$2:$D$289,"Goal",Goals!$E$2:$E$289,"*"&amp;A77&amp;"*",Goals!$F$2:$F$289,B77)+COUNTIFS(KnockoutGoals!$D$2:$D$85,"Goal",KnockoutGoals!$E$2:$E$85,"*"&amp;A77&amp;"*",KnockoutGoals!$F$2:$F$85,B77))</f>
        <v/>
      </c>
      <c r="E77">
        <f t="shared" si="1"/>
        <v>0</v>
      </c>
    </row>
    <row r="78" spans="1:5" x14ac:dyDescent="0.3">
      <c r="A78" t="str">
        <f>IF(Players!E78="","",Players!E78)</f>
        <v/>
      </c>
      <c r="B78" t="str">
        <f>IF(A78="","",Players!C78)</f>
        <v/>
      </c>
      <c r="C78" t="str">
        <f>IF(A78="","",Players!G78)</f>
        <v/>
      </c>
      <c r="D78" t="str">
        <f>IF(A78="","",COUNTIFS(Goals!$D$2:$D$289,"Goal",Goals!$E$2:$E$289,"*"&amp;A78&amp;"*",Goals!$F$2:$F$289,B78)+COUNTIFS(KnockoutGoals!$D$2:$D$85,"Goal",KnockoutGoals!$E$2:$E$85,"*"&amp;A78&amp;"*",KnockoutGoals!$F$2:$F$85,B78))</f>
        <v/>
      </c>
      <c r="E78">
        <f t="shared" si="1"/>
        <v>0</v>
      </c>
    </row>
    <row r="79" spans="1:5" x14ac:dyDescent="0.3">
      <c r="A79" t="str">
        <f>IF(Players!E79="","",Players!E79)</f>
        <v/>
      </c>
      <c r="B79" t="str">
        <f>IF(A79="","",Players!C79)</f>
        <v/>
      </c>
      <c r="C79" t="str">
        <f>IF(A79="","",Players!G79)</f>
        <v/>
      </c>
      <c r="D79" t="str">
        <f>IF(A79="","",COUNTIFS(Goals!$D$2:$D$289,"Goal",Goals!$E$2:$E$289,"*"&amp;A79&amp;"*",Goals!$F$2:$F$289,B79)+COUNTIFS(KnockoutGoals!$D$2:$D$85,"Goal",KnockoutGoals!$E$2:$E$85,"*"&amp;A79&amp;"*",KnockoutGoals!$F$2:$F$85,B79))</f>
        <v/>
      </c>
      <c r="E79">
        <f t="shared" si="1"/>
        <v>0</v>
      </c>
    </row>
    <row r="80" spans="1:5" x14ac:dyDescent="0.3">
      <c r="A80" t="str">
        <f>IF(Players!E80="","",Players!E80)</f>
        <v/>
      </c>
      <c r="B80" t="str">
        <f>IF(A80="","",Players!C80)</f>
        <v/>
      </c>
      <c r="C80" t="str">
        <f>IF(A80="","",Players!G80)</f>
        <v/>
      </c>
      <c r="D80" t="str">
        <f>IF(A80="","",COUNTIFS(Goals!$D$2:$D$289,"Goal",Goals!$E$2:$E$289,"*"&amp;A80&amp;"*",Goals!$F$2:$F$289,B80)+COUNTIFS(KnockoutGoals!$D$2:$D$85,"Goal",KnockoutGoals!$E$2:$E$85,"*"&amp;A80&amp;"*",KnockoutGoals!$F$2:$F$85,B80))</f>
        <v/>
      </c>
      <c r="E80">
        <f t="shared" si="1"/>
        <v>0</v>
      </c>
    </row>
    <row r="81" spans="1:5" x14ac:dyDescent="0.3">
      <c r="A81" t="str">
        <f>IF(Players!E81="","",Players!E81)</f>
        <v/>
      </c>
      <c r="B81" t="str">
        <f>IF(A81="","",Players!C81)</f>
        <v/>
      </c>
      <c r="C81" t="str">
        <f>IF(A81="","",Players!G81)</f>
        <v/>
      </c>
      <c r="D81" t="str">
        <f>IF(A81="","",COUNTIFS(Goals!$D$2:$D$289,"Goal",Goals!$E$2:$E$289,"*"&amp;A81&amp;"*",Goals!$F$2:$F$289,B81)+COUNTIFS(KnockoutGoals!$D$2:$D$85,"Goal",KnockoutGoals!$E$2:$E$85,"*"&amp;A81&amp;"*",KnockoutGoals!$F$2:$F$85,B81))</f>
        <v/>
      </c>
      <c r="E81">
        <f t="shared" si="1"/>
        <v>0</v>
      </c>
    </row>
    <row r="82" spans="1:5" x14ac:dyDescent="0.3">
      <c r="A82" t="str">
        <f>IF(Players!E82="","",Players!E82)</f>
        <v/>
      </c>
      <c r="B82" t="str">
        <f>IF(A82="","",Players!C82)</f>
        <v/>
      </c>
      <c r="C82" t="str">
        <f>IF(A82="","",Players!G82)</f>
        <v/>
      </c>
      <c r="D82" t="str">
        <f>IF(A82="","",COUNTIFS(Goals!$D$2:$D$289,"Goal",Goals!$E$2:$E$289,"*"&amp;A82&amp;"*",Goals!$F$2:$F$289,B82)+COUNTIFS(KnockoutGoals!$D$2:$D$85,"Goal",KnockoutGoals!$E$2:$E$85,"*"&amp;A82&amp;"*",KnockoutGoals!$F$2:$F$85,B82))</f>
        <v/>
      </c>
      <c r="E82">
        <f t="shared" si="1"/>
        <v>0</v>
      </c>
    </row>
    <row r="83" spans="1:5" x14ac:dyDescent="0.3">
      <c r="A83" t="str">
        <f>IF(Players!E83="","",Players!E83)</f>
        <v/>
      </c>
      <c r="B83" t="str">
        <f>IF(A83="","",Players!C83)</f>
        <v/>
      </c>
      <c r="C83" t="str">
        <f>IF(A83="","",Players!G83)</f>
        <v/>
      </c>
      <c r="D83" t="str">
        <f>IF(A83="","",COUNTIFS(Goals!$D$2:$D$289,"Goal",Goals!$E$2:$E$289,"*"&amp;A83&amp;"*",Goals!$F$2:$F$289,B83)+COUNTIFS(KnockoutGoals!$D$2:$D$85,"Goal",KnockoutGoals!$E$2:$E$85,"*"&amp;A83&amp;"*",KnockoutGoals!$F$2:$F$85,B83))</f>
        <v/>
      </c>
      <c r="E83">
        <f t="shared" si="1"/>
        <v>0</v>
      </c>
    </row>
    <row r="84" spans="1:5" x14ac:dyDescent="0.3">
      <c r="A84" t="str">
        <f>IF(Players!E84="","",Players!E84)</f>
        <v/>
      </c>
      <c r="B84" t="str">
        <f>IF(A84="","",Players!C84)</f>
        <v/>
      </c>
      <c r="C84" t="str">
        <f>IF(A84="","",Players!G84)</f>
        <v/>
      </c>
      <c r="D84" t="str">
        <f>IF(A84="","",COUNTIFS(Goals!$D$2:$D$289,"Goal",Goals!$E$2:$E$289,"*"&amp;A84&amp;"*",Goals!$F$2:$F$289,B84)+COUNTIFS(KnockoutGoals!$D$2:$D$85,"Goal",KnockoutGoals!$E$2:$E$85,"*"&amp;A84&amp;"*",KnockoutGoals!$F$2:$F$85,B84))</f>
        <v/>
      </c>
      <c r="E84">
        <f t="shared" si="1"/>
        <v>0</v>
      </c>
    </row>
    <row r="85" spans="1:5" x14ac:dyDescent="0.3">
      <c r="A85" t="str">
        <f>IF(Players!E85="","",Players!E85)</f>
        <v/>
      </c>
      <c r="B85" t="str">
        <f>IF(A85="","",Players!C85)</f>
        <v/>
      </c>
      <c r="C85" t="str">
        <f>IF(A85="","",Players!G85)</f>
        <v/>
      </c>
      <c r="D85" t="str">
        <f>IF(A85="","",COUNTIFS(Goals!$D$2:$D$289,"Goal",Goals!$E$2:$E$289,"*"&amp;A85&amp;"*",Goals!$F$2:$F$289,B85)+COUNTIFS(KnockoutGoals!$D$2:$D$85,"Goal",KnockoutGoals!$E$2:$E$85,"*"&amp;A85&amp;"*",KnockoutGoals!$F$2:$F$85,B85))</f>
        <v/>
      </c>
      <c r="E85">
        <f t="shared" si="1"/>
        <v>0</v>
      </c>
    </row>
    <row r="86" spans="1:5" x14ac:dyDescent="0.3">
      <c r="A86" t="str">
        <f>IF(Players!E86="","",Players!E86)</f>
        <v/>
      </c>
      <c r="B86" t="str">
        <f>IF(A86="","",Players!C86)</f>
        <v/>
      </c>
      <c r="C86" t="str">
        <f>IF(A86="","",Players!G86)</f>
        <v/>
      </c>
      <c r="D86" t="str">
        <f>IF(A86="","",COUNTIFS(Goals!$D$2:$D$289,"Goal",Goals!$E$2:$E$289,"*"&amp;A86&amp;"*",Goals!$F$2:$F$289,B86)+COUNTIFS(KnockoutGoals!$D$2:$D$85,"Goal",KnockoutGoals!$E$2:$E$85,"*"&amp;A86&amp;"*",KnockoutGoals!$F$2:$F$85,B86))</f>
        <v/>
      </c>
      <c r="E86">
        <f t="shared" si="1"/>
        <v>0</v>
      </c>
    </row>
    <row r="87" spans="1:5" x14ac:dyDescent="0.3">
      <c r="A87" t="str">
        <f>IF(Players!E87="","",Players!E87)</f>
        <v/>
      </c>
      <c r="B87" t="str">
        <f>IF(A87="","",Players!C87)</f>
        <v/>
      </c>
      <c r="C87" t="str">
        <f>IF(A87="","",Players!G87)</f>
        <v/>
      </c>
      <c r="D87" t="str">
        <f>IF(A87="","",COUNTIFS(Goals!$D$2:$D$289,"Goal",Goals!$E$2:$E$289,"*"&amp;A87&amp;"*",Goals!$F$2:$F$289,B87)+COUNTIFS(KnockoutGoals!$D$2:$D$85,"Goal",KnockoutGoals!$E$2:$E$85,"*"&amp;A87&amp;"*",KnockoutGoals!$F$2:$F$85,B87))</f>
        <v/>
      </c>
      <c r="E87">
        <f t="shared" si="1"/>
        <v>0</v>
      </c>
    </row>
    <row r="88" spans="1:5" x14ac:dyDescent="0.3">
      <c r="A88" t="str">
        <f>IF(Players!E88="","",Players!E88)</f>
        <v/>
      </c>
      <c r="B88" t="str">
        <f>IF(A88="","",Players!C88)</f>
        <v/>
      </c>
      <c r="C88" t="str">
        <f>IF(A88="","",Players!G88)</f>
        <v/>
      </c>
      <c r="D88" t="str">
        <f>IF(A88="","",COUNTIFS(Goals!$D$2:$D$289,"Goal",Goals!$E$2:$E$289,"*"&amp;A88&amp;"*",Goals!$F$2:$F$289,B88)+COUNTIFS(KnockoutGoals!$D$2:$D$85,"Goal",KnockoutGoals!$E$2:$E$85,"*"&amp;A88&amp;"*",KnockoutGoals!$F$2:$F$85,B88))</f>
        <v/>
      </c>
      <c r="E88">
        <f t="shared" si="1"/>
        <v>0</v>
      </c>
    </row>
    <row r="89" spans="1:5" x14ac:dyDescent="0.3">
      <c r="A89" t="str">
        <f>IF(Players!E89="","",Players!E89)</f>
        <v/>
      </c>
      <c r="B89" t="str">
        <f>IF(A89="","",Players!C89)</f>
        <v/>
      </c>
      <c r="C89" t="str">
        <f>IF(A89="","",Players!G89)</f>
        <v/>
      </c>
      <c r="D89" t="str">
        <f>IF(A89="","",COUNTIFS(Goals!$D$2:$D$289,"Goal",Goals!$E$2:$E$289,"*"&amp;A89&amp;"*",Goals!$F$2:$F$289,B89)+COUNTIFS(KnockoutGoals!$D$2:$D$85,"Goal",KnockoutGoals!$E$2:$E$85,"*"&amp;A89&amp;"*",KnockoutGoals!$F$2:$F$85,B89))</f>
        <v/>
      </c>
      <c r="E89">
        <f t="shared" si="1"/>
        <v>0</v>
      </c>
    </row>
    <row r="90" spans="1:5" x14ac:dyDescent="0.3">
      <c r="A90" t="str">
        <f>IF(Players!E90="","",Players!E90)</f>
        <v/>
      </c>
      <c r="B90" t="str">
        <f>IF(A90="","",Players!C90)</f>
        <v/>
      </c>
      <c r="C90" t="str">
        <f>IF(A90="","",Players!G90)</f>
        <v/>
      </c>
      <c r="D90" t="str">
        <f>IF(A90="","",COUNTIFS(Goals!$D$2:$D$289,"Goal",Goals!$E$2:$E$289,"*"&amp;A90&amp;"*",Goals!$F$2:$F$289,B90)+COUNTIFS(KnockoutGoals!$D$2:$D$85,"Goal",KnockoutGoals!$E$2:$E$85,"*"&amp;A90&amp;"*",KnockoutGoals!$F$2:$F$85,B90))</f>
        <v/>
      </c>
      <c r="E90">
        <f t="shared" si="1"/>
        <v>0</v>
      </c>
    </row>
    <row r="91" spans="1:5" x14ac:dyDescent="0.3">
      <c r="A91" t="str">
        <f>IF(Players!E91="","",Players!E91)</f>
        <v/>
      </c>
      <c r="B91" t="str">
        <f>IF(A91="","",Players!C91)</f>
        <v/>
      </c>
      <c r="C91" t="str">
        <f>IF(A91="","",Players!G91)</f>
        <v/>
      </c>
      <c r="D91" t="str">
        <f>IF(A91="","",COUNTIFS(Goals!$D$2:$D$289,"Goal",Goals!$E$2:$E$289,"*"&amp;A91&amp;"*",Goals!$F$2:$F$289,B91)+COUNTIFS(KnockoutGoals!$D$2:$D$85,"Goal",KnockoutGoals!$E$2:$E$85,"*"&amp;A91&amp;"*",KnockoutGoals!$F$2:$F$85,B91))</f>
        <v/>
      </c>
      <c r="E91">
        <f t="shared" si="1"/>
        <v>0</v>
      </c>
    </row>
    <row r="92" spans="1:5" x14ac:dyDescent="0.3">
      <c r="A92" t="str">
        <f>IF(Players!E92="","",Players!E92)</f>
        <v>NICOLAS ANDRIOTTO</v>
      </c>
      <c r="B92" t="str">
        <f>IF(A92="","",Players!C92)</f>
        <v>Astolfi Impianti Elettrici</v>
      </c>
      <c r="C92" t="str">
        <f>IF(A92="","",Players!G92)</f>
        <v>1 - NICOLAS ANDRIOTTO</v>
      </c>
      <c r="D92">
        <f>IF(A92="","",COUNTIFS(Goals!$D$2:$D$289,"Goal",Goals!$E$2:$E$289,"*"&amp;A92&amp;"*",Goals!$F$2:$F$289,B92)+COUNTIFS(KnockoutGoals!$D$2:$D$85,"Goal",KnockoutGoals!$E$2:$E$85,"*"&amp;A92&amp;"*",KnockoutGoals!$F$2:$F$85,B92))</f>
        <v>0</v>
      </c>
      <c r="E92">
        <f t="shared" si="1"/>
        <v>-9.1999999999999998E-2</v>
      </c>
    </row>
    <row r="93" spans="1:5" x14ac:dyDescent="0.3">
      <c r="A93" t="str">
        <f>IF(Players!E93="","",Players!E93)</f>
        <v>GIANLUCA PAVAN</v>
      </c>
      <c r="B93" t="str">
        <f>IF(A93="","",Players!C93)</f>
        <v>Astolfi Impianti Elettrici</v>
      </c>
      <c r="C93" t="str">
        <f>IF(A93="","",Players!G93)</f>
        <v>4 - GIANLUCA PAVAN</v>
      </c>
      <c r="D93">
        <f>IF(A93="","",COUNTIFS(Goals!$D$2:$D$289,"Goal",Goals!$E$2:$E$289,"*"&amp;A93&amp;"*",Goals!$F$2:$F$289,B93)+COUNTIFS(KnockoutGoals!$D$2:$D$85,"Goal",KnockoutGoals!$E$2:$E$85,"*"&amp;A93&amp;"*",KnockoutGoals!$F$2:$F$85,B93))</f>
        <v>0</v>
      </c>
      <c r="E93">
        <f t="shared" si="1"/>
        <v>-9.2999999999999999E-2</v>
      </c>
    </row>
    <row r="94" spans="1:5" x14ac:dyDescent="0.3">
      <c r="A94" t="str">
        <f>IF(Players!E94="","",Players!E94)</f>
        <v>NICOLA CAVALLIERI</v>
      </c>
      <c r="B94" t="str">
        <f>IF(A94="","",Players!C94)</f>
        <v>Astolfi Impianti Elettrici</v>
      </c>
      <c r="C94" t="str">
        <f>IF(A94="","",Players!G94)</f>
        <v>6 - NICOLA CAVALLIERI</v>
      </c>
      <c r="D94">
        <f>IF(A94="","",COUNTIFS(Goals!$D$2:$D$289,"Goal",Goals!$E$2:$E$289,"*"&amp;A94&amp;"*",Goals!$F$2:$F$289,B94)+COUNTIFS(KnockoutGoals!$D$2:$D$85,"Goal",KnockoutGoals!$E$2:$E$85,"*"&amp;A94&amp;"*",KnockoutGoals!$F$2:$F$85,B94))</f>
        <v>0</v>
      </c>
      <c r="E94">
        <f t="shared" si="1"/>
        <v>-9.4E-2</v>
      </c>
    </row>
    <row r="95" spans="1:5" x14ac:dyDescent="0.3">
      <c r="A95" t="str">
        <f>IF(Players!E95="","",Players!E95)</f>
        <v>ALBAN AHMATI</v>
      </c>
      <c r="B95" t="str">
        <f>IF(A95="","",Players!C95)</f>
        <v>Astolfi Impianti Elettrici</v>
      </c>
      <c r="C95" t="str">
        <f>IF(A95="","",Players!G95)</f>
        <v>7 - ALBAN AHMATI</v>
      </c>
      <c r="D95">
        <f>IF(A95="","",COUNTIFS(Goals!$D$2:$D$289,"Goal",Goals!$E$2:$E$289,"*"&amp;A95&amp;"*",Goals!$F$2:$F$289,B95)+COUNTIFS(KnockoutGoals!$D$2:$D$85,"Goal",KnockoutGoals!$E$2:$E$85,"*"&amp;A95&amp;"*",KnockoutGoals!$F$2:$F$85,B95))</f>
        <v>0</v>
      </c>
      <c r="E95">
        <f t="shared" si="1"/>
        <v>-9.5000000000000001E-2</v>
      </c>
    </row>
    <row r="96" spans="1:5" x14ac:dyDescent="0.3">
      <c r="A96" t="str">
        <f>IF(Players!E96="","",Players!E96)</f>
        <v>MARCO PREVIATO</v>
      </c>
      <c r="B96" t="str">
        <f>IF(A96="","",Players!C96)</f>
        <v>Astolfi Impianti Elettrici</v>
      </c>
      <c r="C96" t="str">
        <f>IF(A96="","",Players!G96)</f>
        <v>8 - MARCO PREVIATO</v>
      </c>
      <c r="D96">
        <f>IF(A96="","",COUNTIFS(Goals!$D$2:$D$289,"Goal",Goals!$E$2:$E$289,"*"&amp;A96&amp;"*",Goals!$F$2:$F$289,B96)+COUNTIFS(KnockoutGoals!$D$2:$D$85,"Goal",KnockoutGoals!$E$2:$E$85,"*"&amp;A96&amp;"*",KnockoutGoals!$F$2:$F$85,B96))</f>
        <v>0</v>
      </c>
      <c r="E96">
        <f t="shared" si="1"/>
        <v>-9.6000000000000002E-2</v>
      </c>
    </row>
    <row r="97" spans="1:5" x14ac:dyDescent="0.3">
      <c r="A97" t="str">
        <f>IF(Players!E97="","",Players!E97)</f>
        <v>LUCA SIMEONE</v>
      </c>
      <c r="B97" t="str">
        <f>IF(A97="","",Players!C97)</f>
        <v>Astolfi Impianti Elettrici</v>
      </c>
      <c r="C97" t="str">
        <f>IF(A97="","",Players!G97)</f>
        <v>9 - LUCA SIMEONE</v>
      </c>
      <c r="D97">
        <f>IF(A97="","",COUNTIFS(Goals!$D$2:$D$289,"Goal",Goals!$E$2:$E$289,"*"&amp;A97&amp;"*",Goals!$F$2:$F$289,B97)+COUNTIFS(KnockoutGoals!$D$2:$D$85,"Goal",KnockoutGoals!$E$2:$E$85,"*"&amp;A97&amp;"*",KnockoutGoals!$F$2:$F$85,B97))</f>
        <v>0</v>
      </c>
      <c r="E97">
        <f t="shared" si="1"/>
        <v>-9.7000000000000003E-2</v>
      </c>
    </row>
    <row r="98" spans="1:5" x14ac:dyDescent="0.3">
      <c r="A98" t="str">
        <f>IF(Players!E98="","",Players!E98)</f>
        <v>ELIA NAGLIERI</v>
      </c>
      <c r="B98" t="str">
        <f>IF(A98="","",Players!C98)</f>
        <v>Astolfi Impianti Elettrici</v>
      </c>
      <c r="C98" t="str">
        <f>IF(A98="","",Players!G98)</f>
        <v>10 - ELIA NAGLIERI</v>
      </c>
      <c r="D98">
        <f>IF(A98="","",COUNTIFS(Goals!$D$2:$D$289,"Goal",Goals!$E$2:$E$289,"*"&amp;A98&amp;"*",Goals!$F$2:$F$289,B98)+COUNTIFS(KnockoutGoals!$D$2:$D$85,"Goal",KnockoutGoals!$E$2:$E$85,"*"&amp;A98&amp;"*",KnockoutGoals!$F$2:$F$85,B98))</f>
        <v>0</v>
      </c>
      <c r="E98">
        <f t="shared" si="1"/>
        <v>-9.8000000000000004E-2</v>
      </c>
    </row>
    <row r="99" spans="1:5" x14ac:dyDescent="0.3">
      <c r="A99" t="str">
        <f>IF(Players!E99="","",Players!E99)</f>
        <v>FILIPPO ZANINI</v>
      </c>
      <c r="B99" t="str">
        <f>IF(A99="","",Players!C99)</f>
        <v>Astolfi Impianti Elettrici</v>
      </c>
      <c r="C99" t="str">
        <f>IF(A99="","",Players!G99)</f>
        <v>11 - FILIPPO ZANINI (C)</v>
      </c>
      <c r="D99">
        <f>IF(A99="","",COUNTIFS(Goals!$D$2:$D$289,"Goal",Goals!$E$2:$E$289,"*"&amp;A99&amp;"*",Goals!$F$2:$F$289,B99)+COUNTIFS(KnockoutGoals!$D$2:$D$85,"Goal",KnockoutGoals!$E$2:$E$85,"*"&amp;A99&amp;"*",KnockoutGoals!$F$2:$F$85,B99))</f>
        <v>0</v>
      </c>
      <c r="E99">
        <f t="shared" si="1"/>
        <v>-9.9000000000000005E-2</v>
      </c>
    </row>
    <row r="100" spans="1:5" x14ac:dyDescent="0.3">
      <c r="A100" t="str">
        <f>IF(Players!E100="","",Players!E100)</f>
        <v>ALBERTO MUNERATO</v>
      </c>
      <c r="B100" t="str">
        <f>IF(A100="","",Players!C100)</f>
        <v>Astolfi Impianti Elettrici</v>
      </c>
      <c r="C100" t="str">
        <f>IF(A100="","",Players!G100)</f>
        <v>14 - ALBERTO MUNERATO</v>
      </c>
      <c r="D100">
        <f>IF(A100="","",COUNTIFS(Goals!$D$2:$D$289,"Goal",Goals!$E$2:$E$289,"*"&amp;A100&amp;"*",Goals!$F$2:$F$289,B100)+COUNTIFS(KnockoutGoals!$D$2:$D$85,"Goal",KnockoutGoals!$E$2:$E$85,"*"&amp;A100&amp;"*",KnockoutGoals!$F$2:$F$85,B100))</f>
        <v>0</v>
      </c>
      <c r="E100">
        <f t="shared" si="1"/>
        <v>-0.1</v>
      </c>
    </row>
    <row r="101" spans="1:5" x14ac:dyDescent="0.3">
      <c r="A101" t="str">
        <f>IF(Players!E101="","",Players!E101)</f>
        <v/>
      </c>
      <c r="B101" t="str">
        <f>IF(A101="","",Players!C101)</f>
        <v/>
      </c>
      <c r="C101" t="str">
        <f>IF(A101="","",Players!G101)</f>
        <v/>
      </c>
      <c r="D101" t="str">
        <f>IF(A101="","",COUNTIFS(Goals!$D$2:$D$289,"Goal",Goals!$E$2:$E$289,"*"&amp;A101&amp;"*",Goals!$F$2:$F$289,B101)+COUNTIFS(KnockoutGoals!$D$2:$D$85,"Goal",KnockoutGoals!$E$2:$E$85,"*"&amp;A101&amp;"*",KnockoutGoals!$F$2:$F$85,B101))</f>
        <v/>
      </c>
      <c r="E101">
        <f t="shared" si="1"/>
        <v>0</v>
      </c>
    </row>
    <row r="102" spans="1:5" x14ac:dyDescent="0.3">
      <c r="A102" t="str">
        <f>IF(Players!E102="","",Players!E102)</f>
        <v/>
      </c>
      <c r="B102" t="str">
        <f>IF(A102="","",Players!C102)</f>
        <v/>
      </c>
      <c r="C102" t="str">
        <f>IF(A102="","",Players!G102)</f>
        <v/>
      </c>
      <c r="D102" t="str">
        <f>IF(A102="","",COUNTIFS(Goals!$D$2:$D$289,"Goal",Goals!$E$2:$E$289,"*"&amp;A102&amp;"*",Goals!$F$2:$F$289,B102)+COUNTIFS(KnockoutGoals!$D$2:$D$85,"Goal",KnockoutGoals!$E$2:$E$85,"*"&amp;A102&amp;"*",KnockoutGoals!$F$2:$F$85,B102))</f>
        <v/>
      </c>
      <c r="E102">
        <f t="shared" si="1"/>
        <v>0</v>
      </c>
    </row>
    <row r="103" spans="1:5" x14ac:dyDescent="0.3">
      <c r="A103" t="str">
        <f>IF(Players!E103="","",Players!E103)</f>
        <v/>
      </c>
      <c r="B103" t="str">
        <f>IF(A103="","",Players!C103)</f>
        <v/>
      </c>
      <c r="C103" t="str">
        <f>IF(A103="","",Players!G103)</f>
        <v/>
      </c>
      <c r="D103" t="str">
        <f>IF(A103="","",COUNTIFS(Goals!$D$2:$D$289,"Goal",Goals!$E$2:$E$289,"*"&amp;A103&amp;"*",Goals!$F$2:$F$289,B103)+COUNTIFS(KnockoutGoals!$D$2:$D$85,"Goal",KnockoutGoals!$E$2:$E$85,"*"&amp;A103&amp;"*",KnockoutGoals!$F$2:$F$85,B103))</f>
        <v/>
      </c>
      <c r="E103">
        <f t="shared" si="1"/>
        <v>0</v>
      </c>
    </row>
    <row r="104" spans="1:5" x14ac:dyDescent="0.3">
      <c r="A104" t="str">
        <f>IF(Players!E104="","",Players!E104)</f>
        <v/>
      </c>
      <c r="B104" t="str">
        <f>IF(A104="","",Players!C104)</f>
        <v/>
      </c>
      <c r="C104" t="str">
        <f>IF(A104="","",Players!G104)</f>
        <v/>
      </c>
      <c r="D104" t="str">
        <f>IF(A104="","",COUNTIFS(Goals!$D$2:$D$289,"Goal",Goals!$E$2:$E$289,"*"&amp;A104&amp;"*",Goals!$F$2:$F$289,B104)+COUNTIFS(KnockoutGoals!$D$2:$D$85,"Goal",KnockoutGoals!$E$2:$E$85,"*"&amp;A104&amp;"*",KnockoutGoals!$F$2:$F$85,B104))</f>
        <v/>
      </c>
      <c r="E104">
        <f t="shared" si="1"/>
        <v>0</v>
      </c>
    </row>
    <row r="105" spans="1:5" x14ac:dyDescent="0.3">
      <c r="A105" t="str">
        <f>IF(Players!E105="","",Players!E105)</f>
        <v/>
      </c>
      <c r="B105" t="str">
        <f>IF(A105="","",Players!C105)</f>
        <v/>
      </c>
      <c r="C105" t="str">
        <f>IF(A105="","",Players!G105)</f>
        <v/>
      </c>
      <c r="D105" t="str">
        <f>IF(A105="","",COUNTIFS(Goals!$D$2:$D$289,"Goal",Goals!$E$2:$E$289,"*"&amp;A105&amp;"*",Goals!$F$2:$F$289,B105)+COUNTIFS(KnockoutGoals!$D$2:$D$85,"Goal",KnockoutGoals!$E$2:$E$85,"*"&amp;A105&amp;"*",KnockoutGoals!$F$2:$F$85,B105))</f>
        <v/>
      </c>
      <c r="E105">
        <f t="shared" si="1"/>
        <v>0</v>
      </c>
    </row>
    <row r="106" spans="1:5" x14ac:dyDescent="0.3">
      <c r="A106" t="str">
        <f>IF(Players!E106="","",Players!E106)</f>
        <v/>
      </c>
      <c r="B106" t="str">
        <f>IF(A106="","",Players!C106)</f>
        <v/>
      </c>
      <c r="C106" t="str">
        <f>IF(A106="","",Players!G106)</f>
        <v/>
      </c>
      <c r="D106" t="str">
        <f>IF(A106="","",COUNTIFS(Goals!$D$2:$D$289,"Goal",Goals!$E$2:$E$289,"*"&amp;A106&amp;"*",Goals!$F$2:$F$289,B106)+COUNTIFS(KnockoutGoals!$D$2:$D$85,"Goal",KnockoutGoals!$E$2:$E$85,"*"&amp;A106&amp;"*",KnockoutGoals!$F$2:$F$85,B106))</f>
        <v/>
      </c>
      <c r="E106">
        <f t="shared" si="1"/>
        <v>0</v>
      </c>
    </row>
    <row r="107" spans="1:5" x14ac:dyDescent="0.3">
      <c r="A107" t="str">
        <f>IF(Players!E107="","",Players!E107)</f>
        <v/>
      </c>
      <c r="B107" t="str">
        <f>IF(A107="","",Players!C107)</f>
        <v/>
      </c>
      <c r="C107" t="str">
        <f>IF(A107="","",Players!G107)</f>
        <v/>
      </c>
      <c r="D107" t="str">
        <f>IF(A107="","",COUNTIFS(Goals!$D$2:$D$289,"Goal",Goals!$E$2:$E$289,"*"&amp;A107&amp;"*",Goals!$F$2:$F$289,B107)+COUNTIFS(KnockoutGoals!$D$2:$D$85,"Goal",KnockoutGoals!$E$2:$E$85,"*"&amp;A107&amp;"*",KnockoutGoals!$F$2:$F$85,B107))</f>
        <v/>
      </c>
      <c r="E107">
        <f t="shared" si="1"/>
        <v>0</v>
      </c>
    </row>
    <row r="108" spans="1:5" x14ac:dyDescent="0.3">
      <c r="A108" t="str">
        <f>IF(Players!E108="","",Players!E108)</f>
        <v/>
      </c>
      <c r="B108" t="str">
        <f>IF(A108="","",Players!C108)</f>
        <v/>
      </c>
      <c r="C108" t="str">
        <f>IF(A108="","",Players!G108)</f>
        <v/>
      </c>
      <c r="D108" t="str">
        <f>IF(A108="","",COUNTIFS(Goals!$D$2:$D$289,"Goal",Goals!$E$2:$E$289,"*"&amp;A108&amp;"*",Goals!$F$2:$F$289,B108)+COUNTIFS(KnockoutGoals!$D$2:$D$85,"Goal",KnockoutGoals!$E$2:$E$85,"*"&amp;A108&amp;"*",KnockoutGoals!$F$2:$F$85,B108))</f>
        <v/>
      </c>
      <c r="E108">
        <f t="shared" si="1"/>
        <v>0</v>
      </c>
    </row>
    <row r="109" spans="1:5" x14ac:dyDescent="0.3">
      <c r="A109" t="str">
        <f>IF(Players!E109="","",Players!E109)</f>
        <v/>
      </c>
      <c r="B109" t="str">
        <f>IF(A109="","",Players!C109)</f>
        <v/>
      </c>
      <c r="C109" t="str">
        <f>IF(A109="","",Players!G109)</f>
        <v/>
      </c>
      <c r="D109" t="str">
        <f>IF(A109="","",COUNTIFS(Goals!$D$2:$D$289,"Goal",Goals!$E$2:$E$289,"*"&amp;A109&amp;"*",Goals!$F$2:$F$289,B109)+COUNTIFS(KnockoutGoals!$D$2:$D$85,"Goal",KnockoutGoals!$E$2:$E$85,"*"&amp;A109&amp;"*",KnockoutGoals!$F$2:$F$85,B109))</f>
        <v/>
      </c>
      <c r="E109">
        <f t="shared" si="1"/>
        <v>0</v>
      </c>
    </row>
    <row r="110" spans="1:5" x14ac:dyDescent="0.3">
      <c r="A110" t="str">
        <f>IF(Players!E110="","",Players!E110)</f>
        <v/>
      </c>
      <c r="B110" t="str">
        <f>IF(A110="","",Players!C110)</f>
        <v/>
      </c>
      <c r="C110" t="str">
        <f>IF(A110="","",Players!G110)</f>
        <v/>
      </c>
      <c r="D110" t="str">
        <f>IF(A110="","",COUNTIFS(Goals!$D$2:$D$289,"Goal",Goals!$E$2:$E$289,"*"&amp;A110&amp;"*",Goals!$F$2:$F$289,B110)+COUNTIFS(KnockoutGoals!$D$2:$D$85,"Goal",KnockoutGoals!$E$2:$E$85,"*"&amp;A110&amp;"*",KnockoutGoals!$F$2:$F$85,B110))</f>
        <v/>
      </c>
      <c r="E110">
        <f t="shared" si="1"/>
        <v>0</v>
      </c>
    </row>
    <row r="111" spans="1:5" x14ac:dyDescent="0.3">
      <c r="A111" t="str">
        <f>IF(Players!E111="","",Players!E111)</f>
        <v/>
      </c>
      <c r="B111" t="str">
        <f>IF(A111="","",Players!C111)</f>
        <v/>
      </c>
      <c r="C111" t="str">
        <f>IF(A111="","",Players!G111)</f>
        <v/>
      </c>
      <c r="D111" t="str">
        <f>IF(A111="","",COUNTIFS(Goals!$D$2:$D$289,"Goal",Goals!$E$2:$E$289,"*"&amp;A111&amp;"*",Goals!$F$2:$F$289,B111)+COUNTIFS(KnockoutGoals!$D$2:$D$85,"Goal",KnockoutGoals!$E$2:$E$85,"*"&amp;A111&amp;"*",KnockoutGoals!$F$2:$F$85,B111))</f>
        <v/>
      </c>
      <c r="E111">
        <f t="shared" si="1"/>
        <v>0</v>
      </c>
    </row>
    <row r="112" spans="1:5" x14ac:dyDescent="0.3">
      <c r="A112" t="str">
        <f>IF(Players!E112="","",Players!E112)</f>
        <v/>
      </c>
      <c r="B112" t="str">
        <f>IF(A112="","",Players!C112)</f>
        <v/>
      </c>
      <c r="C112" t="str">
        <f>IF(A112="","",Players!G112)</f>
        <v/>
      </c>
      <c r="D112" t="str">
        <f>IF(A112="","",COUNTIFS(Goals!$D$2:$D$289,"Goal",Goals!$E$2:$E$289,"*"&amp;A112&amp;"*",Goals!$F$2:$F$289,B112)+COUNTIFS(KnockoutGoals!$D$2:$D$85,"Goal",KnockoutGoals!$E$2:$E$85,"*"&amp;A112&amp;"*",KnockoutGoals!$F$2:$F$85,B112))</f>
        <v/>
      </c>
      <c r="E112">
        <f t="shared" si="1"/>
        <v>0</v>
      </c>
    </row>
    <row r="113" spans="1:5" x14ac:dyDescent="0.3">
      <c r="A113" t="str">
        <f>IF(Players!E113="","",Players!E113)</f>
        <v/>
      </c>
      <c r="B113" t="str">
        <f>IF(A113="","",Players!C113)</f>
        <v/>
      </c>
      <c r="C113" t="str">
        <f>IF(A113="","",Players!G113)</f>
        <v/>
      </c>
      <c r="D113" t="str">
        <f>IF(A113="","",COUNTIFS(Goals!$D$2:$D$289,"Goal",Goals!$E$2:$E$289,"*"&amp;A113&amp;"*",Goals!$F$2:$F$289,B113)+COUNTIFS(KnockoutGoals!$D$2:$D$85,"Goal",KnockoutGoals!$E$2:$E$85,"*"&amp;A113&amp;"*",KnockoutGoals!$F$2:$F$85,B113))</f>
        <v/>
      </c>
      <c r="E113">
        <f t="shared" si="1"/>
        <v>0</v>
      </c>
    </row>
    <row r="114" spans="1:5" x14ac:dyDescent="0.3">
      <c r="A114" t="str">
        <f>IF(Players!E114="","",Players!E114)</f>
        <v/>
      </c>
      <c r="B114" t="str">
        <f>IF(A114="","",Players!C114)</f>
        <v/>
      </c>
      <c r="C114" t="str">
        <f>IF(A114="","",Players!G114)</f>
        <v/>
      </c>
      <c r="D114" t="str">
        <f>IF(A114="","",COUNTIFS(Goals!$D$2:$D$289,"Goal",Goals!$E$2:$E$289,"*"&amp;A114&amp;"*",Goals!$F$2:$F$289,B114)+COUNTIFS(KnockoutGoals!$D$2:$D$85,"Goal",KnockoutGoals!$E$2:$E$85,"*"&amp;A114&amp;"*",KnockoutGoals!$F$2:$F$85,B114))</f>
        <v/>
      </c>
      <c r="E114">
        <f t="shared" si="1"/>
        <v>0</v>
      </c>
    </row>
    <row r="115" spans="1:5" x14ac:dyDescent="0.3">
      <c r="A115" t="str">
        <f>IF(Players!E115="","",Players!E115)</f>
        <v/>
      </c>
      <c r="B115" t="str">
        <f>IF(A115="","",Players!C115)</f>
        <v/>
      </c>
      <c r="C115" t="str">
        <f>IF(A115="","",Players!G115)</f>
        <v/>
      </c>
      <c r="D115" t="str">
        <f>IF(A115="","",COUNTIFS(Goals!$D$2:$D$289,"Goal",Goals!$E$2:$E$289,"*"&amp;A115&amp;"*",Goals!$F$2:$F$289,B115)+COUNTIFS(KnockoutGoals!$D$2:$D$85,"Goal",KnockoutGoals!$E$2:$E$85,"*"&amp;A115&amp;"*",KnockoutGoals!$F$2:$F$85,B115))</f>
        <v/>
      </c>
      <c r="E115">
        <f t="shared" si="1"/>
        <v>0</v>
      </c>
    </row>
    <row r="116" spans="1:5" x14ac:dyDescent="0.3">
      <c r="A116" t="str">
        <f>IF(Players!E116="","",Players!E116)</f>
        <v/>
      </c>
      <c r="B116" t="str">
        <f>IF(A116="","",Players!C116)</f>
        <v/>
      </c>
      <c r="C116" t="str">
        <f>IF(A116="","",Players!G116)</f>
        <v/>
      </c>
      <c r="D116" t="str">
        <f>IF(A116="","",COUNTIFS(Goals!$D$2:$D$289,"Goal",Goals!$E$2:$E$289,"*"&amp;A116&amp;"*",Goals!$F$2:$F$289,B116)+COUNTIFS(KnockoutGoals!$D$2:$D$85,"Goal",KnockoutGoals!$E$2:$E$85,"*"&amp;A116&amp;"*",KnockoutGoals!$F$2:$F$85,B116))</f>
        <v/>
      </c>
      <c r="E116">
        <f t="shared" si="1"/>
        <v>0</v>
      </c>
    </row>
    <row r="117" spans="1:5" x14ac:dyDescent="0.3">
      <c r="A117" t="str">
        <f>IF(Players!E117="","",Players!E117)</f>
        <v/>
      </c>
      <c r="B117" t="str">
        <f>IF(A117="","",Players!C117)</f>
        <v/>
      </c>
      <c r="C117" t="str">
        <f>IF(A117="","",Players!G117)</f>
        <v/>
      </c>
      <c r="D117" t="str">
        <f>IF(A117="","",COUNTIFS(Goals!$D$2:$D$289,"Goal",Goals!$E$2:$E$289,"*"&amp;A117&amp;"*",Goals!$F$2:$F$289,B117)+COUNTIFS(KnockoutGoals!$D$2:$D$85,"Goal",KnockoutGoals!$E$2:$E$85,"*"&amp;A117&amp;"*",KnockoutGoals!$F$2:$F$85,B117))</f>
        <v/>
      </c>
      <c r="E117">
        <f t="shared" si="1"/>
        <v>0</v>
      </c>
    </row>
    <row r="118" spans="1:5" x14ac:dyDescent="0.3">
      <c r="A118" t="str">
        <f>IF(Players!E118="","",Players!E118)</f>
        <v/>
      </c>
      <c r="B118" t="str">
        <f>IF(A118="","",Players!C118)</f>
        <v/>
      </c>
      <c r="C118" t="str">
        <f>IF(A118="","",Players!G118)</f>
        <v/>
      </c>
      <c r="D118" t="str">
        <f>IF(A118="","",COUNTIFS(Goals!$D$2:$D$289,"Goal",Goals!$E$2:$E$289,"*"&amp;A118&amp;"*",Goals!$F$2:$F$289,B118)+COUNTIFS(KnockoutGoals!$D$2:$D$85,"Goal",KnockoutGoals!$E$2:$E$85,"*"&amp;A118&amp;"*",KnockoutGoals!$F$2:$F$85,B118))</f>
        <v/>
      </c>
      <c r="E118">
        <f t="shared" si="1"/>
        <v>0</v>
      </c>
    </row>
    <row r="119" spans="1:5" x14ac:dyDescent="0.3">
      <c r="A119" t="str">
        <f>IF(Players!E119="","",Players!E119)</f>
        <v/>
      </c>
      <c r="B119" t="str">
        <f>IF(A119="","",Players!C119)</f>
        <v/>
      </c>
      <c r="C119" t="str">
        <f>IF(A119="","",Players!G119)</f>
        <v/>
      </c>
      <c r="D119" t="str">
        <f>IF(A119="","",COUNTIFS(Goals!$D$2:$D$289,"Goal",Goals!$E$2:$E$289,"*"&amp;A119&amp;"*",Goals!$F$2:$F$289,B119)+COUNTIFS(KnockoutGoals!$D$2:$D$85,"Goal",KnockoutGoals!$E$2:$E$85,"*"&amp;A119&amp;"*",KnockoutGoals!$F$2:$F$85,B119))</f>
        <v/>
      </c>
      <c r="E119">
        <f t="shared" si="1"/>
        <v>0</v>
      </c>
    </row>
    <row r="120" spans="1:5" x14ac:dyDescent="0.3">
      <c r="A120" t="str">
        <f>IF(Players!E120="","",Players!E120)</f>
        <v/>
      </c>
      <c r="B120" t="str">
        <f>IF(A120="","",Players!C120)</f>
        <v/>
      </c>
      <c r="C120" t="str">
        <f>IF(A120="","",Players!G120)</f>
        <v/>
      </c>
      <c r="D120" t="str">
        <f>IF(A120="","",COUNTIFS(Goals!$D$2:$D$289,"Goal",Goals!$E$2:$E$289,"*"&amp;A120&amp;"*",Goals!$F$2:$F$289,B120)+COUNTIFS(KnockoutGoals!$D$2:$D$85,"Goal",KnockoutGoals!$E$2:$E$85,"*"&amp;A120&amp;"*",KnockoutGoals!$F$2:$F$85,B120))</f>
        <v/>
      </c>
      <c r="E120">
        <f t="shared" si="1"/>
        <v>0</v>
      </c>
    </row>
    <row r="121" spans="1:5" x14ac:dyDescent="0.3">
      <c r="A121" t="str">
        <f>IF(Players!E121="","",Players!E121)</f>
        <v/>
      </c>
      <c r="B121" t="str">
        <f>IF(A121="","",Players!C121)</f>
        <v/>
      </c>
      <c r="C121" t="str">
        <f>IF(A121="","",Players!G121)</f>
        <v/>
      </c>
      <c r="D121" t="str">
        <f>IF(A121="","",COUNTIFS(Goals!$D$2:$D$289,"Goal",Goals!$E$2:$E$289,"*"&amp;A121&amp;"*",Goals!$F$2:$F$289,B121)+COUNTIFS(KnockoutGoals!$D$2:$D$85,"Goal",KnockoutGoals!$E$2:$E$85,"*"&amp;A121&amp;"*",KnockoutGoals!$F$2:$F$85,B121))</f>
        <v/>
      </c>
      <c r="E121">
        <f t="shared" si="1"/>
        <v>0</v>
      </c>
    </row>
    <row r="122" spans="1:5" x14ac:dyDescent="0.3">
      <c r="A122" t="str">
        <f>IF(Players!E122="","",Players!E122)</f>
        <v>DANIEL TARGA</v>
      </c>
      <c r="B122" t="str">
        <f>IF(A122="","",Players!C122)</f>
        <v>Totani</v>
      </c>
      <c r="C122" t="str">
        <f>IF(A122="","",Players!G122)</f>
        <v>5 - DANIEL TARGA</v>
      </c>
      <c r="D122">
        <f>IF(A122="","",COUNTIFS(Goals!$D$2:$D$289,"Goal",Goals!$E$2:$E$289,"*"&amp;A122&amp;"*",Goals!$F$2:$F$289,B122)+COUNTIFS(KnockoutGoals!$D$2:$D$85,"Goal",KnockoutGoals!$E$2:$E$85,"*"&amp;A122&amp;"*",KnockoutGoals!$F$2:$F$85,B122))</f>
        <v>0</v>
      </c>
      <c r="E122">
        <f t="shared" si="1"/>
        <v>-0.122</v>
      </c>
    </row>
    <row r="123" spans="1:5" x14ac:dyDescent="0.3">
      <c r="A123" t="str">
        <f>IF(Players!E123="","",Players!E123)</f>
        <v>RICCARDO DAVÌ</v>
      </c>
      <c r="B123" t="str">
        <f>IF(A123="","",Players!C123)</f>
        <v>Totani</v>
      </c>
      <c r="C123" t="str">
        <f>IF(A123="","",Players!G123)</f>
        <v>6 - RICCARDO DAVÌ</v>
      </c>
      <c r="D123">
        <f>IF(A123="","",COUNTIFS(Goals!$D$2:$D$289,"Goal",Goals!$E$2:$E$289,"*"&amp;A123&amp;"*",Goals!$F$2:$F$289,B123)+COUNTIFS(KnockoutGoals!$D$2:$D$85,"Goal",KnockoutGoals!$E$2:$E$85,"*"&amp;A123&amp;"*",KnockoutGoals!$F$2:$F$85,B123))</f>
        <v>0</v>
      </c>
      <c r="E123">
        <f t="shared" si="1"/>
        <v>-0.123</v>
      </c>
    </row>
    <row r="124" spans="1:5" x14ac:dyDescent="0.3">
      <c r="A124" t="str">
        <f>IF(Players!E124="","",Players!E124)</f>
        <v>RICCARDO SANTARATO</v>
      </c>
      <c r="B124" t="str">
        <f>IF(A124="","",Players!C124)</f>
        <v>Totani</v>
      </c>
      <c r="C124" t="str">
        <f>IF(A124="","",Players!G124)</f>
        <v>7 - RICCARDO SANTARATO</v>
      </c>
      <c r="D124">
        <f>IF(A124="","",COUNTIFS(Goals!$D$2:$D$289,"Goal",Goals!$E$2:$E$289,"*"&amp;A124&amp;"*",Goals!$F$2:$F$289,B124)+COUNTIFS(KnockoutGoals!$D$2:$D$85,"Goal",KnockoutGoals!$E$2:$E$85,"*"&amp;A124&amp;"*",KnockoutGoals!$F$2:$F$85,B124))</f>
        <v>0</v>
      </c>
      <c r="E124">
        <f t="shared" si="1"/>
        <v>-0.124</v>
      </c>
    </row>
    <row r="125" spans="1:5" x14ac:dyDescent="0.3">
      <c r="A125" t="str">
        <f>IF(Players!E125="","",Players!E125)</f>
        <v>RICCARDO STIEVANO</v>
      </c>
      <c r="B125" t="str">
        <f>IF(A125="","",Players!C125)</f>
        <v>Totani</v>
      </c>
      <c r="C125" t="str">
        <f>IF(A125="","",Players!G125)</f>
        <v>9 - RICCARDO STIEVANO</v>
      </c>
      <c r="D125">
        <f>IF(A125="","",COUNTIFS(Goals!$D$2:$D$289,"Goal",Goals!$E$2:$E$289,"*"&amp;A125&amp;"*",Goals!$F$2:$F$289,B125)+COUNTIFS(KnockoutGoals!$D$2:$D$85,"Goal",KnockoutGoals!$E$2:$E$85,"*"&amp;A125&amp;"*",KnockoutGoals!$F$2:$F$85,B125))</f>
        <v>0</v>
      </c>
      <c r="E125">
        <f t="shared" si="1"/>
        <v>-0.125</v>
      </c>
    </row>
    <row r="126" spans="1:5" x14ac:dyDescent="0.3">
      <c r="A126" t="str">
        <f>IF(Players!E126="","",Players!E126)</f>
        <v>LUCA CHERUBIN</v>
      </c>
      <c r="B126" t="str">
        <f>IF(A126="","",Players!C126)</f>
        <v>Totani</v>
      </c>
      <c r="C126" t="str">
        <f>IF(A126="","",Players!G126)</f>
        <v>10 - LUCA CHERUBIN (C)</v>
      </c>
      <c r="D126">
        <f>IF(A126="","",COUNTIFS(Goals!$D$2:$D$289,"Goal",Goals!$E$2:$E$289,"*"&amp;A126&amp;"*",Goals!$F$2:$F$289,B126)+COUNTIFS(KnockoutGoals!$D$2:$D$85,"Goal",KnockoutGoals!$E$2:$E$85,"*"&amp;A126&amp;"*",KnockoutGoals!$F$2:$F$85,B126))</f>
        <v>0</v>
      </c>
      <c r="E126">
        <f t="shared" si="1"/>
        <v>-0.126</v>
      </c>
    </row>
    <row r="127" spans="1:5" x14ac:dyDescent="0.3">
      <c r="A127" t="str">
        <f>IF(Players!E127="","",Players!E127)</f>
        <v>FILIPPO CREPALDI</v>
      </c>
      <c r="B127" t="str">
        <f>IF(A127="","",Players!C127)</f>
        <v>Totani</v>
      </c>
      <c r="C127" t="str">
        <f>IF(A127="","",Players!G127)</f>
        <v>12 - FILIPPO CREPALDI</v>
      </c>
      <c r="D127">
        <f>IF(A127="","",COUNTIFS(Goals!$D$2:$D$289,"Goal",Goals!$E$2:$E$289,"*"&amp;A127&amp;"*",Goals!$F$2:$F$289,B127)+COUNTIFS(KnockoutGoals!$D$2:$D$85,"Goal",KnockoutGoals!$E$2:$E$85,"*"&amp;A127&amp;"*",KnockoutGoals!$F$2:$F$85,B127))</f>
        <v>0</v>
      </c>
      <c r="E127">
        <f t="shared" si="1"/>
        <v>-0.127</v>
      </c>
    </row>
    <row r="128" spans="1:5" x14ac:dyDescent="0.3">
      <c r="A128" t="str">
        <f>IF(Players!E128="","",Players!E128)</f>
        <v>LUCA PAPARELLA</v>
      </c>
      <c r="B128" t="str">
        <f>IF(A128="","",Players!C128)</f>
        <v>Totani</v>
      </c>
      <c r="C128" t="str">
        <f>IF(A128="","",Players!G128)</f>
        <v>15 - LUCA PAPARELLA</v>
      </c>
      <c r="D128">
        <f>IF(A128="","",COUNTIFS(Goals!$D$2:$D$289,"Goal",Goals!$E$2:$E$289,"*"&amp;A128&amp;"*",Goals!$F$2:$F$289,B128)+COUNTIFS(KnockoutGoals!$D$2:$D$85,"Goal",KnockoutGoals!$E$2:$E$85,"*"&amp;A128&amp;"*",KnockoutGoals!$F$2:$F$85,B128))</f>
        <v>0</v>
      </c>
      <c r="E128">
        <f t="shared" si="1"/>
        <v>-0.128</v>
      </c>
    </row>
    <row r="129" spans="1:5" x14ac:dyDescent="0.3">
      <c r="A129" t="str">
        <f>IF(Players!E129="","",Players!E129)</f>
        <v>LUCA POLATO</v>
      </c>
      <c r="B129" t="str">
        <f>IF(A129="","",Players!C129)</f>
        <v>Totani</v>
      </c>
      <c r="C129" t="str">
        <f>IF(A129="","",Players!G129)</f>
        <v>18 - LUCA POLATO</v>
      </c>
      <c r="D129">
        <f>IF(A129="","",COUNTIFS(Goals!$D$2:$D$289,"Goal",Goals!$E$2:$E$289,"*"&amp;A129&amp;"*",Goals!$F$2:$F$289,B129)+COUNTIFS(KnockoutGoals!$D$2:$D$85,"Goal",KnockoutGoals!$E$2:$E$85,"*"&amp;A129&amp;"*",KnockoutGoals!$F$2:$F$85,B129))</f>
        <v>0</v>
      </c>
      <c r="E129">
        <f t="shared" si="1"/>
        <v>-0.129</v>
      </c>
    </row>
    <row r="130" spans="1:5" x14ac:dyDescent="0.3">
      <c r="A130" t="str">
        <f>IF(Players!E130="","",Players!E130)</f>
        <v>DANIELE SECCO</v>
      </c>
      <c r="B130" t="str">
        <f>IF(A130="","",Players!C130)</f>
        <v>Totani</v>
      </c>
      <c r="C130" t="str">
        <f>IF(A130="","",Players!G130)</f>
        <v>71 - DANIELE SECCO</v>
      </c>
      <c r="D130">
        <f>IF(A130="","",COUNTIFS(Goals!$D$2:$D$289,"Goal",Goals!$E$2:$E$289,"*"&amp;A130&amp;"*",Goals!$F$2:$F$289,B130)+COUNTIFS(KnockoutGoals!$D$2:$D$85,"Goal",KnockoutGoals!$E$2:$E$85,"*"&amp;A130&amp;"*",KnockoutGoals!$F$2:$F$85,B130))</f>
        <v>0</v>
      </c>
      <c r="E130">
        <f t="shared" ref="E130:E193" si="2">IF(A130="",0,D130*100000-ROW()/1000)</f>
        <v>-0.13</v>
      </c>
    </row>
    <row r="131" spans="1:5" x14ac:dyDescent="0.3">
      <c r="A131" t="str">
        <f>IF(Players!E131="","",Players!E131)</f>
        <v/>
      </c>
      <c r="B131" t="str">
        <f>IF(A131="","",Players!C131)</f>
        <v/>
      </c>
      <c r="C131" t="str">
        <f>IF(A131="","",Players!G131)</f>
        <v/>
      </c>
      <c r="D131" t="str">
        <f>IF(A131="","",COUNTIFS(Goals!$D$2:$D$289,"Goal",Goals!$E$2:$E$289,"*"&amp;A131&amp;"*",Goals!$F$2:$F$289,B131)+COUNTIFS(KnockoutGoals!$D$2:$D$85,"Goal",KnockoutGoals!$E$2:$E$85,"*"&amp;A131&amp;"*",KnockoutGoals!$F$2:$F$85,B131))</f>
        <v/>
      </c>
      <c r="E131">
        <f t="shared" si="2"/>
        <v>0</v>
      </c>
    </row>
    <row r="132" spans="1:5" x14ac:dyDescent="0.3">
      <c r="A132" t="str">
        <f>IF(Players!E132="","",Players!E132)</f>
        <v/>
      </c>
      <c r="B132" t="str">
        <f>IF(A132="","",Players!C132)</f>
        <v/>
      </c>
      <c r="C132" t="str">
        <f>IF(A132="","",Players!G132)</f>
        <v/>
      </c>
      <c r="D132" t="str">
        <f>IF(A132="","",COUNTIFS(Goals!$D$2:$D$289,"Goal",Goals!$E$2:$E$289,"*"&amp;A132&amp;"*",Goals!$F$2:$F$289,B132)+COUNTIFS(KnockoutGoals!$D$2:$D$85,"Goal",KnockoutGoals!$E$2:$E$85,"*"&amp;A132&amp;"*",KnockoutGoals!$F$2:$F$85,B132))</f>
        <v/>
      </c>
      <c r="E132">
        <f t="shared" si="2"/>
        <v>0</v>
      </c>
    </row>
    <row r="133" spans="1:5" x14ac:dyDescent="0.3">
      <c r="A133" t="str">
        <f>IF(Players!E133="","",Players!E133)</f>
        <v/>
      </c>
      <c r="B133" t="str">
        <f>IF(A133="","",Players!C133)</f>
        <v/>
      </c>
      <c r="C133" t="str">
        <f>IF(A133="","",Players!G133)</f>
        <v/>
      </c>
      <c r="D133" t="str">
        <f>IF(A133="","",COUNTIFS(Goals!$D$2:$D$289,"Goal",Goals!$E$2:$E$289,"*"&amp;A133&amp;"*",Goals!$F$2:$F$289,B133)+COUNTIFS(KnockoutGoals!$D$2:$D$85,"Goal",KnockoutGoals!$E$2:$E$85,"*"&amp;A133&amp;"*",KnockoutGoals!$F$2:$F$85,B133))</f>
        <v/>
      </c>
      <c r="E133">
        <f t="shared" si="2"/>
        <v>0</v>
      </c>
    </row>
    <row r="134" spans="1:5" x14ac:dyDescent="0.3">
      <c r="A134" t="str">
        <f>IF(Players!E134="","",Players!E134)</f>
        <v/>
      </c>
      <c r="B134" t="str">
        <f>IF(A134="","",Players!C134)</f>
        <v/>
      </c>
      <c r="C134" t="str">
        <f>IF(A134="","",Players!G134)</f>
        <v/>
      </c>
      <c r="D134" t="str">
        <f>IF(A134="","",COUNTIFS(Goals!$D$2:$D$289,"Goal",Goals!$E$2:$E$289,"*"&amp;A134&amp;"*",Goals!$F$2:$F$289,B134)+COUNTIFS(KnockoutGoals!$D$2:$D$85,"Goal",KnockoutGoals!$E$2:$E$85,"*"&amp;A134&amp;"*",KnockoutGoals!$F$2:$F$85,B134))</f>
        <v/>
      </c>
      <c r="E134">
        <f t="shared" si="2"/>
        <v>0</v>
      </c>
    </row>
    <row r="135" spans="1:5" x14ac:dyDescent="0.3">
      <c r="A135" t="str">
        <f>IF(Players!E135="","",Players!E135)</f>
        <v/>
      </c>
      <c r="B135" t="str">
        <f>IF(A135="","",Players!C135)</f>
        <v/>
      </c>
      <c r="C135" t="str">
        <f>IF(A135="","",Players!G135)</f>
        <v/>
      </c>
      <c r="D135" t="str">
        <f>IF(A135="","",COUNTIFS(Goals!$D$2:$D$289,"Goal",Goals!$E$2:$E$289,"*"&amp;A135&amp;"*",Goals!$F$2:$F$289,B135)+COUNTIFS(KnockoutGoals!$D$2:$D$85,"Goal",KnockoutGoals!$E$2:$E$85,"*"&amp;A135&amp;"*",KnockoutGoals!$F$2:$F$85,B135))</f>
        <v/>
      </c>
      <c r="E135">
        <f t="shared" si="2"/>
        <v>0</v>
      </c>
    </row>
    <row r="136" spans="1:5" x14ac:dyDescent="0.3">
      <c r="A136" t="str">
        <f>IF(Players!E136="","",Players!E136)</f>
        <v/>
      </c>
      <c r="B136" t="str">
        <f>IF(A136="","",Players!C136)</f>
        <v/>
      </c>
      <c r="C136" t="str">
        <f>IF(A136="","",Players!G136)</f>
        <v/>
      </c>
      <c r="D136" t="str">
        <f>IF(A136="","",COUNTIFS(Goals!$D$2:$D$289,"Goal",Goals!$E$2:$E$289,"*"&amp;A136&amp;"*",Goals!$F$2:$F$289,B136)+COUNTIFS(KnockoutGoals!$D$2:$D$85,"Goal",KnockoutGoals!$E$2:$E$85,"*"&amp;A136&amp;"*",KnockoutGoals!$F$2:$F$85,B136))</f>
        <v/>
      </c>
      <c r="E136">
        <f t="shared" si="2"/>
        <v>0</v>
      </c>
    </row>
    <row r="137" spans="1:5" x14ac:dyDescent="0.3">
      <c r="A137" t="str">
        <f>IF(Players!E137="","",Players!E137)</f>
        <v/>
      </c>
      <c r="B137" t="str">
        <f>IF(A137="","",Players!C137)</f>
        <v/>
      </c>
      <c r="C137" t="str">
        <f>IF(A137="","",Players!G137)</f>
        <v/>
      </c>
      <c r="D137" t="str">
        <f>IF(A137="","",COUNTIFS(Goals!$D$2:$D$289,"Goal",Goals!$E$2:$E$289,"*"&amp;A137&amp;"*",Goals!$F$2:$F$289,B137)+COUNTIFS(KnockoutGoals!$D$2:$D$85,"Goal",KnockoutGoals!$E$2:$E$85,"*"&amp;A137&amp;"*",KnockoutGoals!$F$2:$F$85,B137))</f>
        <v/>
      </c>
      <c r="E137">
        <f t="shared" si="2"/>
        <v>0</v>
      </c>
    </row>
    <row r="138" spans="1:5" x14ac:dyDescent="0.3">
      <c r="A138" t="str">
        <f>IF(Players!E138="","",Players!E138)</f>
        <v/>
      </c>
      <c r="B138" t="str">
        <f>IF(A138="","",Players!C138)</f>
        <v/>
      </c>
      <c r="C138" t="str">
        <f>IF(A138="","",Players!G138)</f>
        <v/>
      </c>
      <c r="D138" t="str">
        <f>IF(A138="","",COUNTIFS(Goals!$D$2:$D$289,"Goal",Goals!$E$2:$E$289,"*"&amp;A138&amp;"*",Goals!$F$2:$F$289,B138)+COUNTIFS(KnockoutGoals!$D$2:$D$85,"Goal",KnockoutGoals!$E$2:$E$85,"*"&amp;A138&amp;"*",KnockoutGoals!$F$2:$F$85,B138))</f>
        <v/>
      </c>
      <c r="E138">
        <f t="shared" si="2"/>
        <v>0</v>
      </c>
    </row>
    <row r="139" spans="1:5" x14ac:dyDescent="0.3">
      <c r="A139" t="str">
        <f>IF(Players!E139="","",Players!E139)</f>
        <v/>
      </c>
      <c r="B139" t="str">
        <f>IF(A139="","",Players!C139)</f>
        <v/>
      </c>
      <c r="C139" t="str">
        <f>IF(A139="","",Players!G139)</f>
        <v/>
      </c>
      <c r="D139" t="str">
        <f>IF(A139="","",COUNTIFS(Goals!$D$2:$D$289,"Goal",Goals!$E$2:$E$289,"*"&amp;A139&amp;"*",Goals!$F$2:$F$289,B139)+COUNTIFS(KnockoutGoals!$D$2:$D$85,"Goal",KnockoutGoals!$E$2:$E$85,"*"&amp;A139&amp;"*",KnockoutGoals!$F$2:$F$85,B139))</f>
        <v/>
      </c>
      <c r="E139">
        <f t="shared" si="2"/>
        <v>0</v>
      </c>
    </row>
    <row r="140" spans="1:5" x14ac:dyDescent="0.3">
      <c r="A140" t="str">
        <f>IF(Players!E140="","",Players!E140)</f>
        <v/>
      </c>
      <c r="B140" t="str">
        <f>IF(A140="","",Players!C140)</f>
        <v/>
      </c>
      <c r="C140" t="str">
        <f>IF(A140="","",Players!G140)</f>
        <v/>
      </c>
      <c r="D140" t="str">
        <f>IF(A140="","",COUNTIFS(Goals!$D$2:$D$289,"Goal",Goals!$E$2:$E$289,"*"&amp;A140&amp;"*",Goals!$F$2:$F$289,B140)+COUNTIFS(KnockoutGoals!$D$2:$D$85,"Goal",KnockoutGoals!$E$2:$E$85,"*"&amp;A140&amp;"*",KnockoutGoals!$F$2:$F$85,B140))</f>
        <v/>
      </c>
      <c r="E140">
        <f t="shared" si="2"/>
        <v>0</v>
      </c>
    </row>
    <row r="141" spans="1:5" x14ac:dyDescent="0.3">
      <c r="A141" t="str">
        <f>IF(Players!E141="","",Players!E141)</f>
        <v/>
      </c>
      <c r="B141" t="str">
        <f>IF(A141="","",Players!C141)</f>
        <v/>
      </c>
      <c r="C141" t="str">
        <f>IF(A141="","",Players!G141)</f>
        <v/>
      </c>
      <c r="D141" t="str">
        <f>IF(A141="","",COUNTIFS(Goals!$D$2:$D$289,"Goal",Goals!$E$2:$E$289,"*"&amp;A141&amp;"*",Goals!$F$2:$F$289,B141)+COUNTIFS(KnockoutGoals!$D$2:$D$85,"Goal",KnockoutGoals!$E$2:$E$85,"*"&amp;A141&amp;"*",KnockoutGoals!$F$2:$F$85,B141))</f>
        <v/>
      </c>
      <c r="E141">
        <f t="shared" si="2"/>
        <v>0</v>
      </c>
    </row>
    <row r="142" spans="1:5" x14ac:dyDescent="0.3">
      <c r="A142" t="str">
        <f>IF(Players!E142="","",Players!E142)</f>
        <v/>
      </c>
      <c r="B142" t="str">
        <f>IF(A142="","",Players!C142)</f>
        <v/>
      </c>
      <c r="C142" t="str">
        <f>IF(A142="","",Players!G142)</f>
        <v/>
      </c>
      <c r="D142" t="str">
        <f>IF(A142="","",COUNTIFS(Goals!$D$2:$D$289,"Goal",Goals!$E$2:$E$289,"*"&amp;A142&amp;"*",Goals!$F$2:$F$289,B142)+COUNTIFS(KnockoutGoals!$D$2:$D$85,"Goal",KnockoutGoals!$E$2:$E$85,"*"&amp;A142&amp;"*",KnockoutGoals!$F$2:$F$85,B142))</f>
        <v/>
      </c>
      <c r="E142">
        <f t="shared" si="2"/>
        <v>0</v>
      </c>
    </row>
    <row r="143" spans="1:5" x14ac:dyDescent="0.3">
      <c r="A143" t="str">
        <f>IF(Players!E143="","",Players!E143)</f>
        <v/>
      </c>
      <c r="B143" t="str">
        <f>IF(A143="","",Players!C143)</f>
        <v/>
      </c>
      <c r="C143" t="str">
        <f>IF(A143="","",Players!G143)</f>
        <v/>
      </c>
      <c r="D143" t="str">
        <f>IF(A143="","",COUNTIFS(Goals!$D$2:$D$289,"Goal",Goals!$E$2:$E$289,"*"&amp;A143&amp;"*",Goals!$F$2:$F$289,B143)+COUNTIFS(KnockoutGoals!$D$2:$D$85,"Goal",KnockoutGoals!$E$2:$E$85,"*"&amp;A143&amp;"*",KnockoutGoals!$F$2:$F$85,B143))</f>
        <v/>
      </c>
      <c r="E143">
        <f t="shared" si="2"/>
        <v>0</v>
      </c>
    </row>
    <row r="144" spans="1:5" x14ac:dyDescent="0.3">
      <c r="A144" t="str">
        <f>IF(Players!E144="","",Players!E144)</f>
        <v/>
      </c>
      <c r="B144" t="str">
        <f>IF(A144="","",Players!C144)</f>
        <v/>
      </c>
      <c r="C144" t="str">
        <f>IF(A144="","",Players!G144)</f>
        <v/>
      </c>
      <c r="D144" t="str">
        <f>IF(A144="","",COUNTIFS(Goals!$D$2:$D$289,"Goal",Goals!$E$2:$E$289,"*"&amp;A144&amp;"*",Goals!$F$2:$F$289,B144)+COUNTIFS(KnockoutGoals!$D$2:$D$85,"Goal",KnockoutGoals!$E$2:$E$85,"*"&amp;A144&amp;"*",KnockoutGoals!$F$2:$F$85,B144))</f>
        <v/>
      </c>
      <c r="E144">
        <f t="shared" si="2"/>
        <v>0</v>
      </c>
    </row>
    <row r="145" spans="1:5" x14ac:dyDescent="0.3">
      <c r="A145" t="str">
        <f>IF(Players!E145="","",Players!E145)</f>
        <v/>
      </c>
      <c r="B145" t="str">
        <f>IF(A145="","",Players!C145)</f>
        <v/>
      </c>
      <c r="C145" t="str">
        <f>IF(A145="","",Players!G145)</f>
        <v/>
      </c>
      <c r="D145" t="str">
        <f>IF(A145="","",COUNTIFS(Goals!$D$2:$D$289,"Goal",Goals!$E$2:$E$289,"*"&amp;A145&amp;"*",Goals!$F$2:$F$289,B145)+COUNTIFS(KnockoutGoals!$D$2:$D$85,"Goal",KnockoutGoals!$E$2:$E$85,"*"&amp;A145&amp;"*",KnockoutGoals!$F$2:$F$85,B145))</f>
        <v/>
      </c>
      <c r="E145">
        <f t="shared" si="2"/>
        <v>0</v>
      </c>
    </row>
    <row r="146" spans="1:5" x14ac:dyDescent="0.3">
      <c r="A146" t="str">
        <f>IF(Players!E146="","",Players!E146)</f>
        <v/>
      </c>
      <c r="B146" t="str">
        <f>IF(A146="","",Players!C146)</f>
        <v/>
      </c>
      <c r="C146" t="str">
        <f>IF(A146="","",Players!G146)</f>
        <v/>
      </c>
      <c r="D146" t="str">
        <f>IF(A146="","",COUNTIFS(Goals!$D$2:$D$289,"Goal",Goals!$E$2:$E$289,"*"&amp;A146&amp;"*",Goals!$F$2:$F$289,B146)+COUNTIFS(KnockoutGoals!$D$2:$D$85,"Goal",KnockoutGoals!$E$2:$E$85,"*"&amp;A146&amp;"*",KnockoutGoals!$F$2:$F$85,B146))</f>
        <v/>
      </c>
      <c r="E146">
        <f t="shared" si="2"/>
        <v>0</v>
      </c>
    </row>
    <row r="147" spans="1:5" x14ac:dyDescent="0.3">
      <c r="A147" t="str">
        <f>IF(Players!E147="","",Players!E147)</f>
        <v/>
      </c>
      <c r="B147" t="str">
        <f>IF(A147="","",Players!C147)</f>
        <v/>
      </c>
      <c r="C147" t="str">
        <f>IF(A147="","",Players!G147)</f>
        <v/>
      </c>
      <c r="D147" t="str">
        <f>IF(A147="","",COUNTIFS(Goals!$D$2:$D$289,"Goal",Goals!$E$2:$E$289,"*"&amp;A147&amp;"*",Goals!$F$2:$F$289,B147)+COUNTIFS(KnockoutGoals!$D$2:$D$85,"Goal",KnockoutGoals!$E$2:$E$85,"*"&amp;A147&amp;"*",KnockoutGoals!$F$2:$F$85,B147))</f>
        <v/>
      </c>
      <c r="E147">
        <f t="shared" si="2"/>
        <v>0</v>
      </c>
    </row>
    <row r="148" spans="1:5" x14ac:dyDescent="0.3">
      <c r="A148" t="str">
        <f>IF(Players!E148="","",Players!E148)</f>
        <v/>
      </c>
      <c r="B148" t="str">
        <f>IF(A148="","",Players!C148)</f>
        <v/>
      </c>
      <c r="C148" t="str">
        <f>IF(A148="","",Players!G148)</f>
        <v/>
      </c>
      <c r="D148" t="str">
        <f>IF(A148="","",COUNTIFS(Goals!$D$2:$D$289,"Goal",Goals!$E$2:$E$289,"*"&amp;A148&amp;"*",Goals!$F$2:$F$289,B148)+COUNTIFS(KnockoutGoals!$D$2:$D$85,"Goal",KnockoutGoals!$E$2:$E$85,"*"&amp;A148&amp;"*",KnockoutGoals!$F$2:$F$85,B148))</f>
        <v/>
      </c>
      <c r="E148">
        <f t="shared" si="2"/>
        <v>0</v>
      </c>
    </row>
    <row r="149" spans="1:5" x14ac:dyDescent="0.3">
      <c r="A149" t="str">
        <f>IF(Players!E149="","",Players!E149)</f>
        <v/>
      </c>
      <c r="B149" t="str">
        <f>IF(A149="","",Players!C149)</f>
        <v/>
      </c>
      <c r="C149" t="str">
        <f>IF(A149="","",Players!G149)</f>
        <v/>
      </c>
      <c r="D149" t="str">
        <f>IF(A149="","",COUNTIFS(Goals!$D$2:$D$289,"Goal",Goals!$E$2:$E$289,"*"&amp;A149&amp;"*",Goals!$F$2:$F$289,B149)+COUNTIFS(KnockoutGoals!$D$2:$D$85,"Goal",KnockoutGoals!$E$2:$E$85,"*"&amp;A149&amp;"*",KnockoutGoals!$F$2:$F$85,B149))</f>
        <v/>
      </c>
      <c r="E149">
        <f t="shared" si="2"/>
        <v>0</v>
      </c>
    </row>
    <row r="150" spans="1:5" x14ac:dyDescent="0.3">
      <c r="A150" t="str">
        <f>IF(Players!E150="","",Players!E150)</f>
        <v/>
      </c>
      <c r="B150" t="str">
        <f>IF(A150="","",Players!C150)</f>
        <v/>
      </c>
      <c r="C150" t="str">
        <f>IF(A150="","",Players!G150)</f>
        <v/>
      </c>
      <c r="D150" t="str">
        <f>IF(A150="","",COUNTIFS(Goals!$D$2:$D$289,"Goal",Goals!$E$2:$E$289,"*"&amp;A150&amp;"*",Goals!$F$2:$F$289,B150)+COUNTIFS(KnockoutGoals!$D$2:$D$85,"Goal",KnockoutGoals!$E$2:$E$85,"*"&amp;A150&amp;"*",KnockoutGoals!$F$2:$F$85,B150))</f>
        <v/>
      </c>
      <c r="E150">
        <f t="shared" si="2"/>
        <v>0</v>
      </c>
    </row>
    <row r="151" spans="1:5" x14ac:dyDescent="0.3">
      <c r="A151" t="str">
        <f>IF(Players!E151="","",Players!E151)</f>
        <v/>
      </c>
      <c r="B151" t="str">
        <f>IF(A151="","",Players!C151)</f>
        <v/>
      </c>
      <c r="C151" t="str">
        <f>IF(A151="","",Players!G151)</f>
        <v/>
      </c>
      <c r="D151" t="str">
        <f>IF(A151="","",COUNTIFS(Goals!$D$2:$D$289,"Goal",Goals!$E$2:$E$289,"*"&amp;A151&amp;"*",Goals!$F$2:$F$289,B151)+COUNTIFS(KnockoutGoals!$D$2:$D$85,"Goal",KnockoutGoals!$E$2:$E$85,"*"&amp;A151&amp;"*",KnockoutGoals!$F$2:$F$85,B151))</f>
        <v/>
      </c>
      <c r="E151">
        <f t="shared" si="2"/>
        <v>0</v>
      </c>
    </row>
    <row r="152" spans="1:5" x14ac:dyDescent="0.3">
      <c r="A152" t="str">
        <f>IF(Players!E152="","",Players!E152)</f>
        <v>DAVIDE ZAGHI</v>
      </c>
      <c r="B152" t="str">
        <f>IF(A152="","",Players!C152)</f>
        <v>Vecchie Glorie Rovigo</v>
      </c>
      <c r="C152" t="str">
        <f>IF(A152="","",Players!G152)</f>
        <v>10 - DAVIDE ZAGHI (C)</v>
      </c>
      <c r="D152">
        <f>IF(A152="","",COUNTIFS(Goals!$D$2:$D$289,"Goal",Goals!$E$2:$E$289,"*"&amp;A152&amp;"*",Goals!$F$2:$F$289,B152)+COUNTIFS(KnockoutGoals!$D$2:$D$85,"Goal",KnockoutGoals!$E$2:$E$85,"*"&amp;A152&amp;"*",KnockoutGoals!$F$2:$F$85,B152))</f>
        <v>2</v>
      </c>
      <c r="E152">
        <f t="shared" si="2"/>
        <v>199999.848</v>
      </c>
    </row>
    <row r="153" spans="1:5" x14ac:dyDescent="0.3">
      <c r="A153" t="str">
        <f>IF(Players!E153="","",Players!E153)</f>
        <v>JACOPO VOLTOLINA</v>
      </c>
      <c r="B153" t="str">
        <f>IF(A153="","",Players!C153)</f>
        <v>Vecchie Glorie Rovigo</v>
      </c>
      <c r="C153" t="str">
        <f>IF(A153="","",Players!G153)</f>
        <v>5 - JACOPO VOLTOLINA</v>
      </c>
      <c r="D153">
        <f>IF(A153="","",COUNTIFS(Goals!$D$2:$D$289,"Goal",Goals!$E$2:$E$289,"*"&amp;A153&amp;"*",Goals!$F$2:$F$289,B153)+COUNTIFS(KnockoutGoals!$D$2:$D$85,"Goal",KnockoutGoals!$E$2:$E$85,"*"&amp;A153&amp;"*",KnockoutGoals!$F$2:$F$85,B153))</f>
        <v>1</v>
      </c>
      <c r="E153">
        <f t="shared" si="2"/>
        <v>99999.846999999994</v>
      </c>
    </row>
    <row r="154" spans="1:5" x14ac:dyDescent="0.3">
      <c r="A154" t="str">
        <f>IF(Players!E154="","",Players!E154)</f>
        <v>MATTEO ZAMBERLAN</v>
      </c>
      <c r="B154" t="str">
        <f>IF(A154="","",Players!C154)</f>
        <v>Vecchie Glorie Rovigo</v>
      </c>
      <c r="C154" t="str">
        <f>IF(A154="","",Players!G154)</f>
        <v>3 - MATTEO ZAMBERLAN</v>
      </c>
      <c r="D154">
        <f>IF(A154="","",COUNTIFS(Goals!$D$2:$D$289,"Goal",Goals!$E$2:$E$289,"*"&amp;A154&amp;"*",Goals!$F$2:$F$289,B154)+COUNTIFS(KnockoutGoals!$D$2:$D$85,"Goal",KnockoutGoals!$E$2:$E$85,"*"&amp;A154&amp;"*",KnockoutGoals!$F$2:$F$85,B154))</f>
        <v>3</v>
      </c>
      <c r="E154">
        <f t="shared" si="2"/>
        <v>299999.84600000002</v>
      </c>
    </row>
    <row r="155" spans="1:5" x14ac:dyDescent="0.3">
      <c r="A155" t="str">
        <f>IF(Players!E155="","",Players!E155)</f>
        <v>MATTEO DALL'ARA</v>
      </c>
      <c r="B155" t="str">
        <f>IF(A155="","",Players!C155)</f>
        <v>Vecchie Glorie Rovigo</v>
      </c>
      <c r="C155" t="str">
        <f>IF(A155="","",Players!G155)</f>
        <v>20 - MATTEO DALL'ARA</v>
      </c>
      <c r="D155">
        <f>IF(A155="","",COUNTIFS(Goals!$D$2:$D$289,"Goal",Goals!$E$2:$E$289,"*"&amp;A155&amp;"*",Goals!$F$2:$F$289,B155)+COUNTIFS(KnockoutGoals!$D$2:$D$85,"Goal",KnockoutGoals!$E$2:$E$85,"*"&amp;A155&amp;"*",KnockoutGoals!$F$2:$F$85,B155))</f>
        <v>1</v>
      </c>
      <c r="E155">
        <f t="shared" si="2"/>
        <v>99999.845000000001</v>
      </c>
    </row>
    <row r="156" spans="1:5" x14ac:dyDescent="0.3">
      <c r="A156" t="str">
        <f>IF(Players!E156="","",Players!E156)</f>
        <v>LEONARDO FUSCO</v>
      </c>
      <c r="B156" t="str">
        <f>IF(A156="","",Players!C156)</f>
        <v>Vecchie Glorie Rovigo</v>
      </c>
      <c r="C156" t="str">
        <f>IF(A156="","",Players!G156)</f>
        <v>8 - LEONARDO FUSCO</v>
      </c>
      <c r="D156">
        <f>IF(A156="","",COUNTIFS(Goals!$D$2:$D$289,"Goal",Goals!$E$2:$E$289,"*"&amp;A156&amp;"*",Goals!$F$2:$F$289,B156)+COUNTIFS(KnockoutGoals!$D$2:$D$85,"Goal",KnockoutGoals!$E$2:$E$85,"*"&amp;A156&amp;"*",KnockoutGoals!$F$2:$F$85,B156))</f>
        <v>1</v>
      </c>
      <c r="E156">
        <f t="shared" si="2"/>
        <v>99999.843999999997</v>
      </c>
    </row>
    <row r="157" spans="1:5" x14ac:dyDescent="0.3">
      <c r="A157" t="str">
        <f>IF(Players!E157="","",Players!E157)</f>
        <v>DENIS TIMPANARO</v>
      </c>
      <c r="B157" t="str">
        <f>IF(A157="","",Players!C157)</f>
        <v>Vecchie Glorie Rovigo</v>
      </c>
      <c r="C157" t="str">
        <f>IF(A157="","",Players!G157)</f>
        <v>7 - DENIS TIMPANARO</v>
      </c>
      <c r="D157">
        <f>IF(A157="","",COUNTIFS(Goals!$D$2:$D$289,"Goal",Goals!$E$2:$E$289,"*"&amp;A157&amp;"*",Goals!$F$2:$F$289,B157)+COUNTIFS(KnockoutGoals!$D$2:$D$85,"Goal",KnockoutGoals!$E$2:$E$85,"*"&amp;A157&amp;"*",KnockoutGoals!$F$2:$F$85,B157))</f>
        <v>1</v>
      </c>
      <c r="E157">
        <f t="shared" si="2"/>
        <v>99999.842999999993</v>
      </c>
    </row>
    <row r="158" spans="1:5" x14ac:dyDescent="0.3">
      <c r="A158" t="str">
        <f>IF(Players!E158="","",Players!E158)</f>
        <v>MATTEO TOSETTI</v>
      </c>
      <c r="B158" t="str">
        <f>IF(A158="","",Players!C158)</f>
        <v>Vecchie Glorie Rovigo</v>
      </c>
      <c r="C158" t="str">
        <f>IF(A158="","",Players!G158)</f>
        <v>1 - MATTEO TOSETTI</v>
      </c>
      <c r="D158">
        <f>IF(A158="","",COUNTIFS(Goals!$D$2:$D$289,"Goal",Goals!$E$2:$E$289,"*"&amp;A158&amp;"*",Goals!$F$2:$F$289,B158)+COUNTIFS(KnockoutGoals!$D$2:$D$85,"Goal",KnockoutGoals!$E$2:$E$85,"*"&amp;A158&amp;"*",KnockoutGoals!$F$2:$F$85,B158))</f>
        <v>0</v>
      </c>
      <c r="E158">
        <f t="shared" si="2"/>
        <v>-0.158</v>
      </c>
    </row>
    <row r="159" spans="1:5" x14ac:dyDescent="0.3">
      <c r="A159" t="str">
        <f>IF(Players!E159="","",Players!E159)</f>
        <v>MATTEO AMBROSINI</v>
      </c>
      <c r="B159" t="str">
        <f>IF(A159="","",Players!C159)</f>
        <v>Vecchie Glorie Rovigo</v>
      </c>
      <c r="C159" t="str">
        <f>IF(A159="","",Players!G159)</f>
        <v>4 - MATTEO AMBROSINI</v>
      </c>
      <c r="D159">
        <f>IF(A159="","",COUNTIFS(Goals!$D$2:$D$289,"Goal",Goals!$E$2:$E$289,"*"&amp;A159&amp;"*",Goals!$F$2:$F$289,B159)+COUNTIFS(KnockoutGoals!$D$2:$D$85,"Goal",KnockoutGoals!$E$2:$E$85,"*"&amp;A159&amp;"*",KnockoutGoals!$F$2:$F$85,B159))</f>
        <v>0</v>
      </c>
      <c r="E159">
        <f t="shared" si="2"/>
        <v>-0.159</v>
      </c>
    </row>
    <row r="160" spans="1:5" x14ac:dyDescent="0.3">
      <c r="A160" t="str">
        <f>IF(Players!E160="","",Players!E160)</f>
        <v>ANDREA BONIN</v>
      </c>
      <c r="B160" t="str">
        <f>IF(A160="","",Players!C160)</f>
        <v>Vecchie Glorie Rovigo</v>
      </c>
      <c r="C160" t="str">
        <f>IF(A160="","",Players!G160)</f>
        <v>6 - ANDREA BONIN</v>
      </c>
      <c r="D160">
        <f>IF(A160="","",COUNTIFS(Goals!$D$2:$D$289,"Goal",Goals!$E$2:$E$289,"*"&amp;A160&amp;"*",Goals!$F$2:$F$289,B160)+COUNTIFS(KnockoutGoals!$D$2:$D$85,"Goal",KnockoutGoals!$E$2:$E$85,"*"&amp;A160&amp;"*",KnockoutGoals!$F$2:$F$85,B160))</f>
        <v>0</v>
      </c>
      <c r="E160">
        <f t="shared" si="2"/>
        <v>-0.16</v>
      </c>
    </row>
    <row r="161" spans="1:5" x14ac:dyDescent="0.3">
      <c r="A161" t="str">
        <f>IF(Players!E161="","",Players!E161)</f>
        <v>DOMENICO IACOVINO</v>
      </c>
      <c r="B161" t="str">
        <f>IF(A161="","",Players!C161)</f>
        <v>Vecchie Glorie Rovigo</v>
      </c>
      <c r="C161" t="str">
        <f>IF(A161="","",Players!G161)</f>
        <v>17 - DOMENICO IACOVINO</v>
      </c>
      <c r="D161">
        <f>IF(A161="","",COUNTIFS(Goals!$D$2:$D$289,"Goal",Goals!$E$2:$E$289,"*"&amp;A161&amp;"*",Goals!$F$2:$F$289,B161)+COUNTIFS(KnockoutGoals!$D$2:$D$85,"Goal",KnockoutGoals!$E$2:$E$85,"*"&amp;A161&amp;"*",KnockoutGoals!$F$2:$F$85,B161))</f>
        <v>1</v>
      </c>
      <c r="E161">
        <f t="shared" si="2"/>
        <v>99999.839000000007</v>
      </c>
    </row>
    <row r="162" spans="1:5" x14ac:dyDescent="0.3">
      <c r="A162" t="str">
        <f>IF(Players!E162="","",Players!E162)</f>
        <v>GIACOMO PROTTI</v>
      </c>
      <c r="B162" t="str">
        <f>IF(A162="","",Players!C162)</f>
        <v>Vecchie Glorie Rovigo</v>
      </c>
      <c r="C162" t="str">
        <f>IF(A162="","",Players!G162)</f>
        <v>16 - GIACOMO PROTTI</v>
      </c>
      <c r="D162">
        <f>IF(A162="","",COUNTIFS(Goals!$D$2:$D$289,"Goal",Goals!$E$2:$E$289,"*"&amp;A162&amp;"*",Goals!$F$2:$F$289,B162)+COUNTIFS(KnockoutGoals!$D$2:$D$85,"Goal",KnockoutGoals!$E$2:$E$85,"*"&amp;A162&amp;"*",KnockoutGoals!$F$2:$F$85,B162))</f>
        <v>0</v>
      </c>
      <c r="E162">
        <f t="shared" si="2"/>
        <v>-0.16200000000000001</v>
      </c>
    </row>
    <row r="163" spans="1:5" x14ac:dyDescent="0.3">
      <c r="A163" t="str">
        <f>IF(Players!E163="","",Players!E163)</f>
        <v/>
      </c>
      <c r="B163" t="str">
        <f>IF(A163="","",Players!C163)</f>
        <v/>
      </c>
      <c r="C163" t="str">
        <f>IF(A163="","",Players!G163)</f>
        <v/>
      </c>
      <c r="D163" t="str">
        <f>IF(A163="","",COUNTIFS(Goals!$D$2:$D$289,"Goal",Goals!$E$2:$E$289,"*"&amp;A163&amp;"*",Goals!$F$2:$F$289,B163)+COUNTIFS(KnockoutGoals!$D$2:$D$85,"Goal",KnockoutGoals!$E$2:$E$85,"*"&amp;A163&amp;"*",KnockoutGoals!$F$2:$F$85,B163))</f>
        <v/>
      </c>
      <c r="E163">
        <f t="shared" si="2"/>
        <v>0</v>
      </c>
    </row>
    <row r="164" spans="1:5" x14ac:dyDescent="0.3">
      <c r="A164" t="str">
        <f>IF(Players!E164="","",Players!E164)</f>
        <v/>
      </c>
      <c r="B164" t="str">
        <f>IF(A164="","",Players!C164)</f>
        <v/>
      </c>
      <c r="C164" t="str">
        <f>IF(A164="","",Players!G164)</f>
        <v/>
      </c>
      <c r="D164" t="str">
        <f>IF(A164="","",COUNTIFS(Goals!$D$2:$D$289,"Goal",Goals!$E$2:$E$289,"*"&amp;A164&amp;"*",Goals!$F$2:$F$289,B164)+COUNTIFS(KnockoutGoals!$D$2:$D$85,"Goal",KnockoutGoals!$E$2:$E$85,"*"&amp;A164&amp;"*",KnockoutGoals!$F$2:$F$85,B164))</f>
        <v/>
      </c>
      <c r="E164">
        <f t="shared" si="2"/>
        <v>0</v>
      </c>
    </row>
    <row r="165" spans="1:5" x14ac:dyDescent="0.3">
      <c r="A165" t="str">
        <f>IF(Players!E165="","",Players!E165)</f>
        <v/>
      </c>
      <c r="B165" t="str">
        <f>IF(A165="","",Players!C165)</f>
        <v/>
      </c>
      <c r="C165" t="str">
        <f>IF(A165="","",Players!G165)</f>
        <v/>
      </c>
      <c r="D165" t="str">
        <f>IF(A165="","",COUNTIFS(Goals!$D$2:$D$289,"Goal",Goals!$E$2:$E$289,"*"&amp;A165&amp;"*",Goals!$F$2:$F$289,B165)+COUNTIFS(KnockoutGoals!$D$2:$D$85,"Goal",KnockoutGoals!$E$2:$E$85,"*"&amp;A165&amp;"*",KnockoutGoals!$F$2:$F$85,B165))</f>
        <v/>
      </c>
      <c r="E165">
        <f t="shared" si="2"/>
        <v>0</v>
      </c>
    </row>
    <row r="166" spans="1:5" x14ac:dyDescent="0.3">
      <c r="A166" t="str">
        <f>IF(Players!E166="","",Players!E166)</f>
        <v/>
      </c>
      <c r="B166" t="str">
        <f>IF(A166="","",Players!C166)</f>
        <v/>
      </c>
      <c r="C166" t="str">
        <f>IF(A166="","",Players!G166)</f>
        <v/>
      </c>
      <c r="D166" t="str">
        <f>IF(A166="","",COUNTIFS(Goals!$D$2:$D$289,"Goal",Goals!$E$2:$E$289,"*"&amp;A166&amp;"*",Goals!$F$2:$F$289,B166)+COUNTIFS(KnockoutGoals!$D$2:$D$85,"Goal",KnockoutGoals!$E$2:$E$85,"*"&amp;A166&amp;"*",KnockoutGoals!$F$2:$F$85,B166))</f>
        <v/>
      </c>
      <c r="E166">
        <f t="shared" si="2"/>
        <v>0</v>
      </c>
    </row>
    <row r="167" spans="1:5" x14ac:dyDescent="0.3">
      <c r="A167" t="str">
        <f>IF(Players!E167="","",Players!E167)</f>
        <v/>
      </c>
      <c r="B167" t="str">
        <f>IF(A167="","",Players!C167)</f>
        <v/>
      </c>
      <c r="C167" t="str">
        <f>IF(A167="","",Players!G167)</f>
        <v/>
      </c>
      <c r="D167" t="str">
        <f>IF(A167="","",COUNTIFS(Goals!$D$2:$D$289,"Goal",Goals!$E$2:$E$289,"*"&amp;A167&amp;"*",Goals!$F$2:$F$289,B167)+COUNTIFS(KnockoutGoals!$D$2:$D$85,"Goal",KnockoutGoals!$E$2:$E$85,"*"&amp;A167&amp;"*",KnockoutGoals!$F$2:$F$85,B167))</f>
        <v/>
      </c>
      <c r="E167">
        <f t="shared" si="2"/>
        <v>0</v>
      </c>
    </row>
    <row r="168" spans="1:5" x14ac:dyDescent="0.3">
      <c r="A168" t="str">
        <f>IF(Players!E168="","",Players!E168)</f>
        <v/>
      </c>
      <c r="B168" t="str">
        <f>IF(A168="","",Players!C168)</f>
        <v/>
      </c>
      <c r="C168" t="str">
        <f>IF(A168="","",Players!G168)</f>
        <v/>
      </c>
      <c r="D168" t="str">
        <f>IF(A168="","",COUNTIFS(Goals!$D$2:$D$289,"Goal",Goals!$E$2:$E$289,"*"&amp;A168&amp;"*",Goals!$F$2:$F$289,B168)+COUNTIFS(KnockoutGoals!$D$2:$D$85,"Goal",KnockoutGoals!$E$2:$E$85,"*"&amp;A168&amp;"*",KnockoutGoals!$F$2:$F$85,B168))</f>
        <v/>
      </c>
      <c r="E168">
        <f t="shared" si="2"/>
        <v>0</v>
      </c>
    </row>
    <row r="169" spans="1:5" x14ac:dyDescent="0.3">
      <c r="A169" t="str">
        <f>IF(Players!E169="","",Players!E169)</f>
        <v/>
      </c>
      <c r="B169" t="str">
        <f>IF(A169="","",Players!C169)</f>
        <v/>
      </c>
      <c r="C169" t="str">
        <f>IF(A169="","",Players!G169)</f>
        <v/>
      </c>
      <c r="D169" t="str">
        <f>IF(A169="","",COUNTIFS(Goals!$D$2:$D$289,"Goal",Goals!$E$2:$E$289,"*"&amp;A169&amp;"*",Goals!$F$2:$F$289,B169)+COUNTIFS(KnockoutGoals!$D$2:$D$85,"Goal",KnockoutGoals!$E$2:$E$85,"*"&amp;A169&amp;"*",KnockoutGoals!$F$2:$F$85,B169))</f>
        <v/>
      </c>
      <c r="E169">
        <f t="shared" si="2"/>
        <v>0</v>
      </c>
    </row>
    <row r="170" spans="1:5" x14ac:dyDescent="0.3">
      <c r="A170" t="str">
        <f>IF(Players!E170="","",Players!E170)</f>
        <v/>
      </c>
      <c r="B170" t="str">
        <f>IF(A170="","",Players!C170)</f>
        <v/>
      </c>
      <c r="C170" t="str">
        <f>IF(A170="","",Players!G170)</f>
        <v/>
      </c>
      <c r="D170" t="str">
        <f>IF(A170="","",COUNTIFS(Goals!$D$2:$D$289,"Goal",Goals!$E$2:$E$289,"*"&amp;A170&amp;"*",Goals!$F$2:$F$289,B170)+COUNTIFS(KnockoutGoals!$D$2:$D$85,"Goal",KnockoutGoals!$E$2:$E$85,"*"&amp;A170&amp;"*",KnockoutGoals!$F$2:$F$85,B170))</f>
        <v/>
      </c>
      <c r="E170">
        <f t="shared" si="2"/>
        <v>0</v>
      </c>
    </row>
    <row r="171" spans="1:5" x14ac:dyDescent="0.3">
      <c r="A171" t="str">
        <f>IF(Players!E171="","",Players!E171)</f>
        <v/>
      </c>
      <c r="B171" t="str">
        <f>IF(A171="","",Players!C171)</f>
        <v/>
      </c>
      <c r="C171" t="str">
        <f>IF(A171="","",Players!G171)</f>
        <v/>
      </c>
      <c r="D171" t="str">
        <f>IF(A171="","",COUNTIFS(Goals!$D$2:$D$289,"Goal",Goals!$E$2:$E$289,"*"&amp;A171&amp;"*",Goals!$F$2:$F$289,B171)+COUNTIFS(KnockoutGoals!$D$2:$D$85,"Goal",KnockoutGoals!$E$2:$E$85,"*"&amp;A171&amp;"*",KnockoutGoals!$F$2:$F$85,B171))</f>
        <v/>
      </c>
      <c r="E171">
        <f t="shared" si="2"/>
        <v>0</v>
      </c>
    </row>
    <row r="172" spans="1:5" x14ac:dyDescent="0.3">
      <c r="A172" t="str">
        <f>IF(Players!E172="","",Players!E172)</f>
        <v/>
      </c>
      <c r="B172" t="str">
        <f>IF(A172="","",Players!C172)</f>
        <v/>
      </c>
      <c r="C172" t="str">
        <f>IF(A172="","",Players!G172)</f>
        <v/>
      </c>
      <c r="D172" t="str">
        <f>IF(A172="","",COUNTIFS(Goals!$D$2:$D$289,"Goal",Goals!$E$2:$E$289,"*"&amp;A172&amp;"*",Goals!$F$2:$F$289,B172)+COUNTIFS(KnockoutGoals!$D$2:$D$85,"Goal",KnockoutGoals!$E$2:$E$85,"*"&amp;A172&amp;"*",KnockoutGoals!$F$2:$F$85,B172))</f>
        <v/>
      </c>
      <c r="E172">
        <f t="shared" si="2"/>
        <v>0</v>
      </c>
    </row>
    <row r="173" spans="1:5" x14ac:dyDescent="0.3">
      <c r="A173" t="str">
        <f>IF(Players!E173="","",Players!E173)</f>
        <v/>
      </c>
      <c r="B173" t="str">
        <f>IF(A173="","",Players!C173)</f>
        <v/>
      </c>
      <c r="C173" t="str">
        <f>IF(A173="","",Players!G173)</f>
        <v/>
      </c>
      <c r="D173" t="str">
        <f>IF(A173="","",COUNTIFS(Goals!$D$2:$D$289,"Goal",Goals!$E$2:$E$289,"*"&amp;A173&amp;"*",Goals!$F$2:$F$289,B173)+COUNTIFS(KnockoutGoals!$D$2:$D$85,"Goal",KnockoutGoals!$E$2:$E$85,"*"&amp;A173&amp;"*",KnockoutGoals!$F$2:$F$85,B173))</f>
        <v/>
      </c>
      <c r="E173">
        <f t="shared" si="2"/>
        <v>0</v>
      </c>
    </row>
    <row r="174" spans="1:5" x14ac:dyDescent="0.3">
      <c r="A174" t="str">
        <f>IF(Players!E174="","",Players!E174)</f>
        <v/>
      </c>
      <c r="B174" t="str">
        <f>IF(A174="","",Players!C174)</f>
        <v/>
      </c>
      <c r="C174" t="str">
        <f>IF(A174="","",Players!G174)</f>
        <v/>
      </c>
      <c r="D174" t="str">
        <f>IF(A174="","",COUNTIFS(Goals!$D$2:$D$289,"Goal",Goals!$E$2:$E$289,"*"&amp;A174&amp;"*",Goals!$F$2:$F$289,B174)+COUNTIFS(KnockoutGoals!$D$2:$D$85,"Goal",KnockoutGoals!$E$2:$E$85,"*"&amp;A174&amp;"*",KnockoutGoals!$F$2:$F$85,B174))</f>
        <v/>
      </c>
      <c r="E174">
        <f t="shared" si="2"/>
        <v>0</v>
      </c>
    </row>
    <row r="175" spans="1:5" x14ac:dyDescent="0.3">
      <c r="A175" t="str">
        <f>IF(Players!E175="","",Players!E175)</f>
        <v/>
      </c>
      <c r="B175" t="str">
        <f>IF(A175="","",Players!C175)</f>
        <v/>
      </c>
      <c r="C175" t="str">
        <f>IF(A175="","",Players!G175)</f>
        <v/>
      </c>
      <c r="D175" t="str">
        <f>IF(A175="","",COUNTIFS(Goals!$D$2:$D$289,"Goal",Goals!$E$2:$E$289,"*"&amp;A175&amp;"*",Goals!$F$2:$F$289,B175)+COUNTIFS(KnockoutGoals!$D$2:$D$85,"Goal",KnockoutGoals!$E$2:$E$85,"*"&amp;A175&amp;"*",KnockoutGoals!$F$2:$F$85,B175))</f>
        <v/>
      </c>
      <c r="E175">
        <f t="shared" si="2"/>
        <v>0</v>
      </c>
    </row>
    <row r="176" spans="1:5" x14ac:dyDescent="0.3">
      <c r="A176" t="str">
        <f>IF(Players!E176="","",Players!E176)</f>
        <v/>
      </c>
      <c r="B176" t="str">
        <f>IF(A176="","",Players!C176)</f>
        <v/>
      </c>
      <c r="C176" t="str">
        <f>IF(A176="","",Players!G176)</f>
        <v/>
      </c>
      <c r="D176" t="str">
        <f>IF(A176="","",COUNTIFS(Goals!$D$2:$D$289,"Goal",Goals!$E$2:$E$289,"*"&amp;A176&amp;"*",Goals!$F$2:$F$289,B176)+COUNTIFS(KnockoutGoals!$D$2:$D$85,"Goal",KnockoutGoals!$E$2:$E$85,"*"&amp;A176&amp;"*",KnockoutGoals!$F$2:$F$85,B176))</f>
        <v/>
      </c>
      <c r="E176">
        <f t="shared" si="2"/>
        <v>0</v>
      </c>
    </row>
    <row r="177" spans="1:5" x14ac:dyDescent="0.3">
      <c r="A177" t="str">
        <f>IF(Players!E177="","",Players!E177)</f>
        <v/>
      </c>
      <c r="B177" t="str">
        <f>IF(A177="","",Players!C177)</f>
        <v/>
      </c>
      <c r="C177" t="str">
        <f>IF(A177="","",Players!G177)</f>
        <v/>
      </c>
      <c r="D177" t="str">
        <f>IF(A177="","",COUNTIFS(Goals!$D$2:$D$289,"Goal",Goals!$E$2:$E$289,"*"&amp;A177&amp;"*",Goals!$F$2:$F$289,B177)+COUNTIFS(KnockoutGoals!$D$2:$D$85,"Goal",KnockoutGoals!$E$2:$E$85,"*"&amp;A177&amp;"*",KnockoutGoals!$F$2:$F$85,B177))</f>
        <v/>
      </c>
      <c r="E177">
        <f t="shared" si="2"/>
        <v>0</v>
      </c>
    </row>
    <row r="178" spans="1:5" x14ac:dyDescent="0.3">
      <c r="A178" t="str">
        <f>IF(Players!E178="","",Players!E178)</f>
        <v/>
      </c>
      <c r="B178" t="str">
        <f>IF(A178="","",Players!C178)</f>
        <v/>
      </c>
      <c r="C178" t="str">
        <f>IF(A178="","",Players!G178)</f>
        <v/>
      </c>
      <c r="D178" t="str">
        <f>IF(A178="","",COUNTIFS(Goals!$D$2:$D$289,"Goal",Goals!$E$2:$E$289,"*"&amp;A178&amp;"*",Goals!$F$2:$F$289,B178)+COUNTIFS(KnockoutGoals!$D$2:$D$85,"Goal",KnockoutGoals!$E$2:$E$85,"*"&amp;A178&amp;"*",KnockoutGoals!$F$2:$F$85,B178))</f>
        <v/>
      </c>
      <c r="E178">
        <f t="shared" si="2"/>
        <v>0</v>
      </c>
    </row>
    <row r="179" spans="1:5" x14ac:dyDescent="0.3">
      <c r="A179" t="str">
        <f>IF(Players!E179="","",Players!E179)</f>
        <v/>
      </c>
      <c r="B179" t="str">
        <f>IF(A179="","",Players!C179)</f>
        <v/>
      </c>
      <c r="C179" t="str">
        <f>IF(A179="","",Players!G179)</f>
        <v/>
      </c>
      <c r="D179" t="str">
        <f>IF(A179="","",COUNTIFS(Goals!$D$2:$D$289,"Goal",Goals!$E$2:$E$289,"*"&amp;A179&amp;"*",Goals!$F$2:$F$289,B179)+COUNTIFS(KnockoutGoals!$D$2:$D$85,"Goal",KnockoutGoals!$E$2:$E$85,"*"&amp;A179&amp;"*",KnockoutGoals!$F$2:$F$85,B179))</f>
        <v/>
      </c>
      <c r="E179">
        <f t="shared" si="2"/>
        <v>0</v>
      </c>
    </row>
    <row r="180" spans="1:5" x14ac:dyDescent="0.3">
      <c r="A180" t="str">
        <f>IF(Players!E180="","",Players!E180)</f>
        <v/>
      </c>
      <c r="B180" t="str">
        <f>IF(A180="","",Players!C180)</f>
        <v/>
      </c>
      <c r="C180" t="str">
        <f>IF(A180="","",Players!G180)</f>
        <v/>
      </c>
      <c r="D180" t="str">
        <f>IF(A180="","",COUNTIFS(Goals!$D$2:$D$289,"Goal",Goals!$E$2:$E$289,"*"&amp;A180&amp;"*",Goals!$F$2:$F$289,B180)+COUNTIFS(KnockoutGoals!$D$2:$D$85,"Goal",KnockoutGoals!$E$2:$E$85,"*"&amp;A180&amp;"*",KnockoutGoals!$F$2:$F$85,B180))</f>
        <v/>
      </c>
      <c r="E180">
        <f t="shared" si="2"/>
        <v>0</v>
      </c>
    </row>
    <row r="181" spans="1:5" x14ac:dyDescent="0.3">
      <c r="A181" t="str">
        <f>IF(Players!E181="","",Players!E181)</f>
        <v/>
      </c>
      <c r="B181" t="str">
        <f>IF(A181="","",Players!C181)</f>
        <v/>
      </c>
      <c r="C181" t="str">
        <f>IF(A181="","",Players!G181)</f>
        <v/>
      </c>
      <c r="D181" t="str">
        <f>IF(A181="","",COUNTIFS(Goals!$D$2:$D$289,"Goal",Goals!$E$2:$E$289,"*"&amp;A181&amp;"*",Goals!$F$2:$F$289,B181)+COUNTIFS(KnockoutGoals!$D$2:$D$85,"Goal",KnockoutGoals!$E$2:$E$85,"*"&amp;A181&amp;"*",KnockoutGoals!$F$2:$F$85,B181))</f>
        <v/>
      </c>
      <c r="E181">
        <f t="shared" si="2"/>
        <v>0</v>
      </c>
    </row>
    <row r="182" spans="1:5" x14ac:dyDescent="0.3">
      <c r="A182" t="str">
        <f>IF(Players!E182="","",Players!E182)</f>
        <v>RICCARDO BROGLIO</v>
      </c>
      <c r="B182" t="str">
        <f>IF(A182="","",Players!C182)</f>
        <v>AS Bancatore</v>
      </c>
      <c r="C182" t="str">
        <f>IF(A182="","",Players!G182)</f>
        <v>1 - RICCARDO BROGLIO</v>
      </c>
      <c r="D182">
        <f>IF(A182="","",COUNTIFS(Goals!$D$2:$D$289,"Goal",Goals!$E$2:$E$289,"*"&amp;A182&amp;"*",Goals!$F$2:$F$289,B182)+COUNTIFS(KnockoutGoals!$D$2:$D$85,"Goal",KnockoutGoals!$E$2:$E$85,"*"&amp;A182&amp;"*",KnockoutGoals!$F$2:$F$85,B182))</f>
        <v>0</v>
      </c>
      <c r="E182">
        <f t="shared" si="2"/>
        <v>-0.182</v>
      </c>
    </row>
    <row r="183" spans="1:5" x14ac:dyDescent="0.3">
      <c r="A183" t="str">
        <f>IF(Players!E183="","",Players!E183)</f>
        <v>NICOLÒ MARANGONI</v>
      </c>
      <c r="B183" t="str">
        <f>IF(A183="","",Players!C183)</f>
        <v>AS Bancatore</v>
      </c>
      <c r="C183" t="str">
        <f>IF(A183="","",Players!G183)</f>
        <v>2 - NICOLÒ MARANGONI</v>
      </c>
      <c r="D183">
        <f>IF(A183="","",COUNTIFS(Goals!$D$2:$D$289,"Goal",Goals!$E$2:$E$289,"*"&amp;A183&amp;"*",Goals!$F$2:$F$289,B183)+COUNTIFS(KnockoutGoals!$D$2:$D$85,"Goal",KnockoutGoals!$E$2:$E$85,"*"&amp;A183&amp;"*",KnockoutGoals!$F$2:$F$85,B183))</f>
        <v>0</v>
      </c>
      <c r="E183">
        <f t="shared" si="2"/>
        <v>-0.183</v>
      </c>
    </row>
    <row r="184" spans="1:5" x14ac:dyDescent="0.3">
      <c r="A184" t="str">
        <f>IF(Players!E184="","",Players!E184)</f>
        <v>MATTEO LONGO</v>
      </c>
      <c r="B184" t="str">
        <f>IF(A184="","",Players!C184)</f>
        <v>AS Bancatore</v>
      </c>
      <c r="C184" t="str">
        <f>IF(A184="","",Players!G184)</f>
        <v>5 - MATTEO LONGO</v>
      </c>
      <c r="D184">
        <f>IF(A184="","",COUNTIFS(Goals!$D$2:$D$289,"Goal",Goals!$E$2:$E$289,"*"&amp;A184&amp;"*",Goals!$F$2:$F$289,B184)+COUNTIFS(KnockoutGoals!$D$2:$D$85,"Goal",KnockoutGoals!$E$2:$E$85,"*"&amp;A184&amp;"*",KnockoutGoals!$F$2:$F$85,B184))</f>
        <v>1</v>
      </c>
      <c r="E184">
        <f t="shared" si="2"/>
        <v>99999.816000000006</v>
      </c>
    </row>
    <row r="185" spans="1:5" x14ac:dyDescent="0.3">
      <c r="A185" t="str">
        <f>IF(Players!E185="","",Players!E185)</f>
        <v>MATTIA ZAGO</v>
      </c>
      <c r="B185" t="str">
        <f>IF(A185="","",Players!C185)</f>
        <v>AS Bancatore</v>
      </c>
      <c r="C185" t="str">
        <f>IF(A185="","",Players!G185)</f>
        <v>7 - MATTIA ZAGO</v>
      </c>
      <c r="D185">
        <f>IF(A185="","",COUNTIFS(Goals!$D$2:$D$289,"Goal",Goals!$E$2:$E$289,"*"&amp;A185&amp;"*",Goals!$F$2:$F$289,B185)+COUNTIFS(KnockoutGoals!$D$2:$D$85,"Goal",KnockoutGoals!$E$2:$E$85,"*"&amp;A185&amp;"*",KnockoutGoals!$F$2:$F$85,B185))</f>
        <v>0</v>
      </c>
      <c r="E185">
        <f t="shared" si="2"/>
        <v>-0.185</v>
      </c>
    </row>
    <row r="186" spans="1:5" x14ac:dyDescent="0.3">
      <c r="A186" t="str">
        <f>IF(Players!E186="","",Players!E186)</f>
        <v>MATTEO SAVIOLI</v>
      </c>
      <c r="B186" t="str">
        <f>IF(A186="","",Players!C186)</f>
        <v>AS Bancatore</v>
      </c>
      <c r="C186" t="str">
        <f>IF(A186="","",Players!G186)</f>
        <v>8 - MATTEO SAVIOLI (C)</v>
      </c>
      <c r="D186">
        <f>IF(A186="","",COUNTIFS(Goals!$D$2:$D$289,"Goal",Goals!$E$2:$E$289,"*"&amp;A186&amp;"*",Goals!$F$2:$F$289,B186)+COUNTIFS(KnockoutGoals!$D$2:$D$85,"Goal",KnockoutGoals!$E$2:$E$85,"*"&amp;A186&amp;"*",KnockoutGoals!$F$2:$F$85,B186))</f>
        <v>0</v>
      </c>
      <c r="E186">
        <f t="shared" si="2"/>
        <v>-0.186</v>
      </c>
    </row>
    <row r="187" spans="1:5" x14ac:dyDescent="0.3">
      <c r="A187" t="str">
        <f>IF(Players!E187="","",Players!E187)</f>
        <v>IGNAZIO BADALÌ</v>
      </c>
      <c r="B187" t="str">
        <f>IF(A187="","",Players!C187)</f>
        <v>AS Bancatore</v>
      </c>
      <c r="C187" t="str">
        <f>IF(A187="","",Players!G187)</f>
        <v>9 - IGNAZIO BADALÌ</v>
      </c>
      <c r="D187">
        <f>IF(A187="","",COUNTIFS(Goals!$D$2:$D$289,"Goal",Goals!$E$2:$E$289,"*"&amp;A187&amp;"*",Goals!$F$2:$F$289,B187)+COUNTIFS(KnockoutGoals!$D$2:$D$85,"Goal",KnockoutGoals!$E$2:$E$85,"*"&amp;A187&amp;"*",KnockoutGoals!$F$2:$F$85,B187))</f>
        <v>2</v>
      </c>
      <c r="E187">
        <f t="shared" si="2"/>
        <v>199999.81299999999</v>
      </c>
    </row>
    <row r="188" spans="1:5" x14ac:dyDescent="0.3">
      <c r="A188" t="str">
        <f>IF(Players!E188="","",Players!E188)</f>
        <v>GIANLUCA FREZZATI</v>
      </c>
      <c r="B188" t="str">
        <f>IF(A188="","",Players!C188)</f>
        <v>AS Bancatore</v>
      </c>
      <c r="C188" t="str">
        <f>IF(A188="","",Players!G188)</f>
        <v>10 - GIANLUCA FREZZATI</v>
      </c>
      <c r="D188">
        <f>IF(A188="","",COUNTIFS(Goals!$D$2:$D$289,"Goal",Goals!$E$2:$E$289,"*"&amp;A188&amp;"*",Goals!$F$2:$F$289,B188)+COUNTIFS(KnockoutGoals!$D$2:$D$85,"Goal",KnockoutGoals!$E$2:$E$85,"*"&amp;A188&amp;"*",KnockoutGoals!$F$2:$F$85,B188))</f>
        <v>1</v>
      </c>
      <c r="E188">
        <f t="shared" si="2"/>
        <v>99999.812000000005</v>
      </c>
    </row>
    <row r="189" spans="1:5" x14ac:dyDescent="0.3">
      <c r="A189" t="str">
        <f>IF(Players!E189="","",Players!E189)</f>
        <v>FEDERICO MASCELLANI</v>
      </c>
      <c r="B189" t="str">
        <f>IF(A189="","",Players!C189)</f>
        <v>AS Bancatore</v>
      </c>
      <c r="C189" t="str">
        <f>IF(A189="","",Players!G189)</f>
        <v>11 - FEDERICO MASCELLANI</v>
      </c>
      <c r="D189">
        <f>IF(A189="","",COUNTIFS(Goals!$D$2:$D$289,"Goal",Goals!$E$2:$E$289,"*"&amp;A189&amp;"*",Goals!$F$2:$F$289,B189)+COUNTIFS(KnockoutGoals!$D$2:$D$85,"Goal",KnockoutGoals!$E$2:$E$85,"*"&amp;A189&amp;"*",KnockoutGoals!$F$2:$F$85,B189))</f>
        <v>0</v>
      </c>
      <c r="E189">
        <f t="shared" si="2"/>
        <v>-0.189</v>
      </c>
    </row>
    <row r="190" spans="1:5" x14ac:dyDescent="0.3">
      <c r="A190" t="str">
        <f>IF(Players!E190="","",Players!E190)</f>
        <v>ALBERTO OSTI</v>
      </c>
      <c r="B190" t="str">
        <f>IF(A190="","",Players!C190)</f>
        <v>AS Bancatore</v>
      </c>
      <c r="C190" t="str">
        <f>IF(A190="","",Players!G190)</f>
        <v>13 - ALBERTO OSTI</v>
      </c>
      <c r="D190">
        <f>IF(A190="","",COUNTIFS(Goals!$D$2:$D$289,"Goal",Goals!$E$2:$E$289,"*"&amp;A190&amp;"*",Goals!$F$2:$F$289,B190)+COUNTIFS(KnockoutGoals!$D$2:$D$85,"Goal",KnockoutGoals!$E$2:$E$85,"*"&amp;A190&amp;"*",KnockoutGoals!$F$2:$F$85,B190))</f>
        <v>0</v>
      </c>
      <c r="E190">
        <f t="shared" si="2"/>
        <v>-0.19</v>
      </c>
    </row>
    <row r="191" spans="1:5" x14ac:dyDescent="0.3">
      <c r="A191" t="str">
        <f>IF(Players!E191="","",Players!E191)</f>
        <v>LUCA ROSSI</v>
      </c>
      <c r="B191" t="str">
        <f>IF(A191="","",Players!C191)</f>
        <v>AS Bancatore</v>
      </c>
      <c r="C191" t="str">
        <f>IF(A191="","",Players!G191)</f>
        <v>14 - LUCA ROSSI</v>
      </c>
      <c r="D191">
        <f>IF(A191="","",COUNTIFS(Goals!$D$2:$D$289,"Goal",Goals!$E$2:$E$289,"*"&amp;A191&amp;"*",Goals!$F$2:$F$289,B191)+COUNTIFS(KnockoutGoals!$D$2:$D$85,"Goal",KnockoutGoals!$E$2:$E$85,"*"&amp;A191&amp;"*",KnockoutGoals!$F$2:$F$85,B191))</f>
        <v>0</v>
      </c>
      <c r="E191">
        <f t="shared" si="2"/>
        <v>-0.191</v>
      </c>
    </row>
    <row r="192" spans="1:5" x14ac:dyDescent="0.3">
      <c r="A192" t="str">
        <f>IF(Players!E192="","",Players!E192)</f>
        <v>NICOLA BARONI</v>
      </c>
      <c r="B192" t="str">
        <f>IF(A192="","",Players!C192)</f>
        <v>AS Bancatore</v>
      </c>
      <c r="C192" t="str">
        <f>IF(A192="","",Players!G192)</f>
        <v>17 - NICOLA BARONI</v>
      </c>
      <c r="D192">
        <f>IF(A192="","",COUNTIFS(Goals!$D$2:$D$289,"Goal",Goals!$E$2:$E$289,"*"&amp;A192&amp;"*",Goals!$F$2:$F$289,B192)+COUNTIFS(KnockoutGoals!$D$2:$D$85,"Goal",KnockoutGoals!$E$2:$E$85,"*"&amp;A192&amp;"*",KnockoutGoals!$F$2:$F$85,B192))</f>
        <v>1</v>
      </c>
      <c r="E192">
        <f t="shared" si="2"/>
        <v>99999.808000000005</v>
      </c>
    </row>
    <row r="193" spans="1:5" x14ac:dyDescent="0.3">
      <c r="A193" t="str">
        <f>IF(Players!E193="","",Players!E193)</f>
        <v/>
      </c>
      <c r="B193" t="str">
        <f>IF(A193="","",Players!C193)</f>
        <v/>
      </c>
      <c r="C193" t="str">
        <f>IF(A193="","",Players!G193)</f>
        <v/>
      </c>
      <c r="D193" t="str">
        <f>IF(A193="","",COUNTIFS(Goals!$D$2:$D$289,"Goal",Goals!$E$2:$E$289,"*"&amp;A193&amp;"*",Goals!$F$2:$F$289,B193)+COUNTIFS(KnockoutGoals!$D$2:$D$85,"Goal",KnockoutGoals!$E$2:$E$85,"*"&amp;A193&amp;"*",KnockoutGoals!$F$2:$F$85,B193))</f>
        <v/>
      </c>
      <c r="E193">
        <f t="shared" si="2"/>
        <v>0</v>
      </c>
    </row>
    <row r="194" spans="1:5" x14ac:dyDescent="0.3">
      <c r="A194" t="str">
        <f>IF(Players!E194="","",Players!E194)</f>
        <v/>
      </c>
      <c r="B194" t="str">
        <f>IF(A194="","",Players!C194)</f>
        <v/>
      </c>
      <c r="C194" t="str">
        <f>IF(A194="","",Players!G194)</f>
        <v/>
      </c>
      <c r="D194" t="str">
        <f>IF(A194="","",COUNTIFS(Goals!$D$2:$D$289,"Goal",Goals!$E$2:$E$289,"*"&amp;A194&amp;"*",Goals!$F$2:$F$289,B194)+COUNTIFS(KnockoutGoals!$D$2:$D$85,"Goal",KnockoutGoals!$E$2:$E$85,"*"&amp;A194&amp;"*",KnockoutGoals!$F$2:$F$85,B194))</f>
        <v/>
      </c>
      <c r="E194">
        <f t="shared" ref="E194:E257" si="3">IF(A194="",0,D194*100000-ROW()/1000)</f>
        <v>0</v>
      </c>
    </row>
    <row r="195" spans="1:5" x14ac:dyDescent="0.3">
      <c r="A195" t="str">
        <f>IF(Players!E195="","",Players!E195)</f>
        <v/>
      </c>
      <c r="B195" t="str">
        <f>IF(A195="","",Players!C195)</f>
        <v/>
      </c>
      <c r="C195" t="str">
        <f>IF(A195="","",Players!G195)</f>
        <v/>
      </c>
      <c r="D195" t="str">
        <f>IF(A195="","",COUNTIFS(Goals!$D$2:$D$289,"Goal",Goals!$E$2:$E$289,"*"&amp;A195&amp;"*",Goals!$F$2:$F$289,B195)+COUNTIFS(KnockoutGoals!$D$2:$D$85,"Goal",KnockoutGoals!$E$2:$E$85,"*"&amp;A195&amp;"*",KnockoutGoals!$F$2:$F$85,B195))</f>
        <v/>
      </c>
      <c r="E195">
        <f t="shared" si="3"/>
        <v>0</v>
      </c>
    </row>
    <row r="196" spans="1:5" x14ac:dyDescent="0.3">
      <c r="A196" t="str">
        <f>IF(Players!E196="","",Players!E196)</f>
        <v/>
      </c>
      <c r="B196" t="str">
        <f>IF(A196="","",Players!C196)</f>
        <v/>
      </c>
      <c r="C196" t="str">
        <f>IF(A196="","",Players!G196)</f>
        <v/>
      </c>
      <c r="D196" t="str">
        <f>IF(A196="","",COUNTIFS(Goals!$D$2:$D$289,"Goal",Goals!$E$2:$E$289,"*"&amp;A196&amp;"*",Goals!$F$2:$F$289,B196)+COUNTIFS(KnockoutGoals!$D$2:$D$85,"Goal",KnockoutGoals!$E$2:$E$85,"*"&amp;A196&amp;"*",KnockoutGoals!$F$2:$F$85,B196))</f>
        <v/>
      </c>
      <c r="E196">
        <f t="shared" si="3"/>
        <v>0</v>
      </c>
    </row>
    <row r="197" spans="1:5" x14ac:dyDescent="0.3">
      <c r="A197" t="str">
        <f>IF(Players!E197="","",Players!E197)</f>
        <v/>
      </c>
      <c r="B197" t="str">
        <f>IF(A197="","",Players!C197)</f>
        <v/>
      </c>
      <c r="C197" t="str">
        <f>IF(A197="","",Players!G197)</f>
        <v/>
      </c>
      <c r="D197" t="str">
        <f>IF(A197="","",COUNTIFS(Goals!$D$2:$D$289,"Goal",Goals!$E$2:$E$289,"*"&amp;A197&amp;"*",Goals!$F$2:$F$289,B197)+COUNTIFS(KnockoutGoals!$D$2:$D$85,"Goal",KnockoutGoals!$E$2:$E$85,"*"&amp;A197&amp;"*",KnockoutGoals!$F$2:$F$85,B197))</f>
        <v/>
      </c>
      <c r="E197">
        <f t="shared" si="3"/>
        <v>0</v>
      </c>
    </row>
    <row r="198" spans="1:5" x14ac:dyDescent="0.3">
      <c r="A198" t="str">
        <f>IF(Players!E198="","",Players!E198)</f>
        <v/>
      </c>
      <c r="B198" t="str">
        <f>IF(A198="","",Players!C198)</f>
        <v/>
      </c>
      <c r="C198" t="str">
        <f>IF(A198="","",Players!G198)</f>
        <v/>
      </c>
      <c r="D198" t="str">
        <f>IF(A198="","",COUNTIFS(Goals!$D$2:$D$289,"Goal",Goals!$E$2:$E$289,"*"&amp;A198&amp;"*",Goals!$F$2:$F$289,B198)+COUNTIFS(KnockoutGoals!$D$2:$D$85,"Goal",KnockoutGoals!$E$2:$E$85,"*"&amp;A198&amp;"*",KnockoutGoals!$F$2:$F$85,B198))</f>
        <v/>
      </c>
      <c r="E198">
        <f t="shared" si="3"/>
        <v>0</v>
      </c>
    </row>
    <row r="199" spans="1:5" x14ac:dyDescent="0.3">
      <c r="A199" t="str">
        <f>IF(Players!E199="","",Players!E199)</f>
        <v/>
      </c>
      <c r="B199" t="str">
        <f>IF(A199="","",Players!C199)</f>
        <v/>
      </c>
      <c r="C199" t="str">
        <f>IF(A199="","",Players!G199)</f>
        <v/>
      </c>
      <c r="D199" t="str">
        <f>IF(A199="","",COUNTIFS(Goals!$D$2:$D$289,"Goal",Goals!$E$2:$E$289,"*"&amp;A199&amp;"*",Goals!$F$2:$F$289,B199)+COUNTIFS(KnockoutGoals!$D$2:$D$85,"Goal",KnockoutGoals!$E$2:$E$85,"*"&amp;A199&amp;"*",KnockoutGoals!$F$2:$F$85,B199))</f>
        <v/>
      </c>
      <c r="E199">
        <f t="shared" si="3"/>
        <v>0</v>
      </c>
    </row>
    <row r="200" spans="1:5" x14ac:dyDescent="0.3">
      <c r="A200" t="str">
        <f>IF(Players!E200="","",Players!E200)</f>
        <v/>
      </c>
      <c r="B200" t="str">
        <f>IF(A200="","",Players!C200)</f>
        <v/>
      </c>
      <c r="C200" t="str">
        <f>IF(A200="","",Players!G200)</f>
        <v/>
      </c>
      <c r="D200" t="str">
        <f>IF(A200="","",COUNTIFS(Goals!$D$2:$D$289,"Goal",Goals!$E$2:$E$289,"*"&amp;A200&amp;"*",Goals!$F$2:$F$289,B200)+COUNTIFS(KnockoutGoals!$D$2:$D$85,"Goal",KnockoutGoals!$E$2:$E$85,"*"&amp;A200&amp;"*",KnockoutGoals!$F$2:$F$85,B200))</f>
        <v/>
      </c>
      <c r="E200">
        <f t="shared" si="3"/>
        <v>0</v>
      </c>
    </row>
    <row r="201" spans="1:5" x14ac:dyDescent="0.3">
      <c r="A201" t="str">
        <f>IF(Players!E201="","",Players!E201)</f>
        <v/>
      </c>
      <c r="B201" t="str">
        <f>IF(A201="","",Players!C201)</f>
        <v/>
      </c>
      <c r="C201" t="str">
        <f>IF(A201="","",Players!G201)</f>
        <v/>
      </c>
      <c r="D201" t="str">
        <f>IF(A201="","",COUNTIFS(Goals!$D$2:$D$289,"Goal",Goals!$E$2:$E$289,"*"&amp;A201&amp;"*",Goals!$F$2:$F$289,B201)+COUNTIFS(KnockoutGoals!$D$2:$D$85,"Goal",KnockoutGoals!$E$2:$E$85,"*"&amp;A201&amp;"*",KnockoutGoals!$F$2:$F$85,B201))</f>
        <v/>
      </c>
      <c r="E201">
        <f t="shared" si="3"/>
        <v>0</v>
      </c>
    </row>
    <row r="202" spans="1:5" x14ac:dyDescent="0.3">
      <c r="A202" t="str">
        <f>IF(Players!E202="","",Players!E202)</f>
        <v/>
      </c>
      <c r="B202" t="str">
        <f>IF(A202="","",Players!C202)</f>
        <v/>
      </c>
      <c r="C202" t="str">
        <f>IF(A202="","",Players!G202)</f>
        <v/>
      </c>
      <c r="D202" t="str">
        <f>IF(A202="","",COUNTIFS(Goals!$D$2:$D$289,"Goal",Goals!$E$2:$E$289,"*"&amp;A202&amp;"*",Goals!$F$2:$F$289,B202)+COUNTIFS(KnockoutGoals!$D$2:$D$85,"Goal",KnockoutGoals!$E$2:$E$85,"*"&amp;A202&amp;"*",KnockoutGoals!$F$2:$F$85,B202))</f>
        <v/>
      </c>
      <c r="E202">
        <f t="shared" si="3"/>
        <v>0</v>
      </c>
    </row>
    <row r="203" spans="1:5" x14ac:dyDescent="0.3">
      <c r="A203" t="str">
        <f>IF(Players!E203="","",Players!E203)</f>
        <v/>
      </c>
      <c r="B203" t="str">
        <f>IF(A203="","",Players!C203)</f>
        <v/>
      </c>
      <c r="C203" t="str">
        <f>IF(A203="","",Players!G203)</f>
        <v/>
      </c>
      <c r="D203" t="str">
        <f>IF(A203="","",COUNTIFS(Goals!$D$2:$D$289,"Goal",Goals!$E$2:$E$289,"*"&amp;A203&amp;"*",Goals!$F$2:$F$289,B203)+COUNTIFS(KnockoutGoals!$D$2:$D$85,"Goal",KnockoutGoals!$E$2:$E$85,"*"&amp;A203&amp;"*",KnockoutGoals!$F$2:$F$85,B203))</f>
        <v/>
      </c>
      <c r="E203">
        <f t="shared" si="3"/>
        <v>0</v>
      </c>
    </row>
    <row r="204" spans="1:5" x14ac:dyDescent="0.3">
      <c r="A204" t="str">
        <f>IF(Players!E204="","",Players!E204)</f>
        <v/>
      </c>
      <c r="B204" t="str">
        <f>IF(A204="","",Players!C204)</f>
        <v/>
      </c>
      <c r="C204" t="str">
        <f>IF(A204="","",Players!G204)</f>
        <v/>
      </c>
      <c r="D204" t="str">
        <f>IF(A204="","",COUNTIFS(Goals!$D$2:$D$289,"Goal",Goals!$E$2:$E$289,"*"&amp;A204&amp;"*",Goals!$F$2:$F$289,B204)+COUNTIFS(KnockoutGoals!$D$2:$D$85,"Goal",KnockoutGoals!$E$2:$E$85,"*"&amp;A204&amp;"*",KnockoutGoals!$F$2:$F$85,B204))</f>
        <v/>
      </c>
      <c r="E204">
        <f t="shared" si="3"/>
        <v>0</v>
      </c>
    </row>
    <row r="205" spans="1:5" x14ac:dyDescent="0.3">
      <c r="A205" t="str">
        <f>IF(Players!E205="","",Players!E205)</f>
        <v/>
      </c>
      <c r="B205" t="str">
        <f>IF(A205="","",Players!C205)</f>
        <v/>
      </c>
      <c r="C205" t="str">
        <f>IF(A205="","",Players!G205)</f>
        <v/>
      </c>
      <c r="D205" t="str">
        <f>IF(A205="","",COUNTIFS(Goals!$D$2:$D$289,"Goal",Goals!$E$2:$E$289,"*"&amp;A205&amp;"*",Goals!$F$2:$F$289,B205)+COUNTIFS(KnockoutGoals!$D$2:$D$85,"Goal",KnockoutGoals!$E$2:$E$85,"*"&amp;A205&amp;"*",KnockoutGoals!$F$2:$F$85,B205))</f>
        <v/>
      </c>
      <c r="E205">
        <f t="shared" si="3"/>
        <v>0</v>
      </c>
    </row>
    <row r="206" spans="1:5" x14ac:dyDescent="0.3">
      <c r="A206" t="str">
        <f>IF(Players!E206="","",Players!E206)</f>
        <v/>
      </c>
      <c r="B206" t="str">
        <f>IF(A206="","",Players!C206)</f>
        <v/>
      </c>
      <c r="C206" t="str">
        <f>IF(A206="","",Players!G206)</f>
        <v/>
      </c>
      <c r="D206" t="str">
        <f>IF(A206="","",COUNTIFS(Goals!$D$2:$D$289,"Goal",Goals!$E$2:$E$289,"*"&amp;A206&amp;"*",Goals!$F$2:$F$289,B206)+COUNTIFS(KnockoutGoals!$D$2:$D$85,"Goal",KnockoutGoals!$E$2:$E$85,"*"&amp;A206&amp;"*",KnockoutGoals!$F$2:$F$85,B206))</f>
        <v/>
      </c>
      <c r="E206">
        <f t="shared" si="3"/>
        <v>0</v>
      </c>
    </row>
    <row r="207" spans="1:5" x14ac:dyDescent="0.3">
      <c r="A207" t="str">
        <f>IF(Players!E207="","",Players!E207)</f>
        <v/>
      </c>
      <c r="B207" t="str">
        <f>IF(A207="","",Players!C207)</f>
        <v/>
      </c>
      <c r="C207" t="str">
        <f>IF(A207="","",Players!G207)</f>
        <v/>
      </c>
      <c r="D207" t="str">
        <f>IF(A207="","",COUNTIFS(Goals!$D$2:$D$289,"Goal",Goals!$E$2:$E$289,"*"&amp;A207&amp;"*",Goals!$F$2:$F$289,B207)+COUNTIFS(KnockoutGoals!$D$2:$D$85,"Goal",KnockoutGoals!$E$2:$E$85,"*"&amp;A207&amp;"*",KnockoutGoals!$F$2:$F$85,B207))</f>
        <v/>
      </c>
      <c r="E207">
        <f t="shared" si="3"/>
        <v>0</v>
      </c>
    </row>
    <row r="208" spans="1:5" x14ac:dyDescent="0.3">
      <c r="A208" t="str">
        <f>IF(Players!E208="","",Players!E208)</f>
        <v/>
      </c>
      <c r="B208" t="str">
        <f>IF(A208="","",Players!C208)</f>
        <v/>
      </c>
      <c r="C208" t="str">
        <f>IF(A208="","",Players!G208)</f>
        <v/>
      </c>
      <c r="D208" t="str">
        <f>IF(A208="","",COUNTIFS(Goals!$D$2:$D$289,"Goal",Goals!$E$2:$E$289,"*"&amp;A208&amp;"*",Goals!$F$2:$F$289,B208)+COUNTIFS(KnockoutGoals!$D$2:$D$85,"Goal",KnockoutGoals!$E$2:$E$85,"*"&amp;A208&amp;"*",KnockoutGoals!$F$2:$F$85,B208))</f>
        <v/>
      </c>
      <c r="E208">
        <f t="shared" si="3"/>
        <v>0</v>
      </c>
    </row>
    <row r="209" spans="1:5" x14ac:dyDescent="0.3">
      <c r="A209" t="str">
        <f>IF(Players!E209="","",Players!E209)</f>
        <v/>
      </c>
      <c r="B209" t="str">
        <f>IF(A209="","",Players!C209)</f>
        <v/>
      </c>
      <c r="C209" t="str">
        <f>IF(A209="","",Players!G209)</f>
        <v/>
      </c>
      <c r="D209" t="str">
        <f>IF(A209="","",COUNTIFS(Goals!$D$2:$D$289,"Goal",Goals!$E$2:$E$289,"*"&amp;A209&amp;"*",Goals!$F$2:$F$289,B209)+COUNTIFS(KnockoutGoals!$D$2:$D$85,"Goal",KnockoutGoals!$E$2:$E$85,"*"&amp;A209&amp;"*",KnockoutGoals!$F$2:$F$85,B209))</f>
        <v/>
      </c>
      <c r="E209">
        <f t="shared" si="3"/>
        <v>0</v>
      </c>
    </row>
    <row r="210" spans="1:5" x14ac:dyDescent="0.3">
      <c r="A210" t="str">
        <f>IF(Players!E210="","",Players!E210)</f>
        <v/>
      </c>
      <c r="B210" t="str">
        <f>IF(A210="","",Players!C210)</f>
        <v/>
      </c>
      <c r="C210" t="str">
        <f>IF(A210="","",Players!G210)</f>
        <v/>
      </c>
      <c r="D210" t="str">
        <f>IF(A210="","",COUNTIFS(Goals!$D$2:$D$289,"Goal",Goals!$E$2:$E$289,"*"&amp;A210&amp;"*",Goals!$F$2:$F$289,B210)+COUNTIFS(KnockoutGoals!$D$2:$D$85,"Goal",KnockoutGoals!$E$2:$E$85,"*"&amp;A210&amp;"*",KnockoutGoals!$F$2:$F$85,B210))</f>
        <v/>
      </c>
      <c r="E210">
        <f t="shared" si="3"/>
        <v>0</v>
      </c>
    </row>
    <row r="211" spans="1:5" x14ac:dyDescent="0.3">
      <c r="A211" t="str">
        <f>IF(Players!E211="","",Players!E211)</f>
        <v/>
      </c>
      <c r="B211" t="str">
        <f>IF(A211="","",Players!C211)</f>
        <v/>
      </c>
      <c r="C211" t="str">
        <f>IF(A211="","",Players!G211)</f>
        <v/>
      </c>
      <c r="D211" t="str">
        <f>IF(A211="","",COUNTIFS(Goals!$D$2:$D$289,"Goal",Goals!$E$2:$E$289,"*"&amp;A211&amp;"*",Goals!$F$2:$F$289,B211)+COUNTIFS(KnockoutGoals!$D$2:$D$85,"Goal",KnockoutGoals!$E$2:$E$85,"*"&amp;A211&amp;"*",KnockoutGoals!$F$2:$F$85,B211))</f>
        <v/>
      </c>
      <c r="E211">
        <f t="shared" si="3"/>
        <v>0</v>
      </c>
    </row>
    <row r="212" spans="1:5" x14ac:dyDescent="0.3">
      <c r="A212" t="str">
        <f>IF(Players!E212="","",Players!E212)</f>
        <v>SAMUEL MATTIELLO</v>
      </c>
      <c r="B212" t="str">
        <f>IF(A212="","",Players!C212)</f>
        <v>Beverton</v>
      </c>
      <c r="C212" t="str">
        <f>IF(A212="","",Players!G212)</f>
        <v>4 - SAMUEL MATTIELLO</v>
      </c>
      <c r="D212">
        <f>IF(A212="","",COUNTIFS(Goals!$D$2:$D$289,"Goal",Goals!$E$2:$E$289,"*"&amp;A212&amp;"*",Goals!$F$2:$F$289,B212)+COUNTIFS(KnockoutGoals!$D$2:$D$85,"Goal",KnockoutGoals!$E$2:$E$85,"*"&amp;A212&amp;"*",KnockoutGoals!$F$2:$F$85,B212))</f>
        <v>0</v>
      </c>
      <c r="E212">
        <f t="shared" si="3"/>
        <v>-0.21199999999999999</v>
      </c>
    </row>
    <row r="213" spans="1:5" x14ac:dyDescent="0.3">
      <c r="A213" t="str">
        <f>IF(Players!E213="","",Players!E213)</f>
        <v>SAMUEL BONSU</v>
      </c>
      <c r="B213" t="str">
        <f>IF(A213="","",Players!C213)</f>
        <v>Beverton</v>
      </c>
      <c r="C213" t="str">
        <f>IF(A213="","",Players!G213)</f>
        <v>10 - SAMUEL BONSU (C)</v>
      </c>
      <c r="D213">
        <f>IF(A213="","",COUNTIFS(Goals!$D$2:$D$289,"Goal",Goals!$E$2:$E$289,"*"&amp;A213&amp;"*",Goals!$F$2:$F$289,B213)+COUNTIFS(KnockoutGoals!$D$2:$D$85,"Goal",KnockoutGoals!$E$2:$E$85,"*"&amp;A213&amp;"*",KnockoutGoals!$F$2:$F$85,B213))</f>
        <v>0</v>
      </c>
      <c r="E213">
        <f t="shared" si="3"/>
        <v>-0.21299999999999999</v>
      </c>
    </row>
    <row r="214" spans="1:5" x14ac:dyDescent="0.3">
      <c r="A214" t="str">
        <f>IF(Players!E214="","",Players!E214)</f>
        <v>FILIPPO VENDRAMIN</v>
      </c>
      <c r="B214" t="str">
        <f>IF(A214="","",Players!C214)</f>
        <v>Beverton</v>
      </c>
      <c r="C214" t="str">
        <f>IF(A214="","",Players!G214)</f>
        <v>11 - FILIPPO VENDRAMIN</v>
      </c>
      <c r="D214">
        <f>IF(A214="","",COUNTIFS(Goals!$D$2:$D$289,"Goal",Goals!$E$2:$E$289,"*"&amp;A214&amp;"*",Goals!$F$2:$F$289,B214)+COUNTIFS(KnockoutGoals!$D$2:$D$85,"Goal",KnockoutGoals!$E$2:$E$85,"*"&amp;A214&amp;"*",KnockoutGoals!$F$2:$F$85,B214))</f>
        <v>0</v>
      </c>
      <c r="E214">
        <f t="shared" si="3"/>
        <v>-0.214</v>
      </c>
    </row>
    <row r="215" spans="1:5" x14ac:dyDescent="0.3">
      <c r="A215" t="str">
        <f>IF(Players!E215="","",Players!E215)</f>
        <v>MARCO GREGGIO</v>
      </c>
      <c r="B215" t="str">
        <f>IF(A215="","",Players!C215)</f>
        <v>Beverton</v>
      </c>
      <c r="C215" t="str">
        <f>IF(A215="","",Players!G215)</f>
        <v>14 - MARCO GREGGIO</v>
      </c>
      <c r="D215">
        <f>IF(A215="","",COUNTIFS(Goals!$D$2:$D$289,"Goal",Goals!$E$2:$E$289,"*"&amp;A215&amp;"*",Goals!$F$2:$F$289,B215)+COUNTIFS(KnockoutGoals!$D$2:$D$85,"Goal",KnockoutGoals!$E$2:$E$85,"*"&amp;A215&amp;"*",KnockoutGoals!$F$2:$F$85,B215))</f>
        <v>0</v>
      </c>
      <c r="E215">
        <f t="shared" si="3"/>
        <v>-0.215</v>
      </c>
    </row>
    <row r="216" spans="1:5" x14ac:dyDescent="0.3">
      <c r="A216" t="str">
        <f>IF(Players!E216="","",Players!E216)</f>
        <v>CHRISTIAN ZUCCATO</v>
      </c>
      <c r="B216" t="str">
        <f>IF(A216="","",Players!C216)</f>
        <v>Beverton</v>
      </c>
      <c r="C216" t="str">
        <f>IF(A216="","",Players!G216)</f>
        <v>19 - CHRISTIAN ZUCCATO</v>
      </c>
      <c r="D216">
        <f>IF(A216="","",COUNTIFS(Goals!$D$2:$D$289,"Goal",Goals!$E$2:$E$289,"*"&amp;A216&amp;"*",Goals!$F$2:$F$289,B216)+COUNTIFS(KnockoutGoals!$D$2:$D$85,"Goal",KnockoutGoals!$E$2:$E$85,"*"&amp;A216&amp;"*",KnockoutGoals!$F$2:$F$85,B216))</f>
        <v>0</v>
      </c>
      <c r="E216">
        <f t="shared" si="3"/>
        <v>-0.216</v>
      </c>
    </row>
    <row r="217" spans="1:5" x14ac:dyDescent="0.3">
      <c r="A217" t="str">
        <f>IF(Players!E217="","",Players!E217)</f>
        <v>MATTEO BARTOLOMEI</v>
      </c>
      <c r="B217" t="str">
        <f>IF(A217="","",Players!C217)</f>
        <v>Beverton</v>
      </c>
      <c r="C217" t="str">
        <f>IF(A217="","",Players!G217)</f>
        <v>21 - MATTEO BARTOLOMEI</v>
      </c>
      <c r="D217">
        <f>IF(A217="","",COUNTIFS(Goals!$D$2:$D$289,"Goal",Goals!$E$2:$E$289,"*"&amp;A217&amp;"*",Goals!$F$2:$F$289,B217)+COUNTIFS(KnockoutGoals!$D$2:$D$85,"Goal",KnockoutGoals!$E$2:$E$85,"*"&amp;A217&amp;"*",KnockoutGoals!$F$2:$F$85,B217))</f>
        <v>0</v>
      </c>
      <c r="E217">
        <f t="shared" si="3"/>
        <v>-0.217</v>
      </c>
    </row>
    <row r="218" spans="1:5" x14ac:dyDescent="0.3">
      <c r="A218" t="str">
        <f>IF(Players!E218="","",Players!E218)</f>
        <v/>
      </c>
      <c r="B218" t="str">
        <f>IF(A218="","",Players!C218)</f>
        <v/>
      </c>
      <c r="C218" t="str">
        <f>IF(A218="","",Players!G218)</f>
        <v/>
      </c>
      <c r="D218" t="str">
        <f>IF(A218="","",COUNTIFS(Goals!$D$2:$D$289,"Goal",Goals!$E$2:$E$289,"*"&amp;A218&amp;"*",Goals!$F$2:$F$289,B218)+COUNTIFS(KnockoutGoals!$D$2:$D$85,"Goal",KnockoutGoals!$E$2:$E$85,"*"&amp;A218&amp;"*",KnockoutGoals!$F$2:$F$85,B218))</f>
        <v/>
      </c>
      <c r="E218">
        <f t="shared" si="3"/>
        <v>0</v>
      </c>
    </row>
    <row r="219" spans="1:5" x14ac:dyDescent="0.3">
      <c r="A219" t="str">
        <f>IF(Players!E219="","",Players!E219)</f>
        <v/>
      </c>
      <c r="B219" t="str">
        <f>IF(A219="","",Players!C219)</f>
        <v/>
      </c>
      <c r="C219" t="str">
        <f>IF(A219="","",Players!G219)</f>
        <v/>
      </c>
      <c r="D219" t="str">
        <f>IF(A219="","",COUNTIFS(Goals!$D$2:$D$289,"Goal",Goals!$E$2:$E$289,"*"&amp;A219&amp;"*",Goals!$F$2:$F$289,B219)+COUNTIFS(KnockoutGoals!$D$2:$D$85,"Goal",KnockoutGoals!$E$2:$E$85,"*"&amp;A219&amp;"*",KnockoutGoals!$F$2:$F$85,B219))</f>
        <v/>
      </c>
      <c r="E219">
        <f t="shared" si="3"/>
        <v>0</v>
      </c>
    </row>
    <row r="220" spans="1:5" x14ac:dyDescent="0.3">
      <c r="A220" t="str">
        <f>IF(Players!E220="","",Players!E220)</f>
        <v/>
      </c>
      <c r="B220" t="str">
        <f>IF(A220="","",Players!C220)</f>
        <v/>
      </c>
      <c r="C220" t="str">
        <f>IF(A220="","",Players!G220)</f>
        <v/>
      </c>
      <c r="D220" t="str">
        <f>IF(A220="","",COUNTIFS(Goals!$D$2:$D$289,"Goal",Goals!$E$2:$E$289,"*"&amp;A220&amp;"*",Goals!$F$2:$F$289,B220)+COUNTIFS(KnockoutGoals!$D$2:$D$85,"Goal",KnockoutGoals!$E$2:$E$85,"*"&amp;A220&amp;"*",KnockoutGoals!$F$2:$F$85,B220))</f>
        <v/>
      </c>
      <c r="E220">
        <f t="shared" si="3"/>
        <v>0</v>
      </c>
    </row>
    <row r="221" spans="1:5" x14ac:dyDescent="0.3">
      <c r="A221" t="str">
        <f>IF(Players!E221="","",Players!E221)</f>
        <v/>
      </c>
      <c r="B221" t="str">
        <f>IF(A221="","",Players!C221)</f>
        <v/>
      </c>
      <c r="C221" t="str">
        <f>IF(A221="","",Players!G221)</f>
        <v/>
      </c>
      <c r="D221" t="str">
        <f>IF(A221="","",COUNTIFS(Goals!$D$2:$D$289,"Goal",Goals!$E$2:$E$289,"*"&amp;A221&amp;"*",Goals!$F$2:$F$289,B221)+COUNTIFS(KnockoutGoals!$D$2:$D$85,"Goal",KnockoutGoals!$E$2:$E$85,"*"&amp;A221&amp;"*",KnockoutGoals!$F$2:$F$85,B221))</f>
        <v/>
      </c>
      <c r="E221">
        <f t="shared" si="3"/>
        <v>0</v>
      </c>
    </row>
    <row r="222" spans="1:5" x14ac:dyDescent="0.3">
      <c r="A222" t="str">
        <f>IF(Players!E222="","",Players!E222)</f>
        <v/>
      </c>
      <c r="B222" t="str">
        <f>IF(A222="","",Players!C222)</f>
        <v/>
      </c>
      <c r="C222" t="str">
        <f>IF(A222="","",Players!G222)</f>
        <v/>
      </c>
      <c r="D222" t="str">
        <f>IF(A222="","",COUNTIFS(Goals!$D$2:$D$289,"Goal",Goals!$E$2:$E$289,"*"&amp;A222&amp;"*",Goals!$F$2:$F$289,B222)+COUNTIFS(KnockoutGoals!$D$2:$D$85,"Goal",KnockoutGoals!$E$2:$E$85,"*"&amp;A222&amp;"*",KnockoutGoals!$F$2:$F$85,B222))</f>
        <v/>
      </c>
      <c r="E222">
        <f t="shared" si="3"/>
        <v>0</v>
      </c>
    </row>
    <row r="223" spans="1:5" x14ac:dyDescent="0.3">
      <c r="A223" t="str">
        <f>IF(Players!E223="","",Players!E223)</f>
        <v/>
      </c>
      <c r="B223" t="str">
        <f>IF(A223="","",Players!C223)</f>
        <v/>
      </c>
      <c r="C223" t="str">
        <f>IF(A223="","",Players!G223)</f>
        <v/>
      </c>
      <c r="D223" t="str">
        <f>IF(A223="","",COUNTIFS(Goals!$D$2:$D$289,"Goal",Goals!$E$2:$E$289,"*"&amp;A223&amp;"*",Goals!$F$2:$F$289,B223)+COUNTIFS(KnockoutGoals!$D$2:$D$85,"Goal",KnockoutGoals!$E$2:$E$85,"*"&amp;A223&amp;"*",KnockoutGoals!$F$2:$F$85,B223))</f>
        <v/>
      </c>
      <c r="E223">
        <f t="shared" si="3"/>
        <v>0</v>
      </c>
    </row>
    <row r="224" spans="1:5" x14ac:dyDescent="0.3">
      <c r="A224" t="str">
        <f>IF(Players!E224="","",Players!E224)</f>
        <v/>
      </c>
      <c r="B224" t="str">
        <f>IF(A224="","",Players!C224)</f>
        <v/>
      </c>
      <c r="C224" t="str">
        <f>IF(A224="","",Players!G224)</f>
        <v/>
      </c>
      <c r="D224" t="str">
        <f>IF(A224="","",COUNTIFS(Goals!$D$2:$D$289,"Goal",Goals!$E$2:$E$289,"*"&amp;A224&amp;"*",Goals!$F$2:$F$289,B224)+COUNTIFS(KnockoutGoals!$D$2:$D$85,"Goal",KnockoutGoals!$E$2:$E$85,"*"&amp;A224&amp;"*",KnockoutGoals!$F$2:$F$85,B224))</f>
        <v/>
      </c>
      <c r="E224">
        <f t="shared" si="3"/>
        <v>0</v>
      </c>
    </row>
    <row r="225" spans="1:5" x14ac:dyDescent="0.3">
      <c r="A225" t="str">
        <f>IF(Players!E225="","",Players!E225)</f>
        <v/>
      </c>
      <c r="B225" t="str">
        <f>IF(A225="","",Players!C225)</f>
        <v/>
      </c>
      <c r="C225" t="str">
        <f>IF(A225="","",Players!G225)</f>
        <v/>
      </c>
      <c r="D225" t="str">
        <f>IF(A225="","",COUNTIFS(Goals!$D$2:$D$289,"Goal",Goals!$E$2:$E$289,"*"&amp;A225&amp;"*",Goals!$F$2:$F$289,B225)+COUNTIFS(KnockoutGoals!$D$2:$D$85,"Goal",KnockoutGoals!$E$2:$E$85,"*"&amp;A225&amp;"*",KnockoutGoals!$F$2:$F$85,B225))</f>
        <v/>
      </c>
      <c r="E225">
        <f t="shared" si="3"/>
        <v>0</v>
      </c>
    </row>
    <row r="226" spans="1:5" x14ac:dyDescent="0.3">
      <c r="A226" t="str">
        <f>IF(Players!E226="","",Players!E226)</f>
        <v/>
      </c>
      <c r="B226" t="str">
        <f>IF(A226="","",Players!C226)</f>
        <v/>
      </c>
      <c r="C226" t="str">
        <f>IF(A226="","",Players!G226)</f>
        <v/>
      </c>
      <c r="D226" t="str">
        <f>IF(A226="","",COUNTIFS(Goals!$D$2:$D$289,"Goal",Goals!$E$2:$E$289,"*"&amp;A226&amp;"*",Goals!$F$2:$F$289,B226)+COUNTIFS(KnockoutGoals!$D$2:$D$85,"Goal",KnockoutGoals!$E$2:$E$85,"*"&amp;A226&amp;"*",KnockoutGoals!$F$2:$F$85,B226))</f>
        <v/>
      </c>
      <c r="E226">
        <f t="shared" si="3"/>
        <v>0</v>
      </c>
    </row>
    <row r="227" spans="1:5" x14ac:dyDescent="0.3">
      <c r="A227" t="str">
        <f>IF(Players!E227="","",Players!E227)</f>
        <v/>
      </c>
      <c r="B227" t="str">
        <f>IF(A227="","",Players!C227)</f>
        <v/>
      </c>
      <c r="C227" t="str">
        <f>IF(A227="","",Players!G227)</f>
        <v/>
      </c>
      <c r="D227" t="str">
        <f>IF(A227="","",COUNTIFS(Goals!$D$2:$D$289,"Goal",Goals!$E$2:$E$289,"*"&amp;A227&amp;"*",Goals!$F$2:$F$289,B227)+COUNTIFS(KnockoutGoals!$D$2:$D$85,"Goal",KnockoutGoals!$E$2:$E$85,"*"&amp;A227&amp;"*",KnockoutGoals!$F$2:$F$85,B227))</f>
        <v/>
      </c>
      <c r="E227">
        <f t="shared" si="3"/>
        <v>0</v>
      </c>
    </row>
    <row r="228" spans="1:5" x14ac:dyDescent="0.3">
      <c r="A228" t="str">
        <f>IF(Players!E228="","",Players!E228)</f>
        <v/>
      </c>
      <c r="B228" t="str">
        <f>IF(A228="","",Players!C228)</f>
        <v/>
      </c>
      <c r="C228" t="str">
        <f>IF(A228="","",Players!G228)</f>
        <v/>
      </c>
      <c r="D228" t="str">
        <f>IF(A228="","",COUNTIFS(Goals!$D$2:$D$289,"Goal",Goals!$E$2:$E$289,"*"&amp;A228&amp;"*",Goals!$F$2:$F$289,B228)+COUNTIFS(KnockoutGoals!$D$2:$D$85,"Goal",KnockoutGoals!$E$2:$E$85,"*"&amp;A228&amp;"*",KnockoutGoals!$F$2:$F$85,B228))</f>
        <v/>
      </c>
      <c r="E228">
        <f t="shared" si="3"/>
        <v>0</v>
      </c>
    </row>
    <row r="229" spans="1:5" x14ac:dyDescent="0.3">
      <c r="A229" t="str">
        <f>IF(Players!E229="","",Players!E229)</f>
        <v/>
      </c>
      <c r="B229" t="str">
        <f>IF(A229="","",Players!C229)</f>
        <v/>
      </c>
      <c r="C229" t="str">
        <f>IF(A229="","",Players!G229)</f>
        <v/>
      </c>
      <c r="D229" t="str">
        <f>IF(A229="","",COUNTIFS(Goals!$D$2:$D$289,"Goal",Goals!$E$2:$E$289,"*"&amp;A229&amp;"*",Goals!$F$2:$F$289,B229)+COUNTIFS(KnockoutGoals!$D$2:$D$85,"Goal",KnockoutGoals!$E$2:$E$85,"*"&amp;A229&amp;"*",KnockoutGoals!$F$2:$F$85,B229))</f>
        <v/>
      </c>
      <c r="E229">
        <f t="shared" si="3"/>
        <v>0</v>
      </c>
    </row>
    <row r="230" spans="1:5" x14ac:dyDescent="0.3">
      <c r="A230" t="str">
        <f>IF(Players!E230="","",Players!E230)</f>
        <v/>
      </c>
      <c r="B230" t="str">
        <f>IF(A230="","",Players!C230)</f>
        <v/>
      </c>
      <c r="C230" t="str">
        <f>IF(A230="","",Players!G230)</f>
        <v/>
      </c>
      <c r="D230" t="str">
        <f>IF(A230="","",COUNTIFS(Goals!$D$2:$D$289,"Goal",Goals!$E$2:$E$289,"*"&amp;A230&amp;"*",Goals!$F$2:$F$289,B230)+COUNTIFS(KnockoutGoals!$D$2:$D$85,"Goal",KnockoutGoals!$E$2:$E$85,"*"&amp;A230&amp;"*",KnockoutGoals!$F$2:$F$85,B230))</f>
        <v/>
      </c>
      <c r="E230">
        <f t="shared" si="3"/>
        <v>0</v>
      </c>
    </row>
    <row r="231" spans="1:5" x14ac:dyDescent="0.3">
      <c r="A231" t="str">
        <f>IF(Players!E231="","",Players!E231)</f>
        <v/>
      </c>
      <c r="B231" t="str">
        <f>IF(A231="","",Players!C231)</f>
        <v/>
      </c>
      <c r="C231" t="str">
        <f>IF(A231="","",Players!G231)</f>
        <v/>
      </c>
      <c r="D231" t="str">
        <f>IF(A231="","",COUNTIFS(Goals!$D$2:$D$289,"Goal",Goals!$E$2:$E$289,"*"&amp;A231&amp;"*",Goals!$F$2:$F$289,B231)+COUNTIFS(KnockoutGoals!$D$2:$D$85,"Goal",KnockoutGoals!$E$2:$E$85,"*"&amp;A231&amp;"*",KnockoutGoals!$F$2:$F$85,B231))</f>
        <v/>
      </c>
      <c r="E231">
        <f t="shared" si="3"/>
        <v>0</v>
      </c>
    </row>
    <row r="232" spans="1:5" x14ac:dyDescent="0.3">
      <c r="A232" t="str">
        <f>IF(Players!E232="","",Players!E232)</f>
        <v/>
      </c>
      <c r="B232" t="str">
        <f>IF(A232="","",Players!C232)</f>
        <v/>
      </c>
      <c r="C232" t="str">
        <f>IF(A232="","",Players!G232)</f>
        <v/>
      </c>
      <c r="D232" t="str">
        <f>IF(A232="","",COUNTIFS(Goals!$D$2:$D$289,"Goal",Goals!$E$2:$E$289,"*"&amp;A232&amp;"*",Goals!$F$2:$F$289,B232)+COUNTIFS(KnockoutGoals!$D$2:$D$85,"Goal",KnockoutGoals!$E$2:$E$85,"*"&amp;A232&amp;"*",KnockoutGoals!$F$2:$F$85,B232))</f>
        <v/>
      </c>
      <c r="E232">
        <f t="shared" si="3"/>
        <v>0</v>
      </c>
    </row>
    <row r="233" spans="1:5" x14ac:dyDescent="0.3">
      <c r="A233" t="str">
        <f>IF(Players!E233="","",Players!E233)</f>
        <v/>
      </c>
      <c r="B233" t="str">
        <f>IF(A233="","",Players!C233)</f>
        <v/>
      </c>
      <c r="C233" t="str">
        <f>IF(A233="","",Players!G233)</f>
        <v/>
      </c>
      <c r="D233" t="str">
        <f>IF(A233="","",COUNTIFS(Goals!$D$2:$D$289,"Goal",Goals!$E$2:$E$289,"*"&amp;A233&amp;"*",Goals!$F$2:$F$289,B233)+COUNTIFS(KnockoutGoals!$D$2:$D$85,"Goal",KnockoutGoals!$E$2:$E$85,"*"&amp;A233&amp;"*",KnockoutGoals!$F$2:$F$85,B233))</f>
        <v/>
      </c>
      <c r="E233">
        <f t="shared" si="3"/>
        <v>0</v>
      </c>
    </row>
    <row r="234" spans="1:5" x14ac:dyDescent="0.3">
      <c r="A234" t="str">
        <f>IF(Players!E234="","",Players!E234)</f>
        <v/>
      </c>
      <c r="B234" t="str">
        <f>IF(A234="","",Players!C234)</f>
        <v/>
      </c>
      <c r="C234" t="str">
        <f>IF(A234="","",Players!G234)</f>
        <v/>
      </c>
      <c r="D234" t="str">
        <f>IF(A234="","",COUNTIFS(Goals!$D$2:$D$289,"Goal",Goals!$E$2:$E$289,"*"&amp;A234&amp;"*",Goals!$F$2:$F$289,B234)+COUNTIFS(KnockoutGoals!$D$2:$D$85,"Goal",KnockoutGoals!$E$2:$E$85,"*"&amp;A234&amp;"*",KnockoutGoals!$F$2:$F$85,B234))</f>
        <v/>
      </c>
      <c r="E234">
        <f t="shared" si="3"/>
        <v>0</v>
      </c>
    </row>
    <row r="235" spans="1:5" x14ac:dyDescent="0.3">
      <c r="A235" t="str">
        <f>IF(Players!E235="","",Players!E235)</f>
        <v/>
      </c>
      <c r="B235" t="str">
        <f>IF(A235="","",Players!C235)</f>
        <v/>
      </c>
      <c r="C235" t="str">
        <f>IF(A235="","",Players!G235)</f>
        <v/>
      </c>
      <c r="D235" t="str">
        <f>IF(A235="","",COUNTIFS(Goals!$D$2:$D$289,"Goal",Goals!$E$2:$E$289,"*"&amp;A235&amp;"*",Goals!$F$2:$F$289,B235)+COUNTIFS(KnockoutGoals!$D$2:$D$85,"Goal",KnockoutGoals!$E$2:$E$85,"*"&amp;A235&amp;"*",KnockoutGoals!$F$2:$F$85,B235))</f>
        <v/>
      </c>
      <c r="E235">
        <f t="shared" si="3"/>
        <v>0</v>
      </c>
    </row>
    <row r="236" spans="1:5" x14ac:dyDescent="0.3">
      <c r="A236" t="str">
        <f>IF(Players!E236="","",Players!E236)</f>
        <v/>
      </c>
      <c r="B236" t="str">
        <f>IF(A236="","",Players!C236)</f>
        <v/>
      </c>
      <c r="C236" t="str">
        <f>IF(A236="","",Players!G236)</f>
        <v/>
      </c>
      <c r="D236" t="str">
        <f>IF(A236="","",COUNTIFS(Goals!$D$2:$D$289,"Goal",Goals!$E$2:$E$289,"*"&amp;A236&amp;"*",Goals!$F$2:$F$289,B236)+COUNTIFS(KnockoutGoals!$D$2:$D$85,"Goal",KnockoutGoals!$E$2:$E$85,"*"&amp;A236&amp;"*",KnockoutGoals!$F$2:$F$85,B236))</f>
        <v/>
      </c>
      <c r="E236">
        <f t="shared" si="3"/>
        <v>0</v>
      </c>
    </row>
    <row r="237" spans="1:5" x14ac:dyDescent="0.3">
      <c r="A237" t="str">
        <f>IF(Players!E237="","",Players!E237)</f>
        <v/>
      </c>
      <c r="B237" t="str">
        <f>IF(A237="","",Players!C237)</f>
        <v/>
      </c>
      <c r="C237" t="str">
        <f>IF(A237="","",Players!G237)</f>
        <v/>
      </c>
      <c r="D237" t="str">
        <f>IF(A237="","",COUNTIFS(Goals!$D$2:$D$289,"Goal",Goals!$E$2:$E$289,"*"&amp;A237&amp;"*",Goals!$F$2:$F$289,B237)+COUNTIFS(KnockoutGoals!$D$2:$D$85,"Goal",KnockoutGoals!$E$2:$E$85,"*"&amp;A237&amp;"*",KnockoutGoals!$F$2:$F$85,B237))</f>
        <v/>
      </c>
      <c r="E237">
        <f t="shared" si="3"/>
        <v>0</v>
      </c>
    </row>
    <row r="238" spans="1:5" x14ac:dyDescent="0.3">
      <c r="A238" t="str">
        <f>IF(Players!E238="","",Players!E238)</f>
        <v/>
      </c>
      <c r="B238" t="str">
        <f>IF(A238="","",Players!C238)</f>
        <v/>
      </c>
      <c r="C238" t="str">
        <f>IF(A238="","",Players!G238)</f>
        <v/>
      </c>
      <c r="D238" t="str">
        <f>IF(A238="","",COUNTIFS(Goals!$D$2:$D$289,"Goal",Goals!$E$2:$E$289,"*"&amp;A238&amp;"*",Goals!$F$2:$F$289,B238)+COUNTIFS(KnockoutGoals!$D$2:$D$85,"Goal",KnockoutGoals!$E$2:$E$85,"*"&amp;A238&amp;"*",KnockoutGoals!$F$2:$F$85,B238))</f>
        <v/>
      </c>
      <c r="E238">
        <f t="shared" si="3"/>
        <v>0</v>
      </c>
    </row>
    <row r="239" spans="1:5" x14ac:dyDescent="0.3">
      <c r="A239" t="str">
        <f>IF(Players!E239="","",Players!E239)</f>
        <v/>
      </c>
      <c r="B239" t="str">
        <f>IF(A239="","",Players!C239)</f>
        <v/>
      </c>
      <c r="C239" t="str">
        <f>IF(A239="","",Players!G239)</f>
        <v/>
      </c>
      <c r="D239" t="str">
        <f>IF(A239="","",COUNTIFS(Goals!$D$2:$D$289,"Goal",Goals!$E$2:$E$289,"*"&amp;A239&amp;"*",Goals!$F$2:$F$289,B239)+COUNTIFS(KnockoutGoals!$D$2:$D$85,"Goal",KnockoutGoals!$E$2:$E$85,"*"&amp;A239&amp;"*",KnockoutGoals!$F$2:$F$85,B239))</f>
        <v/>
      </c>
      <c r="E239">
        <f t="shared" si="3"/>
        <v>0</v>
      </c>
    </row>
    <row r="240" spans="1:5" x14ac:dyDescent="0.3">
      <c r="A240" t="str">
        <f>IF(Players!E240="","",Players!E240)</f>
        <v/>
      </c>
      <c r="B240" t="str">
        <f>IF(A240="","",Players!C240)</f>
        <v/>
      </c>
      <c r="C240" t="str">
        <f>IF(A240="","",Players!G240)</f>
        <v/>
      </c>
      <c r="D240" t="str">
        <f>IF(A240="","",COUNTIFS(Goals!$D$2:$D$289,"Goal",Goals!$E$2:$E$289,"*"&amp;A240&amp;"*",Goals!$F$2:$F$289,B240)+COUNTIFS(KnockoutGoals!$D$2:$D$85,"Goal",KnockoutGoals!$E$2:$E$85,"*"&amp;A240&amp;"*",KnockoutGoals!$F$2:$F$85,B240))</f>
        <v/>
      </c>
      <c r="E240">
        <f t="shared" si="3"/>
        <v>0</v>
      </c>
    </row>
    <row r="241" spans="1:5" x14ac:dyDescent="0.3">
      <c r="A241" t="str">
        <f>IF(Players!E241="","",Players!E241)</f>
        <v/>
      </c>
      <c r="B241" t="str">
        <f>IF(A241="","",Players!C241)</f>
        <v/>
      </c>
      <c r="C241" t="str">
        <f>IF(A241="","",Players!G241)</f>
        <v/>
      </c>
      <c r="D241" t="str">
        <f>IF(A241="","",COUNTIFS(Goals!$D$2:$D$289,"Goal",Goals!$E$2:$E$289,"*"&amp;A241&amp;"*",Goals!$F$2:$F$289,B241)+COUNTIFS(KnockoutGoals!$D$2:$D$85,"Goal",KnockoutGoals!$E$2:$E$85,"*"&amp;A241&amp;"*",KnockoutGoals!$F$2:$F$85,B241))</f>
        <v/>
      </c>
      <c r="E241">
        <f t="shared" si="3"/>
        <v>0</v>
      </c>
    </row>
    <row r="242" spans="1:5" x14ac:dyDescent="0.3">
      <c r="A242" t="str">
        <f>IF(Players!E242="","",Players!E242)</f>
        <v>ANDREA DEGAN</v>
      </c>
      <c r="B242" t="str">
        <f>IF(A242="","",Players!C242)</f>
        <v>Leoni di Ricky</v>
      </c>
      <c r="C242" t="str">
        <f>IF(A242="","",Players!G242)</f>
        <v>1 - ANDREA DEGAN</v>
      </c>
      <c r="D242">
        <f>IF(A242="","",COUNTIFS(Goals!$D$2:$D$289,"Goal",Goals!$E$2:$E$289,"*"&amp;A242&amp;"*",Goals!$F$2:$F$289,B242)+COUNTIFS(KnockoutGoals!$D$2:$D$85,"Goal",KnockoutGoals!$E$2:$E$85,"*"&amp;A242&amp;"*",KnockoutGoals!$F$2:$F$85,B242))</f>
        <v>0</v>
      </c>
      <c r="E242">
        <f t="shared" si="3"/>
        <v>-0.24199999999999999</v>
      </c>
    </row>
    <row r="243" spans="1:5" x14ac:dyDescent="0.3">
      <c r="A243" t="str">
        <f>IF(Players!E243="","",Players!E243)</f>
        <v>LEONARDO MAGGIO</v>
      </c>
      <c r="B243" t="str">
        <f>IF(A243="","",Players!C243)</f>
        <v>Leoni di Ricky</v>
      </c>
      <c r="C243" t="str">
        <f>IF(A243="","",Players!G243)</f>
        <v>3 - LEONARDO MAGGIO</v>
      </c>
      <c r="D243">
        <f>IF(A243="","",COUNTIFS(Goals!$D$2:$D$289,"Goal",Goals!$E$2:$E$289,"*"&amp;A243&amp;"*",Goals!$F$2:$F$289,B243)+COUNTIFS(KnockoutGoals!$D$2:$D$85,"Goal",KnockoutGoals!$E$2:$E$85,"*"&amp;A243&amp;"*",KnockoutGoals!$F$2:$F$85,B243))</f>
        <v>3</v>
      </c>
      <c r="E243">
        <f t="shared" si="3"/>
        <v>299999.75699999998</v>
      </c>
    </row>
    <row r="244" spans="1:5" x14ac:dyDescent="0.3">
      <c r="A244" t="str">
        <f>IF(Players!E244="","",Players!E244)</f>
        <v>AMIN MASSAGHRI</v>
      </c>
      <c r="B244" t="str">
        <f>IF(A244="","",Players!C244)</f>
        <v>Leoni di Ricky</v>
      </c>
      <c r="C244" t="str">
        <f>IF(A244="","",Players!G244)</f>
        <v>4 - AMIN MASSAGHRI (C)</v>
      </c>
      <c r="D244">
        <f>IF(A244="","",COUNTIFS(Goals!$D$2:$D$289,"Goal",Goals!$E$2:$E$289,"*"&amp;A244&amp;"*",Goals!$F$2:$F$289,B244)+COUNTIFS(KnockoutGoals!$D$2:$D$85,"Goal",KnockoutGoals!$E$2:$E$85,"*"&amp;A244&amp;"*",KnockoutGoals!$F$2:$F$85,B244))</f>
        <v>0</v>
      </c>
      <c r="E244">
        <f t="shared" si="3"/>
        <v>-0.24399999999999999</v>
      </c>
    </row>
    <row r="245" spans="1:5" x14ac:dyDescent="0.3">
      <c r="A245" t="str">
        <f>IF(Players!E245="","",Players!E245)</f>
        <v>PIETRO VIOLATO</v>
      </c>
      <c r="B245" t="str">
        <f>IF(A245="","",Players!C245)</f>
        <v>Leoni di Ricky</v>
      </c>
      <c r="C245" t="str">
        <f>IF(A245="","",Players!G245)</f>
        <v>5 - PIETRO VIOLATO</v>
      </c>
      <c r="D245">
        <f>IF(A245="","",COUNTIFS(Goals!$D$2:$D$289,"Goal",Goals!$E$2:$E$289,"*"&amp;A245&amp;"*",Goals!$F$2:$F$289,B245)+COUNTIFS(KnockoutGoals!$D$2:$D$85,"Goal",KnockoutGoals!$E$2:$E$85,"*"&amp;A245&amp;"*",KnockoutGoals!$F$2:$F$85,B245))</f>
        <v>0</v>
      </c>
      <c r="E245">
        <f t="shared" si="3"/>
        <v>-0.245</v>
      </c>
    </row>
    <row r="246" spans="1:5" x14ac:dyDescent="0.3">
      <c r="A246" t="str">
        <f>IF(Players!E246="","",Players!E246)</f>
        <v>MARCO THOMPSON</v>
      </c>
      <c r="B246" t="str">
        <f>IF(A246="","",Players!C246)</f>
        <v>Leoni di Ricky</v>
      </c>
      <c r="C246" t="str">
        <f>IF(A246="","",Players!G246)</f>
        <v>6 - MARCO THOMPSON</v>
      </c>
      <c r="D246">
        <f>IF(A246="","",COUNTIFS(Goals!$D$2:$D$289,"Goal",Goals!$E$2:$E$289,"*"&amp;A246&amp;"*",Goals!$F$2:$F$289,B246)+COUNTIFS(KnockoutGoals!$D$2:$D$85,"Goal",KnockoutGoals!$E$2:$E$85,"*"&amp;A246&amp;"*",KnockoutGoals!$F$2:$F$85,B246))</f>
        <v>0</v>
      </c>
      <c r="E246">
        <f t="shared" si="3"/>
        <v>-0.246</v>
      </c>
    </row>
    <row r="247" spans="1:5" x14ac:dyDescent="0.3">
      <c r="A247" t="str">
        <f>IF(Players!E247="","",Players!E247)</f>
        <v>GIACOMO BORTOLIERO</v>
      </c>
      <c r="B247" t="str">
        <f>IF(A247="","",Players!C247)</f>
        <v>Leoni di Ricky</v>
      </c>
      <c r="C247" t="str">
        <f>IF(A247="","",Players!G247)</f>
        <v>8 - GIACOMO BORTOLIERO</v>
      </c>
      <c r="D247">
        <f>IF(A247="","",COUNTIFS(Goals!$D$2:$D$289,"Goal",Goals!$E$2:$E$289,"*"&amp;A247&amp;"*",Goals!$F$2:$F$289,B247)+COUNTIFS(KnockoutGoals!$D$2:$D$85,"Goal",KnockoutGoals!$E$2:$E$85,"*"&amp;A247&amp;"*",KnockoutGoals!$F$2:$F$85,B247))</f>
        <v>0</v>
      </c>
      <c r="E247">
        <f t="shared" si="3"/>
        <v>-0.247</v>
      </c>
    </row>
    <row r="248" spans="1:5" x14ac:dyDescent="0.3">
      <c r="A248" t="str">
        <f>IF(Players!E248="","",Players!E248)</f>
        <v>ANDREI BARZAGHIDEANU</v>
      </c>
      <c r="B248" t="str">
        <f>IF(A248="","",Players!C248)</f>
        <v>Leoni di Ricky</v>
      </c>
      <c r="C248" t="str">
        <f>IF(A248="","",Players!G248)</f>
        <v>10 - ANDREI BARZAGHIDEANU</v>
      </c>
      <c r="D248">
        <f>IF(A248="","",COUNTIFS(Goals!$D$2:$D$289,"Goal",Goals!$E$2:$E$289,"*"&amp;A248&amp;"*",Goals!$F$2:$F$289,B248)+COUNTIFS(KnockoutGoals!$D$2:$D$85,"Goal",KnockoutGoals!$E$2:$E$85,"*"&amp;A248&amp;"*",KnockoutGoals!$F$2:$F$85,B248))</f>
        <v>1</v>
      </c>
      <c r="E248">
        <f t="shared" si="3"/>
        <v>99999.751999999993</v>
      </c>
    </row>
    <row r="249" spans="1:5" x14ac:dyDescent="0.3">
      <c r="A249" t="str">
        <f>IF(Players!E249="","",Players!E249)</f>
        <v>VLAD GABRIEL DUMINICA</v>
      </c>
      <c r="B249" t="str">
        <f>IF(A249="","",Players!C249)</f>
        <v>Leoni di Ricky</v>
      </c>
      <c r="C249" t="str">
        <f>IF(A249="","",Players!G249)</f>
        <v>14 - VLAD GABRIEL DUMINICA</v>
      </c>
      <c r="D249">
        <f>IF(A249="","",COUNTIFS(Goals!$D$2:$D$289,"Goal",Goals!$E$2:$E$289,"*"&amp;A249&amp;"*",Goals!$F$2:$F$289,B249)+COUNTIFS(KnockoutGoals!$D$2:$D$85,"Goal",KnockoutGoals!$E$2:$E$85,"*"&amp;A249&amp;"*",KnockoutGoals!$F$2:$F$85,B249))</f>
        <v>1</v>
      </c>
      <c r="E249">
        <f t="shared" si="3"/>
        <v>99999.751000000004</v>
      </c>
    </row>
    <row r="250" spans="1:5" x14ac:dyDescent="0.3">
      <c r="A250" t="str">
        <f>IF(Players!E250="","",Players!E250)</f>
        <v>TOMMASO ZANGIROLAMI</v>
      </c>
      <c r="B250" t="str">
        <f>IF(A250="","",Players!C250)</f>
        <v>Leoni di Ricky</v>
      </c>
      <c r="C250" t="str">
        <f>IF(A250="","",Players!G250)</f>
        <v>20 - TOMMASO ZANGIROLAMI</v>
      </c>
      <c r="D250">
        <f>IF(A250="","",COUNTIFS(Goals!$D$2:$D$289,"Goal",Goals!$E$2:$E$289,"*"&amp;A250&amp;"*",Goals!$F$2:$F$289,B250)+COUNTIFS(KnockoutGoals!$D$2:$D$85,"Goal",KnockoutGoals!$E$2:$E$85,"*"&amp;A250&amp;"*",KnockoutGoals!$F$2:$F$85,B250))</f>
        <v>0</v>
      </c>
      <c r="E250">
        <f t="shared" si="3"/>
        <v>-0.25</v>
      </c>
    </row>
    <row r="251" spans="1:5" x14ac:dyDescent="0.3">
      <c r="A251" t="str">
        <f>IF(Players!E251="","",Players!E251)</f>
        <v/>
      </c>
      <c r="B251" t="str">
        <f>IF(A251="","",Players!C251)</f>
        <v/>
      </c>
      <c r="C251" t="str">
        <f>IF(A251="","",Players!G251)</f>
        <v/>
      </c>
      <c r="D251" t="str">
        <f>IF(A251="","",COUNTIFS(Goals!$D$2:$D$289,"Goal",Goals!$E$2:$E$289,"*"&amp;A251&amp;"*",Goals!$F$2:$F$289,B251)+COUNTIFS(KnockoutGoals!$D$2:$D$85,"Goal",KnockoutGoals!$E$2:$E$85,"*"&amp;A251&amp;"*",KnockoutGoals!$F$2:$F$85,B251))</f>
        <v/>
      </c>
      <c r="E251">
        <f t="shared" si="3"/>
        <v>0</v>
      </c>
    </row>
    <row r="252" spans="1:5" x14ac:dyDescent="0.3">
      <c r="A252" t="str">
        <f>IF(Players!E252="","",Players!E252)</f>
        <v/>
      </c>
      <c r="B252" t="str">
        <f>IF(A252="","",Players!C252)</f>
        <v/>
      </c>
      <c r="C252" t="str">
        <f>IF(A252="","",Players!G252)</f>
        <v/>
      </c>
      <c r="D252" t="str">
        <f>IF(A252="","",COUNTIFS(Goals!$D$2:$D$289,"Goal",Goals!$E$2:$E$289,"*"&amp;A252&amp;"*",Goals!$F$2:$F$289,B252)+COUNTIFS(KnockoutGoals!$D$2:$D$85,"Goal",KnockoutGoals!$E$2:$E$85,"*"&amp;A252&amp;"*",KnockoutGoals!$F$2:$F$85,B252))</f>
        <v/>
      </c>
      <c r="E252">
        <f t="shared" si="3"/>
        <v>0</v>
      </c>
    </row>
    <row r="253" spans="1:5" x14ac:dyDescent="0.3">
      <c r="A253" t="str">
        <f>IF(Players!E253="","",Players!E253)</f>
        <v/>
      </c>
      <c r="B253" t="str">
        <f>IF(A253="","",Players!C253)</f>
        <v/>
      </c>
      <c r="C253" t="str">
        <f>IF(A253="","",Players!G253)</f>
        <v/>
      </c>
      <c r="D253" t="str">
        <f>IF(A253="","",COUNTIFS(Goals!$D$2:$D$289,"Goal",Goals!$E$2:$E$289,"*"&amp;A253&amp;"*",Goals!$F$2:$F$289,B253)+COUNTIFS(KnockoutGoals!$D$2:$D$85,"Goal",KnockoutGoals!$E$2:$E$85,"*"&amp;A253&amp;"*",KnockoutGoals!$F$2:$F$85,B253))</f>
        <v/>
      </c>
      <c r="E253">
        <f t="shared" si="3"/>
        <v>0</v>
      </c>
    </row>
    <row r="254" spans="1:5" x14ac:dyDescent="0.3">
      <c r="A254" t="str">
        <f>IF(Players!E254="","",Players!E254)</f>
        <v/>
      </c>
      <c r="B254" t="str">
        <f>IF(A254="","",Players!C254)</f>
        <v/>
      </c>
      <c r="C254" t="str">
        <f>IF(A254="","",Players!G254)</f>
        <v/>
      </c>
      <c r="D254" t="str">
        <f>IF(A254="","",COUNTIFS(Goals!$D$2:$D$289,"Goal",Goals!$E$2:$E$289,"*"&amp;A254&amp;"*",Goals!$F$2:$F$289,B254)+COUNTIFS(KnockoutGoals!$D$2:$D$85,"Goal",KnockoutGoals!$E$2:$E$85,"*"&amp;A254&amp;"*",KnockoutGoals!$F$2:$F$85,B254))</f>
        <v/>
      </c>
      <c r="E254">
        <f t="shared" si="3"/>
        <v>0</v>
      </c>
    </row>
    <row r="255" spans="1:5" x14ac:dyDescent="0.3">
      <c r="A255" t="str">
        <f>IF(Players!E255="","",Players!E255)</f>
        <v/>
      </c>
      <c r="B255" t="str">
        <f>IF(A255="","",Players!C255)</f>
        <v/>
      </c>
      <c r="C255" t="str">
        <f>IF(A255="","",Players!G255)</f>
        <v/>
      </c>
      <c r="D255" t="str">
        <f>IF(A255="","",COUNTIFS(Goals!$D$2:$D$289,"Goal",Goals!$E$2:$E$289,"*"&amp;A255&amp;"*",Goals!$F$2:$F$289,B255)+COUNTIFS(KnockoutGoals!$D$2:$D$85,"Goal",KnockoutGoals!$E$2:$E$85,"*"&amp;A255&amp;"*",KnockoutGoals!$F$2:$F$85,B255))</f>
        <v/>
      </c>
      <c r="E255">
        <f t="shared" si="3"/>
        <v>0</v>
      </c>
    </row>
    <row r="256" spans="1:5" x14ac:dyDescent="0.3">
      <c r="A256" t="str">
        <f>IF(Players!E256="","",Players!E256)</f>
        <v/>
      </c>
      <c r="B256" t="str">
        <f>IF(A256="","",Players!C256)</f>
        <v/>
      </c>
      <c r="C256" t="str">
        <f>IF(A256="","",Players!G256)</f>
        <v/>
      </c>
      <c r="D256" t="str">
        <f>IF(A256="","",COUNTIFS(Goals!$D$2:$D$289,"Goal",Goals!$E$2:$E$289,"*"&amp;A256&amp;"*",Goals!$F$2:$F$289,B256)+COUNTIFS(KnockoutGoals!$D$2:$D$85,"Goal",KnockoutGoals!$E$2:$E$85,"*"&amp;A256&amp;"*",KnockoutGoals!$F$2:$F$85,B256))</f>
        <v/>
      </c>
      <c r="E256">
        <f t="shared" si="3"/>
        <v>0</v>
      </c>
    </row>
    <row r="257" spans="1:5" x14ac:dyDescent="0.3">
      <c r="A257" t="str">
        <f>IF(Players!E257="","",Players!E257)</f>
        <v/>
      </c>
      <c r="B257" t="str">
        <f>IF(A257="","",Players!C257)</f>
        <v/>
      </c>
      <c r="C257" t="str">
        <f>IF(A257="","",Players!G257)</f>
        <v/>
      </c>
      <c r="D257" t="str">
        <f>IF(A257="","",COUNTIFS(Goals!$D$2:$D$289,"Goal",Goals!$E$2:$E$289,"*"&amp;A257&amp;"*",Goals!$F$2:$F$289,B257)+COUNTIFS(KnockoutGoals!$D$2:$D$85,"Goal",KnockoutGoals!$E$2:$E$85,"*"&amp;A257&amp;"*",KnockoutGoals!$F$2:$F$85,B257))</f>
        <v/>
      </c>
      <c r="E257">
        <f t="shared" si="3"/>
        <v>0</v>
      </c>
    </row>
    <row r="258" spans="1:5" x14ac:dyDescent="0.3">
      <c r="A258" t="str">
        <f>IF(Players!E258="","",Players!E258)</f>
        <v/>
      </c>
      <c r="B258" t="str">
        <f>IF(A258="","",Players!C258)</f>
        <v/>
      </c>
      <c r="C258" t="str">
        <f>IF(A258="","",Players!G258)</f>
        <v/>
      </c>
      <c r="D258" t="str">
        <f>IF(A258="","",COUNTIFS(Goals!$D$2:$D$289,"Goal",Goals!$E$2:$E$289,"*"&amp;A258&amp;"*",Goals!$F$2:$F$289,B258)+COUNTIFS(KnockoutGoals!$D$2:$D$85,"Goal",KnockoutGoals!$E$2:$E$85,"*"&amp;A258&amp;"*",KnockoutGoals!$F$2:$F$85,B258))</f>
        <v/>
      </c>
      <c r="E258">
        <f t="shared" ref="E258:E321" si="4">IF(A258="",0,D258*100000-ROW()/1000)</f>
        <v>0</v>
      </c>
    </row>
    <row r="259" spans="1:5" x14ac:dyDescent="0.3">
      <c r="A259" t="str">
        <f>IF(Players!E259="","",Players!E259)</f>
        <v/>
      </c>
      <c r="B259" t="str">
        <f>IF(A259="","",Players!C259)</f>
        <v/>
      </c>
      <c r="C259" t="str">
        <f>IF(A259="","",Players!G259)</f>
        <v/>
      </c>
      <c r="D259" t="str">
        <f>IF(A259="","",COUNTIFS(Goals!$D$2:$D$289,"Goal",Goals!$E$2:$E$289,"*"&amp;A259&amp;"*",Goals!$F$2:$F$289,B259)+COUNTIFS(KnockoutGoals!$D$2:$D$85,"Goal",KnockoutGoals!$E$2:$E$85,"*"&amp;A259&amp;"*",KnockoutGoals!$F$2:$F$85,B259))</f>
        <v/>
      </c>
      <c r="E259">
        <f t="shared" si="4"/>
        <v>0</v>
      </c>
    </row>
    <row r="260" spans="1:5" x14ac:dyDescent="0.3">
      <c r="A260" t="str">
        <f>IF(Players!E260="","",Players!E260)</f>
        <v/>
      </c>
      <c r="B260" t="str">
        <f>IF(A260="","",Players!C260)</f>
        <v/>
      </c>
      <c r="C260" t="str">
        <f>IF(A260="","",Players!G260)</f>
        <v/>
      </c>
      <c r="D260" t="str">
        <f>IF(A260="","",COUNTIFS(Goals!$D$2:$D$289,"Goal",Goals!$E$2:$E$289,"*"&amp;A260&amp;"*",Goals!$F$2:$F$289,B260)+COUNTIFS(KnockoutGoals!$D$2:$D$85,"Goal",KnockoutGoals!$E$2:$E$85,"*"&amp;A260&amp;"*",KnockoutGoals!$F$2:$F$85,B260))</f>
        <v/>
      </c>
      <c r="E260">
        <f t="shared" si="4"/>
        <v>0</v>
      </c>
    </row>
    <row r="261" spans="1:5" x14ac:dyDescent="0.3">
      <c r="A261" t="str">
        <f>IF(Players!E261="","",Players!E261)</f>
        <v/>
      </c>
      <c r="B261" t="str">
        <f>IF(A261="","",Players!C261)</f>
        <v/>
      </c>
      <c r="C261" t="str">
        <f>IF(A261="","",Players!G261)</f>
        <v/>
      </c>
      <c r="D261" t="str">
        <f>IF(A261="","",COUNTIFS(Goals!$D$2:$D$289,"Goal",Goals!$E$2:$E$289,"*"&amp;A261&amp;"*",Goals!$F$2:$F$289,B261)+COUNTIFS(KnockoutGoals!$D$2:$D$85,"Goal",KnockoutGoals!$E$2:$E$85,"*"&amp;A261&amp;"*",KnockoutGoals!$F$2:$F$85,B261))</f>
        <v/>
      </c>
      <c r="E261">
        <f t="shared" si="4"/>
        <v>0</v>
      </c>
    </row>
    <row r="262" spans="1:5" x14ac:dyDescent="0.3">
      <c r="A262" t="str">
        <f>IF(Players!E262="","",Players!E262)</f>
        <v/>
      </c>
      <c r="B262" t="str">
        <f>IF(A262="","",Players!C262)</f>
        <v/>
      </c>
      <c r="C262" t="str">
        <f>IF(A262="","",Players!G262)</f>
        <v/>
      </c>
      <c r="D262" t="str">
        <f>IF(A262="","",COUNTIFS(Goals!$D$2:$D$289,"Goal",Goals!$E$2:$E$289,"*"&amp;A262&amp;"*",Goals!$F$2:$F$289,B262)+COUNTIFS(KnockoutGoals!$D$2:$D$85,"Goal",KnockoutGoals!$E$2:$E$85,"*"&amp;A262&amp;"*",KnockoutGoals!$F$2:$F$85,B262))</f>
        <v/>
      </c>
      <c r="E262">
        <f t="shared" si="4"/>
        <v>0</v>
      </c>
    </row>
    <row r="263" spans="1:5" x14ac:dyDescent="0.3">
      <c r="A263" t="str">
        <f>IF(Players!E263="","",Players!E263)</f>
        <v/>
      </c>
      <c r="B263" t="str">
        <f>IF(A263="","",Players!C263)</f>
        <v/>
      </c>
      <c r="C263" t="str">
        <f>IF(A263="","",Players!G263)</f>
        <v/>
      </c>
      <c r="D263" t="str">
        <f>IF(A263="","",COUNTIFS(Goals!$D$2:$D$289,"Goal",Goals!$E$2:$E$289,"*"&amp;A263&amp;"*",Goals!$F$2:$F$289,B263)+COUNTIFS(KnockoutGoals!$D$2:$D$85,"Goal",KnockoutGoals!$E$2:$E$85,"*"&amp;A263&amp;"*",KnockoutGoals!$F$2:$F$85,B263))</f>
        <v/>
      </c>
      <c r="E263">
        <f t="shared" si="4"/>
        <v>0</v>
      </c>
    </row>
    <row r="264" spans="1:5" x14ac:dyDescent="0.3">
      <c r="A264" t="str">
        <f>IF(Players!E264="","",Players!E264)</f>
        <v/>
      </c>
      <c r="B264" t="str">
        <f>IF(A264="","",Players!C264)</f>
        <v/>
      </c>
      <c r="C264" t="str">
        <f>IF(A264="","",Players!G264)</f>
        <v/>
      </c>
      <c r="D264" t="str">
        <f>IF(A264="","",COUNTIFS(Goals!$D$2:$D$289,"Goal",Goals!$E$2:$E$289,"*"&amp;A264&amp;"*",Goals!$F$2:$F$289,B264)+COUNTIFS(KnockoutGoals!$D$2:$D$85,"Goal",KnockoutGoals!$E$2:$E$85,"*"&amp;A264&amp;"*",KnockoutGoals!$F$2:$F$85,B264))</f>
        <v/>
      </c>
      <c r="E264">
        <f t="shared" si="4"/>
        <v>0</v>
      </c>
    </row>
    <row r="265" spans="1:5" x14ac:dyDescent="0.3">
      <c r="A265" t="str">
        <f>IF(Players!E265="","",Players!E265)</f>
        <v/>
      </c>
      <c r="B265" t="str">
        <f>IF(A265="","",Players!C265)</f>
        <v/>
      </c>
      <c r="C265" t="str">
        <f>IF(A265="","",Players!G265)</f>
        <v/>
      </c>
      <c r="D265" t="str">
        <f>IF(A265="","",COUNTIFS(Goals!$D$2:$D$289,"Goal",Goals!$E$2:$E$289,"*"&amp;A265&amp;"*",Goals!$F$2:$F$289,B265)+COUNTIFS(KnockoutGoals!$D$2:$D$85,"Goal",KnockoutGoals!$E$2:$E$85,"*"&amp;A265&amp;"*",KnockoutGoals!$F$2:$F$85,B265))</f>
        <v/>
      </c>
      <c r="E265">
        <f t="shared" si="4"/>
        <v>0</v>
      </c>
    </row>
    <row r="266" spans="1:5" x14ac:dyDescent="0.3">
      <c r="A266" t="str">
        <f>IF(Players!E266="","",Players!E266)</f>
        <v/>
      </c>
      <c r="B266" t="str">
        <f>IF(A266="","",Players!C266)</f>
        <v/>
      </c>
      <c r="C266" t="str">
        <f>IF(A266="","",Players!G266)</f>
        <v/>
      </c>
      <c r="D266" t="str">
        <f>IF(A266="","",COUNTIFS(Goals!$D$2:$D$289,"Goal",Goals!$E$2:$E$289,"*"&amp;A266&amp;"*",Goals!$F$2:$F$289,B266)+COUNTIFS(KnockoutGoals!$D$2:$D$85,"Goal",KnockoutGoals!$E$2:$E$85,"*"&amp;A266&amp;"*",KnockoutGoals!$F$2:$F$85,B266))</f>
        <v/>
      </c>
      <c r="E266">
        <f t="shared" si="4"/>
        <v>0</v>
      </c>
    </row>
    <row r="267" spans="1:5" x14ac:dyDescent="0.3">
      <c r="A267" t="str">
        <f>IF(Players!E267="","",Players!E267)</f>
        <v/>
      </c>
      <c r="B267" t="str">
        <f>IF(A267="","",Players!C267)</f>
        <v/>
      </c>
      <c r="C267" t="str">
        <f>IF(A267="","",Players!G267)</f>
        <v/>
      </c>
      <c r="D267" t="str">
        <f>IF(A267="","",COUNTIFS(Goals!$D$2:$D$289,"Goal",Goals!$E$2:$E$289,"*"&amp;A267&amp;"*",Goals!$F$2:$F$289,B267)+COUNTIFS(KnockoutGoals!$D$2:$D$85,"Goal",KnockoutGoals!$E$2:$E$85,"*"&amp;A267&amp;"*",KnockoutGoals!$F$2:$F$85,B267))</f>
        <v/>
      </c>
      <c r="E267">
        <f t="shared" si="4"/>
        <v>0</v>
      </c>
    </row>
    <row r="268" spans="1:5" x14ac:dyDescent="0.3">
      <c r="A268" t="str">
        <f>IF(Players!E268="","",Players!E268)</f>
        <v/>
      </c>
      <c r="B268" t="str">
        <f>IF(A268="","",Players!C268)</f>
        <v/>
      </c>
      <c r="C268" t="str">
        <f>IF(A268="","",Players!G268)</f>
        <v/>
      </c>
      <c r="D268" t="str">
        <f>IF(A268="","",COUNTIFS(Goals!$D$2:$D$289,"Goal",Goals!$E$2:$E$289,"*"&amp;A268&amp;"*",Goals!$F$2:$F$289,B268)+COUNTIFS(KnockoutGoals!$D$2:$D$85,"Goal",KnockoutGoals!$E$2:$E$85,"*"&amp;A268&amp;"*",KnockoutGoals!$F$2:$F$85,B268))</f>
        <v/>
      </c>
      <c r="E268">
        <f t="shared" si="4"/>
        <v>0</v>
      </c>
    </row>
    <row r="269" spans="1:5" x14ac:dyDescent="0.3">
      <c r="A269" t="str">
        <f>IF(Players!E269="","",Players!E269)</f>
        <v/>
      </c>
      <c r="B269" t="str">
        <f>IF(A269="","",Players!C269)</f>
        <v/>
      </c>
      <c r="C269" t="str">
        <f>IF(A269="","",Players!G269)</f>
        <v/>
      </c>
      <c r="D269" t="str">
        <f>IF(A269="","",COUNTIFS(Goals!$D$2:$D$289,"Goal",Goals!$E$2:$E$289,"*"&amp;A269&amp;"*",Goals!$F$2:$F$289,B269)+COUNTIFS(KnockoutGoals!$D$2:$D$85,"Goal",KnockoutGoals!$E$2:$E$85,"*"&amp;A269&amp;"*",KnockoutGoals!$F$2:$F$85,B269))</f>
        <v/>
      </c>
      <c r="E269">
        <f t="shared" si="4"/>
        <v>0</v>
      </c>
    </row>
    <row r="270" spans="1:5" x14ac:dyDescent="0.3">
      <c r="A270" t="str">
        <f>IF(Players!E270="","",Players!E270)</f>
        <v/>
      </c>
      <c r="B270" t="str">
        <f>IF(A270="","",Players!C270)</f>
        <v/>
      </c>
      <c r="C270" t="str">
        <f>IF(A270="","",Players!G270)</f>
        <v/>
      </c>
      <c r="D270" t="str">
        <f>IF(A270="","",COUNTIFS(Goals!$D$2:$D$289,"Goal",Goals!$E$2:$E$289,"*"&amp;A270&amp;"*",Goals!$F$2:$F$289,B270)+COUNTIFS(KnockoutGoals!$D$2:$D$85,"Goal",KnockoutGoals!$E$2:$E$85,"*"&amp;A270&amp;"*",KnockoutGoals!$F$2:$F$85,B270))</f>
        <v/>
      </c>
      <c r="E270">
        <f t="shared" si="4"/>
        <v>0</v>
      </c>
    </row>
    <row r="271" spans="1:5" x14ac:dyDescent="0.3">
      <c r="A271" t="str">
        <f>IF(Players!E271="","",Players!E271)</f>
        <v/>
      </c>
      <c r="B271" t="str">
        <f>IF(A271="","",Players!C271)</f>
        <v/>
      </c>
      <c r="C271" t="str">
        <f>IF(A271="","",Players!G271)</f>
        <v/>
      </c>
      <c r="D271" t="str">
        <f>IF(A271="","",COUNTIFS(Goals!$D$2:$D$289,"Goal",Goals!$E$2:$E$289,"*"&amp;A271&amp;"*",Goals!$F$2:$F$289,B271)+COUNTIFS(KnockoutGoals!$D$2:$D$85,"Goal",KnockoutGoals!$E$2:$E$85,"*"&amp;A271&amp;"*",KnockoutGoals!$F$2:$F$85,B271))</f>
        <v/>
      </c>
      <c r="E271">
        <f t="shared" si="4"/>
        <v>0</v>
      </c>
    </row>
    <row r="272" spans="1:5" x14ac:dyDescent="0.3">
      <c r="A272" t="str">
        <f>IF(Players!E272="","",Players!E272)</f>
        <v>LORENZO BOSCOLO</v>
      </c>
      <c r="B272" t="str">
        <f>IF(A272="","",Players!C272)</f>
        <v>Pink 5ive</v>
      </c>
      <c r="C272" t="str">
        <f>IF(A272="","",Players!G272)</f>
        <v>4 - LORENZO BOSCOLO</v>
      </c>
      <c r="D272">
        <f>IF(A272="","",COUNTIFS(Goals!$D$2:$D$289,"Goal",Goals!$E$2:$E$289,"*"&amp;A272&amp;"*",Goals!$F$2:$F$289,B272)+COUNTIFS(KnockoutGoals!$D$2:$D$85,"Goal",KnockoutGoals!$E$2:$E$85,"*"&amp;A272&amp;"*",KnockoutGoals!$F$2:$F$85,B272))</f>
        <v>0</v>
      </c>
      <c r="E272">
        <f t="shared" si="4"/>
        <v>-0.27200000000000002</v>
      </c>
    </row>
    <row r="273" spans="1:5" x14ac:dyDescent="0.3">
      <c r="A273" t="str">
        <f>IF(Players!E273="","",Players!E273)</f>
        <v>ELIA SICCHIERO</v>
      </c>
      <c r="B273" t="str">
        <f>IF(A273="","",Players!C273)</f>
        <v>Pink 5ive</v>
      </c>
      <c r="C273" t="str">
        <f>IF(A273="","",Players!G273)</f>
        <v>7 - ELIA SICCHIERO</v>
      </c>
      <c r="D273">
        <f>IF(A273="","",COUNTIFS(Goals!$D$2:$D$289,"Goal",Goals!$E$2:$E$289,"*"&amp;A273&amp;"*",Goals!$F$2:$F$289,B273)+COUNTIFS(KnockoutGoals!$D$2:$D$85,"Goal",KnockoutGoals!$E$2:$E$85,"*"&amp;A273&amp;"*",KnockoutGoals!$F$2:$F$85,B273))</f>
        <v>0</v>
      </c>
      <c r="E273">
        <f t="shared" si="4"/>
        <v>-0.27300000000000002</v>
      </c>
    </row>
    <row r="274" spans="1:5" x14ac:dyDescent="0.3">
      <c r="A274" t="str">
        <f>IF(Players!E274="","",Players!E274)</f>
        <v>GIOVANNI VERONESE</v>
      </c>
      <c r="B274" t="str">
        <f>IF(A274="","",Players!C274)</f>
        <v>Pink 5ive</v>
      </c>
      <c r="C274" t="str">
        <f>IF(A274="","",Players!G274)</f>
        <v>9 - GIOVANNI VERONESE</v>
      </c>
      <c r="D274">
        <f>IF(A274="","",COUNTIFS(Goals!$D$2:$D$289,"Goal",Goals!$E$2:$E$289,"*"&amp;A274&amp;"*",Goals!$F$2:$F$289,B274)+COUNTIFS(KnockoutGoals!$D$2:$D$85,"Goal",KnockoutGoals!$E$2:$E$85,"*"&amp;A274&amp;"*",KnockoutGoals!$F$2:$F$85,B274))</f>
        <v>0</v>
      </c>
      <c r="E274">
        <f t="shared" si="4"/>
        <v>-0.27400000000000002</v>
      </c>
    </row>
    <row r="275" spans="1:5" x14ac:dyDescent="0.3">
      <c r="A275" t="str">
        <f>IF(Players!E275="","",Players!E275)</f>
        <v>NICCOLO' PALTANIN</v>
      </c>
      <c r="B275" t="str">
        <f>IF(A275="","",Players!C275)</f>
        <v>Pink 5ive</v>
      </c>
      <c r="C275" t="str">
        <f>IF(A275="","",Players!G275)</f>
        <v>10 - NICCOLO' PALTANIN</v>
      </c>
      <c r="D275">
        <f>IF(A275="","",COUNTIFS(Goals!$D$2:$D$289,"Goal",Goals!$E$2:$E$289,"*"&amp;A275&amp;"*",Goals!$F$2:$F$289,B275)+COUNTIFS(KnockoutGoals!$D$2:$D$85,"Goal",KnockoutGoals!$E$2:$E$85,"*"&amp;A275&amp;"*",KnockoutGoals!$F$2:$F$85,B275))</f>
        <v>0</v>
      </c>
      <c r="E275">
        <f t="shared" si="4"/>
        <v>-0.27500000000000002</v>
      </c>
    </row>
    <row r="276" spans="1:5" x14ac:dyDescent="0.3">
      <c r="A276" t="str">
        <f>IF(Players!E276="","",Players!E276)</f>
        <v>LUCA CAVALLARO</v>
      </c>
      <c r="B276" t="str">
        <f>IF(A276="","",Players!C276)</f>
        <v>Pink 5ive</v>
      </c>
      <c r="C276" t="str">
        <f>IF(A276="","",Players!G276)</f>
        <v>15 - LUCA CAVALLARO</v>
      </c>
      <c r="D276">
        <f>IF(A276="","",COUNTIFS(Goals!$D$2:$D$289,"Goal",Goals!$E$2:$E$289,"*"&amp;A276&amp;"*",Goals!$F$2:$F$289,B276)+COUNTIFS(KnockoutGoals!$D$2:$D$85,"Goal",KnockoutGoals!$E$2:$E$85,"*"&amp;A276&amp;"*",KnockoutGoals!$F$2:$F$85,B276))</f>
        <v>0</v>
      </c>
      <c r="E276">
        <f t="shared" si="4"/>
        <v>-0.27600000000000002</v>
      </c>
    </row>
    <row r="277" spans="1:5" x14ac:dyDescent="0.3">
      <c r="A277" t="str">
        <f>IF(Players!E277="","",Players!E277)</f>
        <v>MATTEO CAMPION</v>
      </c>
      <c r="B277" t="str">
        <f>IF(A277="","",Players!C277)</f>
        <v>Pink 5ive</v>
      </c>
      <c r="C277" t="str">
        <f>IF(A277="","",Players!G277)</f>
        <v>19 - MATTEO CAMPION</v>
      </c>
      <c r="D277">
        <f>IF(A277="","",COUNTIFS(Goals!$D$2:$D$289,"Goal",Goals!$E$2:$E$289,"*"&amp;A277&amp;"*",Goals!$F$2:$F$289,B277)+COUNTIFS(KnockoutGoals!$D$2:$D$85,"Goal",KnockoutGoals!$E$2:$E$85,"*"&amp;A277&amp;"*",KnockoutGoals!$F$2:$F$85,B277))</f>
        <v>0</v>
      </c>
      <c r="E277">
        <f t="shared" si="4"/>
        <v>-0.27700000000000002</v>
      </c>
    </row>
    <row r="278" spans="1:5" x14ac:dyDescent="0.3">
      <c r="A278" t="str">
        <f>IF(Players!E278="","",Players!E278)</f>
        <v>LEONARDO BEDENDO</v>
      </c>
      <c r="B278" t="str">
        <f>IF(A278="","",Players!C278)</f>
        <v>Pink 5ive</v>
      </c>
      <c r="C278" t="str">
        <f>IF(A278="","",Players!G278)</f>
        <v>21 - LEONARDO BEDENDO</v>
      </c>
      <c r="D278">
        <f>IF(A278="","",COUNTIFS(Goals!$D$2:$D$289,"Goal",Goals!$E$2:$E$289,"*"&amp;A278&amp;"*",Goals!$F$2:$F$289,B278)+COUNTIFS(KnockoutGoals!$D$2:$D$85,"Goal",KnockoutGoals!$E$2:$E$85,"*"&amp;A278&amp;"*",KnockoutGoals!$F$2:$F$85,B278))</f>
        <v>0</v>
      </c>
      <c r="E278">
        <f t="shared" si="4"/>
        <v>-0.27800000000000002</v>
      </c>
    </row>
    <row r="279" spans="1:5" x14ac:dyDescent="0.3">
      <c r="A279" t="str">
        <f>IF(Players!E279="","",Players!E279)</f>
        <v>LUCA BERNARDINELLO</v>
      </c>
      <c r="B279" t="str">
        <f>IF(A279="","",Players!C279)</f>
        <v>Pink 5ive</v>
      </c>
      <c r="C279" t="str">
        <f>IF(A279="","",Players!G279)</f>
        <v>29 - LUCA BERNARDINELLO</v>
      </c>
      <c r="D279">
        <f>IF(A279="","",COUNTIFS(Goals!$D$2:$D$289,"Goal",Goals!$E$2:$E$289,"*"&amp;A279&amp;"*",Goals!$F$2:$F$289,B279)+COUNTIFS(KnockoutGoals!$D$2:$D$85,"Goal",KnockoutGoals!$E$2:$E$85,"*"&amp;A279&amp;"*",KnockoutGoals!$F$2:$F$85,B279))</f>
        <v>0</v>
      </c>
      <c r="E279">
        <f t="shared" si="4"/>
        <v>-0.27900000000000003</v>
      </c>
    </row>
    <row r="280" spans="1:5" x14ac:dyDescent="0.3">
      <c r="A280" t="str">
        <f>IF(Players!E280="","",Players!E280)</f>
        <v>LEONARDO VERONESE</v>
      </c>
      <c r="B280" t="str">
        <f>IF(A280="","",Players!C280)</f>
        <v>Pink 5ive</v>
      </c>
      <c r="C280" t="str">
        <f>IF(A280="","",Players!G280)</f>
        <v>63 - LEONARDO VERONESE (C)</v>
      </c>
      <c r="D280">
        <f>IF(A280="","",COUNTIFS(Goals!$D$2:$D$289,"Goal",Goals!$E$2:$E$289,"*"&amp;A280&amp;"*",Goals!$F$2:$F$289,B280)+COUNTIFS(KnockoutGoals!$D$2:$D$85,"Goal",KnockoutGoals!$E$2:$E$85,"*"&amp;A280&amp;"*",KnockoutGoals!$F$2:$F$85,B280))</f>
        <v>0</v>
      </c>
      <c r="E280">
        <f t="shared" si="4"/>
        <v>-0.28000000000000003</v>
      </c>
    </row>
    <row r="281" spans="1:5" x14ac:dyDescent="0.3">
      <c r="A281" t="str">
        <f>IF(Players!E281="","",Players!E281)</f>
        <v>MATTIA COLTRO</v>
      </c>
      <c r="B281" t="str">
        <f>IF(A281="","",Players!C281)</f>
        <v>Pink 5ive</v>
      </c>
      <c r="C281" t="str">
        <f>IF(A281="","",Players!G281)</f>
        <v>95 - MATTIA COLTRO</v>
      </c>
      <c r="D281">
        <f>IF(A281="","",COUNTIFS(Goals!$D$2:$D$289,"Goal",Goals!$E$2:$E$289,"*"&amp;A281&amp;"*",Goals!$F$2:$F$289,B281)+COUNTIFS(KnockoutGoals!$D$2:$D$85,"Goal",KnockoutGoals!$E$2:$E$85,"*"&amp;A281&amp;"*",KnockoutGoals!$F$2:$F$85,B281))</f>
        <v>0</v>
      </c>
      <c r="E281">
        <f t="shared" si="4"/>
        <v>-0.28100000000000003</v>
      </c>
    </row>
    <row r="282" spans="1:5" x14ac:dyDescent="0.3">
      <c r="A282" t="str">
        <f>IF(Players!E282="","",Players!E282)</f>
        <v/>
      </c>
      <c r="B282" t="str">
        <f>IF(A282="","",Players!C282)</f>
        <v/>
      </c>
      <c r="C282" t="str">
        <f>IF(A282="","",Players!G282)</f>
        <v/>
      </c>
      <c r="D282" t="str">
        <f>IF(A282="","",COUNTIFS(Goals!$D$2:$D$289,"Goal",Goals!$E$2:$E$289,"*"&amp;A282&amp;"*",Goals!$F$2:$F$289,B282)+COUNTIFS(KnockoutGoals!$D$2:$D$85,"Goal",KnockoutGoals!$E$2:$E$85,"*"&amp;A282&amp;"*",KnockoutGoals!$F$2:$F$85,B282))</f>
        <v/>
      </c>
      <c r="E282">
        <f t="shared" si="4"/>
        <v>0</v>
      </c>
    </row>
    <row r="283" spans="1:5" x14ac:dyDescent="0.3">
      <c r="A283" t="str">
        <f>IF(Players!E283="","",Players!E283)</f>
        <v/>
      </c>
      <c r="B283" t="str">
        <f>IF(A283="","",Players!C283)</f>
        <v/>
      </c>
      <c r="C283" t="str">
        <f>IF(A283="","",Players!G283)</f>
        <v/>
      </c>
      <c r="D283" t="str">
        <f>IF(A283="","",COUNTIFS(Goals!$D$2:$D$289,"Goal",Goals!$E$2:$E$289,"*"&amp;A283&amp;"*",Goals!$F$2:$F$289,B283)+COUNTIFS(KnockoutGoals!$D$2:$D$85,"Goal",KnockoutGoals!$E$2:$E$85,"*"&amp;A283&amp;"*",KnockoutGoals!$F$2:$F$85,B283))</f>
        <v/>
      </c>
      <c r="E283">
        <f t="shared" si="4"/>
        <v>0</v>
      </c>
    </row>
    <row r="284" spans="1:5" x14ac:dyDescent="0.3">
      <c r="A284" t="str">
        <f>IF(Players!E284="","",Players!E284)</f>
        <v/>
      </c>
      <c r="B284" t="str">
        <f>IF(A284="","",Players!C284)</f>
        <v/>
      </c>
      <c r="C284" t="str">
        <f>IF(A284="","",Players!G284)</f>
        <v/>
      </c>
      <c r="D284" t="str">
        <f>IF(A284="","",COUNTIFS(Goals!$D$2:$D$289,"Goal",Goals!$E$2:$E$289,"*"&amp;A284&amp;"*",Goals!$F$2:$F$289,B284)+COUNTIFS(KnockoutGoals!$D$2:$D$85,"Goal",KnockoutGoals!$E$2:$E$85,"*"&amp;A284&amp;"*",KnockoutGoals!$F$2:$F$85,B284))</f>
        <v/>
      </c>
      <c r="E284">
        <f t="shared" si="4"/>
        <v>0</v>
      </c>
    </row>
    <row r="285" spans="1:5" x14ac:dyDescent="0.3">
      <c r="A285" t="str">
        <f>IF(Players!E285="","",Players!E285)</f>
        <v/>
      </c>
      <c r="B285" t="str">
        <f>IF(A285="","",Players!C285)</f>
        <v/>
      </c>
      <c r="C285" t="str">
        <f>IF(A285="","",Players!G285)</f>
        <v/>
      </c>
      <c r="D285" t="str">
        <f>IF(A285="","",COUNTIFS(Goals!$D$2:$D$289,"Goal",Goals!$E$2:$E$289,"*"&amp;A285&amp;"*",Goals!$F$2:$F$289,B285)+COUNTIFS(KnockoutGoals!$D$2:$D$85,"Goal",KnockoutGoals!$E$2:$E$85,"*"&amp;A285&amp;"*",KnockoutGoals!$F$2:$F$85,B285))</f>
        <v/>
      </c>
      <c r="E285">
        <f t="shared" si="4"/>
        <v>0</v>
      </c>
    </row>
    <row r="286" spans="1:5" x14ac:dyDescent="0.3">
      <c r="A286" t="str">
        <f>IF(Players!E286="","",Players!E286)</f>
        <v/>
      </c>
      <c r="B286" t="str">
        <f>IF(A286="","",Players!C286)</f>
        <v/>
      </c>
      <c r="C286" t="str">
        <f>IF(A286="","",Players!G286)</f>
        <v/>
      </c>
      <c r="D286" t="str">
        <f>IF(A286="","",COUNTIFS(Goals!$D$2:$D$289,"Goal",Goals!$E$2:$E$289,"*"&amp;A286&amp;"*",Goals!$F$2:$F$289,B286)+COUNTIFS(KnockoutGoals!$D$2:$D$85,"Goal",KnockoutGoals!$E$2:$E$85,"*"&amp;A286&amp;"*",KnockoutGoals!$F$2:$F$85,B286))</f>
        <v/>
      </c>
      <c r="E286">
        <f t="shared" si="4"/>
        <v>0</v>
      </c>
    </row>
    <row r="287" spans="1:5" x14ac:dyDescent="0.3">
      <c r="A287" t="str">
        <f>IF(Players!E287="","",Players!E287)</f>
        <v/>
      </c>
      <c r="B287" t="str">
        <f>IF(A287="","",Players!C287)</f>
        <v/>
      </c>
      <c r="C287" t="str">
        <f>IF(A287="","",Players!G287)</f>
        <v/>
      </c>
      <c r="D287" t="str">
        <f>IF(A287="","",COUNTIFS(Goals!$D$2:$D$289,"Goal",Goals!$E$2:$E$289,"*"&amp;A287&amp;"*",Goals!$F$2:$F$289,B287)+COUNTIFS(KnockoutGoals!$D$2:$D$85,"Goal",KnockoutGoals!$E$2:$E$85,"*"&amp;A287&amp;"*",KnockoutGoals!$F$2:$F$85,B287))</f>
        <v/>
      </c>
      <c r="E287">
        <f t="shared" si="4"/>
        <v>0</v>
      </c>
    </row>
    <row r="288" spans="1:5" x14ac:dyDescent="0.3">
      <c r="A288" t="str">
        <f>IF(Players!E288="","",Players!E288)</f>
        <v/>
      </c>
      <c r="B288" t="str">
        <f>IF(A288="","",Players!C288)</f>
        <v/>
      </c>
      <c r="C288" t="str">
        <f>IF(A288="","",Players!G288)</f>
        <v/>
      </c>
      <c r="D288" t="str">
        <f>IF(A288="","",COUNTIFS(Goals!$D$2:$D$289,"Goal",Goals!$E$2:$E$289,"*"&amp;A288&amp;"*",Goals!$F$2:$F$289,B288)+COUNTIFS(KnockoutGoals!$D$2:$D$85,"Goal",KnockoutGoals!$E$2:$E$85,"*"&amp;A288&amp;"*",KnockoutGoals!$F$2:$F$85,B288))</f>
        <v/>
      </c>
      <c r="E288">
        <f t="shared" si="4"/>
        <v>0</v>
      </c>
    </row>
    <row r="289" spans="1:5" x14ac:dyDescent="0.3">
      <c r="A289" t="str">
        <f>IF(Players!E289="","",Players!E289)</f>
        <v/>
      </c>
      <c r="B289" t="str">
        <f>IF(A289="","",Players!C289)</f>
        <v/>
      </c>
      <c r="C289" t="str">
        <f>IF(A289="","",Players!G289)</f>
        <v/>
      </c>
      <c r="D289" t="str">
        <f>IF(A289="","",COUNTIFS(Goals!$D$2:$D$289,"Goal",Goals!$E$2:$E$289,"*"&amp;A289&amp;"*",Goals!$F$2:$F$289,B289)+COUNTIFS(KnockoutGoals!$D$2:$D$85,"Goal",KnockoutGoals!$E$2:$E$85,"*"&amp;A289&amp;"*",KnockoutGoals!$F$2:$F$85,B289))</f>
        <v/>
      </c>
      <c r="E289">
        <f t="shared" si="4"/>
        <v>0</v>
      </c>
    </row>
    <row r="290" spans="1:5" x14ac:dyDescent="0.3">
      <c r="A290" t="str">
        <f>IF(Players!E290="","",Players!E290)</f>
        <v/>
      </c>
      <c r="B290" t="str">
        <f>IF(A290="","",Players!C290)</f>
        <v/>
      </c>
      <c r="C290" t="str">
        <f>IF(A290="","",Players!G290)</f>
        <v/>
      </c>
      <c r="D290" t="str">
        <f>IF(A290="","",COUNTIFS(Goals!$D$2:$D$289,"Goal",Goals!$E$2:$E$289,"*"&amp;A290&amp;"*",Goals!$F$2:$F$289,B290)+COUNTIFS(KnockoutGoals!$D$2:$D$85,"Goal",KnockoutGoals!$E$2:$E$85,"*"&amp;A290&amp;"*",KnockoutGoals!$F$2:$F$85,B290))</f>
        <v/>
      </c>
      <c r="E290">
        <f t="shared" si="4"/>
        <v>0</v>
      </c>
    </row>
    <row r="291" spans="1:5" x14ac:dyDescent="0.3">
      <c r="A291" t="str">
        <f>IF(Players!E291="","",Players!E291)</f>
        <v/>
      </c>
      <c r="B291" t="str">
        <f>IF(A291="","",Players!C291)</f>
        <v/>
      </c>
      <c r="C291" t="str">
        <f>IF(A291="","",Players!G291)</f>
        <v/>
      </c>
      <c r="D291" t="str">
        <f>IF(A291="","",COUNTIFS(Goals!$D$2:$D$289,"Goal",Goals!$E$2:$E$289,"*"&amp;A291&amp;"*",Goals!$F$2:$F$289,B291)+COUNTIFS(KnockoutGoals!$D$2:$D$85,"Goal",KnockoutGoals!$E$2:$E$85,"*"&amp;A291&amp;"*",KnockoutGoals!$F$2:$F$85,B291))</f>
        <v/>
      </c>
      <c r="E291">
        <f t="shared" si="4"/>
        <v>0</v>
      </c>
    </row>
    <row r="292" spans="1:5" x14ac:dyDescent="0.3">
      <c r="A292" t="str">
        <f>IF(Players!E292="","",Players!E292)</f>
        <v/>
      </c>
      <c r="B292" t="str">
        <f>IF(A292="","",Players!C292)</f>
        <v/>
      </c>
      <c r="C292" t="str">
        <f>IF(A292="","",Players!G292)</f>
        <v/>
      </c>
      <c r="D292" t="str">
        <f>IF(A292="","",COUNTIFS(Goals!$D$2:$D$289,"Goal",Goals!$E$2:$E$289,"*"&amp;A292&amp;"*",Goals!$F$2:$F$289,B292)+COUNTIFS(KnockoutGoals!$D$2:$D$85,"Goal",KnockoutGoals!$E$2:$E$85,"*"&amp;A292&amp;"*",KnockoutGoals!$F$2:$F$85,B292))</f>
        <v/>
      </c>
      <c r="E292">
        <f t="shared" si="4"/>
        <v>0</v>
      </c>
    </row>
    <row r="293" spans="1:5" x14ac:dyDescent="0.3">
      <c r="A293" t="str">
        <f>IF(Players!E293="","",Players!E293)</f>
        <v/>
      </c>
      <c r="B293" t="str">
        <f>IF(A293="","",Players!C293)</f>
        <v/>
      </c>
      <c r="C293" t="str">
        <f>IF(A293="","",Players!G293)</f>
        <v/>
      </c>
      <c r="D293" t="str">
        <f>IF(A293="","",COUNTIFS(Goals!$D$2:$D$289,"Goal",Goals!$E$2:$E$289,"*"&amp;A293&amp;"*",Goals!$F$2:$F$289,B293)+COUNTIFS(KnockoutGoals!$D$2:$D$85,"Goal",KnockoutGoals!$E$2:$E$85,"*"&amp;A293&amp;"*",KnockoutGoals!$F$2:$F$85,B293))</f>
        <v/>
      </c>
      <c r="E293">
        <f t="shared" si="4"/>
        <v>0</v>
      </c>
    </row>
    <row r="294" spans="1:5" x14ac:dyDescent="0.3">
      <c r="A294" t="str">
        <f>IF(Players!E294="","",Players!E294)</f>
        <v/>
      </c>
      <c r="B294" t="str">
        <f>IF(A294="","",Players!C294)</f>
        <v/>
      </c>
      <c r="C294" t="str">
        <f>IF(A294="","",Players!G294)</f>
        <v/>
      </c>
      <c r="D294" t="str">
        <f>IF(A294="","",COUNTIFS(Goals!$D$2:$D$289,"Goal",Goals!$E$2:$E$289,"*"&amp;A294&amp;"*",Goals!$F$2:$F$289,B294)+COUNTIFS(KnockoutGoals!$D$2:$D$85,"Goal",KnockoutGoals!$E$2:$E$85,"*"&amp;A294&amp;"*",KnockoutGoals!$F$2:$F$85,B294))</f>
        <v/>
      </c>
      <c r="E294">
        <f t="shared" si="4"/>
        <v>0</v>
      </c>
    </row>
    <row r="295" spans="1:5" x14ac:dyDescent="0.3">
      <c r="A295" t="str">
        <f>IF(Players!E295="","",Players!E295)</f>
        <v/>
      </c>
      <c r="B295" t="str">
        <f>IF(A295="","",Players!C295)</f>
        <v/>
      </c>
      <c r="C295" t="str">
        <f>IF(A295="","",Players!G295)</f>
        <v/>
      </c>
      <c r="D295" t="str">
        <f>IF(A295="","",COUNTIFS(Goals!$D$2:$D$289,"Goal",Goals!$E$2:$E$289,"*"&amp;A295&amp;"*",Goals!$F$2:$F$289,B295)+COUNTIFS(KnockoutGoals!$D$2:$D$85,"Goal",KnockoutGoals!$E$2:$E$85,"*"&amp;A295&amp;"*",KnockoutGoals!$F$2:$F$85,B295))</f>
        <v/>
      </c>
      <c r="E295">
        <f t="shared" si="4"/>
        <v>0</v>
      </c>
    </row>
    <row r="296" spans="1:5" x14ac:dyDescent="0.3">
      <c r="A296" t="str">
        <f>IF(Players!E296="","",Players!E296)</f>
        <v/>
      </c>
      <c r="B296" t="str">
        <f>IF(A296="","",Players!C296)</f>
        <v/>
      </c>
      <c r="C296" t="str">
        <f>IF(A296="","",Players!G296)</f>
        <v/>
      </c>
      <c r="D296" t="str">
        <f>IF(A296="","",COUNTIFS(Goals!$D$2:$D$289,"Goal",Goals!$E$2:$E$289,"*"&amp;A296&amp;"*",Goals!$F$2:$F$289,B296)+COUNTIFS(KnockoutGoals!$D$2:$D$85,"Goal",KnockoutGoals!$E$2:$E$85,"*"&amp;A296&amp;"*",KnockoutGoals!$F$2:$F$85,B296))</f>
        <v/>
      </c>
      <c r="E296">
        <f t="shared" si="4"/>
        <v>0</v>
      </c>
    </row>
    <row r="297" spans="1:5" x14ac:dyDescent="0.3">
      <c r="A297" t="str">
        <f>IF(Players!E297="","",Players!E297)</f>
        <v/>
      </c>
      <c r="B297" t="str">
        <f>IF(A297="","",Players!C297)</f>
        <v/>
      </c>
      <c r="C297" t="str">
        <f>IF(A297="","",Players!G297)</f>
        <v/>
      </c>
      <c r="D297" t="str">
        <f>IF(A297="","",COUNTIFS(Goals!$D$2:$D$289,"Goal",Goals!$E$2:$E$289,"*"&amp;A297&amp;"*",Goals!$F$2:$F$289,B297)+COUNTIFS(KnockoutGoals!$D$2:$D$85,"Goal",KnockoutGoals!$E$2:$E$85,"*"&amp;A297&amp;"*",KnockoutGoals!$F$2:$F$85,B297))</f>
        <v/>
      </c>
      <c r="E297">
        <f t="shared" si="4"/>
        <v>0</v>
      </c>
    </row>
    <row r="298" spans="1:5" x14ac:dyDescent="0.3">
      <c r="A298" t="str">
        <f>IF(Players!E298="","",Players!E298)</f>
        <v/>
      </c>
      <c r="B298" t="str">
        <f>IF(A298="","",Players!C298)</f>
        <v/>
      </c>
      <c r="C298" t="str">
        <f>IF(A298="","",Players!G298)</f>
        <v/>
      </c>
      <c r="D298" t="str">
        <f>IF(A298="","",COUNTIFS(Goals!$D$2:$D$289,"Goal",Goals!$E$2:$E$289,"*"&amp;A298&amp;"*",Goals!$F$2:$F$289,B298)+COUNTIFS(KnockoutGoals!$D$2:$D$85,"Goal",KnockoutGoals!$E$2:$E$85,"*"&amp;A298&amp;"*",KnockoutGoals!$F$2:$F$85,B298))</f>
        <v/>
      </c>
      <c r="E298">
        <f t="shared" si="4"/>
        <v>0</v>
      </c>
    </row>
    <row r="299" spans="1:5" x14ac:dyDescent="0.3">
      <c r="A299" t="str">
        <f>IF(Players!E299="","",Players!E299)</f>
        <v/>
      </c>
      <c r="B299" t="str">
        <f>IF(A299="","",Players!C299)</f>
        <v/>
      </c>
      <c r="C299" t="str">
        <f>IF(A299="","",Players!G299)</f>
        <v/>
      </c>
      <c r="D299" t="str">
        <f>IF(A299="","",COUNTIFS(Goals!$D$2:$D$289,"Goal",Goals!$E$2:$E$289,"*"&amp;A299&amp;"*",Goals!$F$2:$F$289,B299)+COUNTIFS(KnockoutGoals!$D$2:$D$85,"Goal",KnockoutGoals!$E$2:$E$85,"*"&amp;A299&amp;"*",KnockoutGoals!$F$2:$F$85,B299))</f>
        <v/>
      </c>
      <c r="E299">
        <f t="shared" si="4"/>
        <v>0</v>
      </c>
    </row>
    <row r="300" spans="1:5" x14ac:dyDescent="0.3">
      <c r="A300" t="str">
        <f>IF(Players!E300="","",Players!E300)</f>
        <v/>
      </c>
      <c r="B300" t="str">
        <f>IF(A300="","",Players!C300)</f>
        <v/>
      </c>
      <c r="C300" t="str">
        <f>IF(A300="","",Players!G300)</f>
        <v/>
      </c>
      <c r="D300" t="str">
        <f>IF(A300="","",COUNTIFS(Goals!$D$2:$D$289,"Goal",Goals!$E$2:$E$289,"*"&amp;A300&amp;"*",Goals!$F$2:$F$289,B300)+COUNTIFS(KnockoutGoals!$D$2:$D$85,"Goal",KnockoutGoals!$E$2:$E$85,"*"&amp;A300&amp;"*",KnockoutGoals!$F$2:$F$85,B300))</f>
        <v/>
      </c>
      <c r="E300">
        <f t="shared" si="4"/>
        <v>0</v>
      </c>
    </row>
    <row r="301" spans="1:5" x14ac:dyDescent="0.3">
      <c r="A301" t="str">
        <f>IF(Players!E301="","",Players!E301)</f>
        <v/>
      </c>
      <c r="B301" t="str">
        <f>IF(A301="","",Players!C301)</f>
        <v/>
      </c>
      <c r="C301" t="str">
        <f>IF(A301="","",Players!G301)</f>
        <v/>
      </c>
      <c r="D301" t="str">
        <f>IF(A301="","",COUNTIFS(Goals!$D$2:$D$289,"Goal",Goals!$E$2:$E$289,"*"&amp;A301&amp;"*",Goals!$F$2:$F$289,B301)+COUNTIFS(KnockoutGoals!$D$2:$D$85,"Goal",KnockoutGoals!$E$2:$E$85,"*"&amp;A301&amp;"*",KnockoutGoals!$F$2:$F$85,B301))</f>
        <v/>
      </c>
      <c r="E301">
        <f t="shared" si="4"/>
        <v>0</v>
      </c>
    </row>
    <row r="302" spans="1:5" x14ac:dyDescent="0.3">
      <c r="A302" t="str">
        <f>IF(Players!E302="","",Players!E302)</f>
        <v>NICCOLÒ LIMAJ</v>
      </c>
      <c r="B302" t="str">
        <f>IF(A302="","",Players!C302)</f>
        <v>Barrio Boys</v>
      </c>
      <c r="C302" t="str">
        <f>IF(A302="","",Players!G302)</f>
        <v>1 - NICCOLÒ LIMAJ</v>
      </c>
      <c r="D302">
        <f>IF(A302="","",COUNTIFS(Goals!$D$2:$D$289,"Goal",Goals!$E$2:$E$289,"*"&amp;A302&amp;"*",Goals!$F$2:$F$289,B302)+COUNTIFS(KnockoutGoals!$D$2:$D$85,"Goal",KnockoutGoals!$E$2:$E$85,"*"&amp;A302&amp;"*",KnockoutGoals!$F$2:$F$85,B302))</f>
        <v>0</v>
      </c>
      <c r="E302">
        <f t="shared" si="4"/>
        <v>-0.30199999999999999</v>
      </c>
    </row>
    <row r="303" spans="1:5" x14ac:dyDescent="0.3">
      <c r="A303" t="str">
        <f>IF(Players!E303="","",Players!E303)</f>
        <v>LUCA NONNATO</v>
      </c>
      <c r="B303" t="str">
        <f>IF(A303="","",Players!C303)</f>
        <v>Barrio Boys</v>
      </c>
      <c r="C303" t="str">
        <f>IF(A303="","",Players!G303)</f>
        <v>2 - LUCA NONNATO</v>
      </c>
      <c r="D303">
        <f>IF(A303="","",COUNTIFS(Goals!$D$2:$D$289,"Goal",Goals!$E$2:$E$289,"*"&amp;A303&amp;"*",Goals!$F$2:$F$289,B303)+COUNTIFS(KnockoutGoals!$D$2:$D$85,"Goal",KnockoutGoals!$E$2:$E$85,"*"&amp;A303&amp;"*",KnockoutGoals!$F$2:$F$85,B303))</f>
        <v>0</v>
      </c>
      <c r="E303">
        <f t="shared" si="4"/>
        <v>-0.30299999999999999</v>
      </c>
    </row>
    <row r="304" spans="1:5" x14ac:dyDescent="0.3">
      <c r="A304" t="str">
        <f>IF(Players!E304="","",Players!E304)</f>
        <v>FRANCESCO BERARDI</v>
      </c>
      <c r="B304" t="str">
        <f>IF(A304="","",Players!C304)</f>
        <v>Barrio Boys</v>
      </c>
      <c r="C304" t="str">
        <f>IF(A304="","",Players!G304)</f>
        <v>7 - FRANCESCO BERARDI</v>
      </c>
      <c r="D304">
        <f>IF(A304="","",COUNTIFS(Goals!$D$2:$D$289,"Goal",Goals!$E$2:$E$289,"*"&amp;A304&amp;"*",Goals!$F$2:$F$289,B304)+COUNTIFS(KnockoutGoals!$D$2:$D$85,"Goal",KnockoutGoals!$E$2:$E$85,"*"&amp;A304&amp;"*",KnockoutGoals!$F$2:$F$85,B304))</f>
        <v>0</v>
      </c>
      <c r="E304">
        <f t="shared" si="4"/>
        <v>-0.30399999999999999</v>
      </c>
    </row>
    <row r="305" spans="1:5" x14ac:dyDescent="0.3">
      <c r="A305" t="str">
        <f>IF(Players!E305="","",Players!E305)</f>
        <v>FRANCESCO MARANGON</v>
      </c>
      <c r="B305" t="str">
        <f>IF(A305="","",Players!C305)</f>
        <v>Barrio Boys</v>
      </c>
      <c r="C305" t="str">
        <f>IF(A305="","",Players!G305)</f>
        <v>8 - FRANCESCO MARANGON</v>
      </c>
      <c r="D305">
        <f>IF(A305="","",COUNTIFS(Goals!$D$2:$D$289,"Goal",Goals!$E$2:$E$289,"*"&amp;A305&amp;"*",Goals!$F$2:$F$289,B305)+COUNTIFS(KnockoutGoals!$D$2:$D$85,"Goal",KnockoutGoals!$E$2:$E$85,"*"&amp;A305&amp;"*",KnockoutGoals!$F$2:$F$85,B305))</f>
        <v>0</v>
      </c>
      <c r="E305">
        <f t="shared" si="4"/>
        <v>-0.30499999999999999</v>
      </c>
    </row>
    <row r="306" spans="1:5" x14ac:dyDescent="0.3">
      <c r="A306" t="str">
        <f>IF(Players!E306="","",Players!E306)</f>
        <v>GIMMY MANARI</v>
      </c>
      <c r="B306" t="str">
        <f>IF(A306="","",Players!C306)</f>
        <v>Barrio Boys</v>
      </c>
      <c r="C306" t="str">
        <f>IF(A306="","",Players!G306)</f>
        <v>9 - GIMMY MANARI</v>
      </c>
      <c r="D306">
        <f>IF(A306="","",COUNTIFS(Goals!$D$2:$D$289,"Goal",Goals!$E$2:$E$289,"*"&amp;A306&amp;"*",Goals!$F$2:$F$289,B306)+COUNTIFS(KnockoutGoals!$D$2:$D$85,"Goal",KnockoutGoals!$E$2:$E$85,"*"&amp;A306&amp;"*",KnockoutGoals!$F$2:$F$85,B306))</f>
        <v>0</v>
      </c>
      <c r="E306">
        <f t="shared" si="4"/>
        <v>-0.30599999999999999</v>
      </c>
    </row>
    <row r="307" spans="1:5" x14ac:dyDescent="0.3">
      <c r="A307" t="str">
        <f>IF(Players!E307="","",Players!E307)</f>
        <v>CRISTIAN MICUCCI</v>
      </c>
      <c r="B307" t="str">
        <f>IF(A307="","",Players!C307)</f>
        <v>Barrio Boys</v>
      </c>
      <c r="C307" t="str">
        <f>IF(A307="","",Players!G307)</f>
        <v>10 - CRISTIAN MICUCCI (C)</v>
      </c>
      <c r="D307">
        <f>IF(A307="","",COUNTIFS(Goals!$D$2:$D$289,"Goal",Goals!$E$2:$E$289,"*"&amp;A307&amp;"*",Goals!$F$2:$F$289,B307)+COUNTIFS(KnockoutGoals!$D$2:$D$85,"Goal",KnockoutGoals!$E$2:$E$85,"*"&amp;A307&amp;"*",KnockoutGoals!$F$2:$F$85,B307))</f>
        <v>0</v>
      </c>
      <c r="E307">
        <f t="shared" si="4"/>
        <v>-0.307</v>
      </c>
    </row>
    <row r="308" spans="1:5" x14ac:dyDescent="0.3">
      <c r="A308" t="str">
        <f>IF(Players!E308="","",Players!E308)</f>
        <v>RICCARDO ALESSIO</v>
      </c>
      <c r="B308" t="str">
        <f>IF(A308="","",Players!C308)</f>
        <v>Barrio Boys</v>
      </c>
      <c r="C308" t="str">
        <f>IF(A308="","",Players!G308)</f>
        <v>11 - RICCARDO ALESSIO</v>
      </c>
      <c r="D308">
        <f>IF(A308="","",COUNTIFS(Goals!$D$2:$D$289,"Goal",Goals!$E$2:$E$289,"*"&amp;A308&amp;"*",Goals!$F$2:$F$289,B308)+COUNTIFS(KnockoutGoals!$D$2:$D$85,"Goal",KnockoutGoals!$E$2:$E$85,"*"&amp;A308&amp;"*",KnockoutGoals!$F$2:$F$85,B308))</f>
        <v>0</v>
      </c>
      <c r="E308">
        <f t="shared" si="4"/>
        <v>-0.308</v>
      </c>
    </row>
    <row r="309" spans="1:5" x14ac:dyDescent="0.3">
      <c r="A309" t="str">
        <f>IF(Players!E309="","",Players!E309)</f>
        <v>EDOARDO CAVALLARI</v>
      </c>
      <c r="B309" t="str">
        <f>IF(A309="","",Players!C309)</f>
        <v>Barrio Boys</v>
      </c>
      <c r="C309" t="str">
        <f>IF(A309="","",Players!G309)</f>
        <v>14 - EDOARDO CAVALLARI</v>
      </c>
      <c r="D309">
        <f>IF(A309="","",COUNTIFS(Goals!$D$2:$D$289,"Goal",Goals!$E$2:$E$289,"*"&amp;A309&amp;"*",Goals!$F$2:$F$289,B309)+COUNTIFS(KnockoutGoals!$D$2:$D$85,"Goal",KnockoutGoals!$E$2:$E$85,"*"&amp;A309&amp;"*",KnockoutGoals!$F$2:$F$85,B309))</f>
        <v>1</v>
      </c>
      <c r="E309">
        <f t="shared" si="4"/>
        <v>99999.691000000006</v>
      </c>
    </row>
    <row r="310" spans="1:5" x14ac:dyDescent="0.3">
      <c r="A310" t="str">
        <f>IF(Players!E310="","",Players!E310)</f>
        <v>MATTEO FERRO</v>
      </c>
      <c r="B310" t="str">
        <f>IF(A310="","",Players!C310)</f>
        <v>Barrio Boys</v>
      </c>
      <c r="C310" t="str">
        <f>IF(A310="","",Players!G310)</f>
        <v>18 - MATTEO FERRO</v>
      </c>
      <c r="D310">
        <f>IF(A310="","",COUNTIFS(Goals!$D$2:$D$289,"Goal",Goals!$E$2:$E$289,"*"&amp;A310&amp;"*",Goals!$F$2:$F$289,B310)+COUNTIFS(KnockoutGoals!$D$2:$D$85,"Goal",KnockoutGoals!$E$2:$E$85,"*"&amp;A310&amp;"*",KnockoutGoals!$F$2:$F$85,B310))</f>
        <v>1</v>
      </c>
      <c r="E310">
        <f t="shared" si="4"/>
        <v>99999.69</v>
      </c>
    </row>
    <row r="311" spans="1:5" x14ac:dyDescent="0.3">
      <c r="A311" t="str">
        <f>IF(Players!E311="","",Players!E311)</f>
        <v>ANDREA ANZOLETTI</v>
      </c>
      <c r="B311" t="str">
        <f>IF(A311="","",Players!C311)</f>
        <v>Barrio Boys</v>
      </c>
      <c r="C311" t="str">
        <f>IF(A311="","",Players!G311)</f>
        <v>20 - ANDREA ANZOLETTI</v>
      </c>
      <c r="D311">
        <f>IF(A311="","",COUNTIFS(Goals!$D$2:$D$289,"Goal",Goals!$E$2:$E$289,"*"&amp;A311&amp;"*",Goals!$F$2:$F$289,B311)+COUNTIFS(KnockoutGoals!$D$2:$D$85,"Goal",KnockoutGoals!$E$2:$E$85,"*"&amp;A311&amp;"*",KnockoutGoals!$F$2:$F$85,B311))</f>
        <v>0</v>
      </c>
      <c r="E311">
        <f t="shared" si="4"/>
        <v>-0.311</v>
      </c>
    </row>
    <row r="312" spans="1:5" x14ac:dyDescent="0.3">
      <c r="A312" t="str">
        <f>IF(Players!E312="","",Players!E312)</f>
        <v/>
      </c>
      <c r="B312" t="str">
        <f>IF(A312="","",Players!C312)</f>
        <v/>
      </c>
      <c r="C312" t="str">
        <f>IF(A312="","",Players!G312)</f>
        <v/>
      </c>
      <c r="D312" t="str">
        <f>IF(A312="","",COUNTIFS(Goals!$D$2:$D$289,"Goal",Goals!$E$2:$E$289,"*"&amp;A312&amp;"*",Goals!$F$2:$F$289,B312)+COUNTIFS(KnockoutGoals!$D$2:$D$85,"Goal",KnockoutGoals!$E$2:$E$85,"*"&amp;A312&amp;"*",KnockoutGoals!$F$2:$F$85,B312))</f>
        <v/>
      </c>
      <c r="E312">
        <f t="shared" si="4"/>
        <v>0</v>
      </c>
    </row>
    <row r="313" spans="1:5" x14ac:dyDescent="0.3">
      <c r="A313" t="str">
        <f>IF(Players!E313="","",Players!E313)</f>
        <v/>
      </c>
      <c r="B313" t="str">
        <f>IF(A313="","",Players!C313)</f>
        <v/>
      </c>
      <c r="C313" t="str">
        <f>IF(A313="","",Players!G313)</f>
        <v/>
      </c>
      <c r="D313" t="str">
        <f>IF(A313="","",COUNTIFS(Goals!$D$2:$D$289,"Goal",Goals!$E$2:$E$289,"*"&amp;A313&amp;"*",Goals!$F$2:$F$289,B313)+COUNTIFS(KnockoutGoals!$D$2:$D$85,"Goal",KnockoutGoals!$E$2:$E$85,"*"&amp;A313&amp;"*",KnockoutGoals!$F$2:$F$85,B313))</f>
        <v/>
      </c>
      <c r="E313">
        <f t="shared" si="4"/>
        <v>0</v>
      </c>
    </row>
    <row r="314" spans="1:5" x14ac:dyDescent="0.3">
      <c r="A314" t="str">
        <f>IF(Players!E314="","",Players!E314)</f>
        <v/>
      </c>
      <c r="B314" t="str">
        <f>IF(A314="","",Players!C314)</f>
        <v/>
      </c>
      <c r="C314" t="str">
        <f>IF(A314="","",Players!G314)</f>
        <v/>
      </c>
      <c r="D314" t="str">
        <f>IF(A314="","",COUNTIFS(Goals!$D$2:$D$289,"Goal",Goals!$E$2:$E$289,"*"&amp;A314&amp;"*",Goals!$F$2:$F$289,B314)+COUNTIFS(KnockoutGoals!$D$2:$D$85,"Goal",KnockoutGoals!$E$2:$E$85,"*"&amp;A314&amp;"*",KnockoutGoals!$F$2:$F$85,B314))</f>
        <v/>
      </c>
      <c r="E314">
        <f t="shared" si="4"/>
        <v>0</v>
      </c>
    </row>
    <row r="315" spans="1:5" x14ac:dyDescent="0.3">
      <c r="A315" t="str">
        <f>IF(Players!E315="","",Players!E315)</f>
        <v/>
      </c>
      <c r="B315" t="str">
        <f>IF(A315="","",Players!C315)</f>
        <v/>
      </c>
      <c r="C315" t="str">
        <f>IF(A315="","",Players!G315)</f>
        <v/>
      </c>
      <c r="D315" t="str">
        <f>IF(A315="","",COUNTIFS(Goals!$D$2:$D$289,"Goal",Goals!$E$2:$E$289,"*"&amp;A315&amp;"*",Goals!$F$2:$F$289,B315)+COUNTIFS(KnockoutGoals!$D$2:$D$85,"Goal",KnockoutGoals!$E$2:$E$85,"*"&amp;A315&amp;"*",KnockoutGoals!$F$2:$F$85,B315))</f>
        <v/>
      </c>
      <c r="E315">
        <f t="shared" si="4"/>
        <v>0</v>
      </c>
    </row>
    <row r="316" spans="1:5" x14ac:dyDescent="0.3">
      <c r="A316" t="str">
        <f>IF(Players!E316="","",Players!E316)</f>
        <v/>
      </c>
      <c r="B316" t="str">
        <f>IF(A316="","",Players!C316)</f>
        <v/>
      </c>
      <c r="C316" t="str">
        <f>IF(A316="","",Players!G316)</f>
        <v/>
      </c>
      <c r="D316" t="str">
        <f>IF(A316="","",COUNTIFS(Goals!$D$2:$D$289,"Goal",Goals!$E$2:$E$289,"*"&amp;A316&amp;"*",Goals!$F$2:$F$289,B316)+COUNTIFS(KnockoutGoals!$D$2:$D$85,"Goal",KnockoutGoals!$E$2:$E$85,"*"&amp;A316&amp;"*",KnockoutGoals!$F$2:$F$85,B316))</f>
        <v/>
      </c>
      <c r="E316">
        <f t="shared" si="4"/>
        <v>0</v>
      </c>
    </row>
    <row r="317" spans="1:5" x14ac:dyDescent="0.3">
      <c r="A317" t="str">
        <f>IF(Players!E317="","",Players!E317)</f>
        <v/>
      </c>
      <c r="B317" t="str">
        <f>IF(A317="","",Players!C317)</f>
        <v/>
      </c>
      <c r="C317" t="str">
        <f>IF(A317="","",Players!G317)</f>
        <v/>
      </c>
      <c r="D317" t="str">
        <f>IF(A317="","",COUNTIFS(Goals!$D$2:$D$289,"Goal",Goals!$E$2:$E$289,"*"&amp;A317&amp;"*",Goals!$F$2:$F$289,B317)+COUNTIFS(KnockoutGoals!$D$2:$D$85,"Goal",KnockoutGoals!$E$2:$E$85,"*"&amp;A317&amp;"*",KnockoutGoals!$F$2:$F$85,B317))</f>
        <v/>
      </c>
      <c r="E317">
        <f t="shared" si="4"/>
        <v>0</v>
      </c>
    </row>
    <row r="318" spans="1:5" x14ac:dyDescent="0.3">
      <c r="A318" t="str">
        <f>IF(Players!E318="","",Players!E318)</f>
        <v/>
      </c>
      <c r="B318" t="str">
        <f>IF(A318="","",Players!C318)</f>
        <v/>
      </c>
      <c r="C318" t="str">
        <f>IF(A318="","",Players!G318)</f>
        <v/>
      </c>
      <c r="D318" t="str">
        <f>IF(A318="","",COUNTIFS(Goals!$D$2:$D$289,"Goal",Goals!$E$2:$E$289,"*"&amp;A318&amp;"*",Goals!$F$2:$F$289,B318)+COUNTIFS(KnockoutGoals!$D$2:$D$85,"Goal",KnockoutGoals!$E$2:$E$85,"*"&amp;A318&amp;"*",KnockoutGoals!$F$2:$F$85,B318))</f>
        <v/>
      </c>
      <c r="E318">
        <f t="shared" si="4"/>
        <v>0</v>
      </c>
    </row>
    <row r="319" spans="1:5" x14ac:dyDescent="0.3">
      <c r="A319" t="str">
        <f>IF(Players!E319="","",Players!E319)</f>
        <v/>
      </c>
      <c r="B319" t="str">
        <f>IF(A319="","",Players!C319)</f>
        <v/>
      </c>
      <c r="C319" t="str">
        <f>IF(A319="","",Players!G319)</f>
        <v/>
      </c>
      <c r="D319" t="str">
        <f>IF(A319="","",COUNTIFS(Goals!$D$2:$D$289,"Goal",Goals!$E$2:$E$289,"*"&amp;A319&amp;"*",Goals!$F$2:$F$289,B319)+COUNTIFS(KnockoutGoals!$D$2:$D$85,"Goal",KnockoutGoals!$E$2:$E$85,"*"&amp;A319&amp;"*",KnockoutGoals!$F$2:$F$85,B319))</f>
        <v/>
      </c>
      <c r="E319">
        <f t="shared" si="4"/>
        <v>0</v>
      </c>
    </row>
    <row r="320" spans="1:5" x14ac:dyDescent="0.3">
      <c r="A320" t="str">
        <f>IF(Players!E320="","",Players!E320)</f>
        <v/>
      </c>
      <c r="B320" t="str">
        <f>IF(A320="","",Players!C320)</f>
        <v/>
      </c>
      <c r="C320" t="str">
        <f>IF(A320="","",Players!G320)</f>
        <v/>
      </c>
      <c r="D320" t="str">
        <f>IF(A320="","",COUNTIFS(Goals!$D$2:$D$289,"Goal",Goals!$E$2:$E$289,"*"&amp;A320&amp;"*",Goals!$F$2:$F$289,B320)+COUNTIFS(KnockoutGoals!$D$2:$D$85,"Goal",KnockoutGoals!$E$2:$E$85,"*"&amp;A320&amp;"*",KnockoutGoals!$F$2:$F$85,B320))</f>
        <v/>
      </c>
      <c r="E320">
        <f t="shared" si="4"/>
        <v>0</v>
      </c>
    </row>
    <row r="321" spans="1:5" x14ac:dyDescent="0.3">
      <c r="A321" t="str">
        <f>IF(Players!E321="","",Players!E321)</f>
        <v/>
      </c>
      <c r="B321" t="str">
        <f>IF(A321="","",Players!C321)</f>
        <v/>
      </c>
      <c r="C321" t="str">
        <f>IF(A321="","",Players!G321)</f>
        <v/>
      </c>
      <c r="D321" t="str">
        <f>IF(A321="","",COUNTIFS(Goals!$D$2:$D$289,"Goal",Goals!$E$2:$E$289,"*"&amp;A321&amp;"*",Goals!$F$2:$F$289,B321)+COUNTIFS(KnockoutGoals!$D$2:$D$85,"Goal",KnockoutGoals!$E$2:$E$85,"*"&amp;A321&amp;"*",KnockoutGoals!$F$2:$F$85,B321))</f>
        <v/>
      </c>
      <c r="E321">
        <f t="shared" si="4"/>
        <v>0</v>
      </c>
    </row>
    <row r="322" spans="1:5" x14ac:dyDescent="0.3">
      <c r="A322" t="str">
        <f>IF(Players!E322="","",Players!E322)</f>
        <v/>
      </c>
      <c r="B322" t="str">
        <f>IF(A322="","",Players!C322)</f>
        <v/>
      </c>
      <c r="C322" t="str">
        <f>IF(A322="","",Players!G322)</f>
        <v/>
      </c>
      <c r="D322" t="str">
        <f>IF(A322="","",COUNTIFS(Goals!$D$2:$D$289,"Goal",Goals!$E$2:$E$289,"*"&amp;A322&amp;"*",Goals!$F$2:$F$289,B322)+COUNTIFS(KnockoutGoals!$D$2:$D$85,"Goal",KnockoutGoals!$E$2:$E$85,"*"&amp;A322&amp;"*",KnockoutGoals!$F$2:$F$85,B322))</f>
        <v/>
      </c>
      <c r="E322">
        <f t="shared" ref="E322:E385" si="5">IF(A322="",0,D322*100000-ROW()/1000)</f>
        <v>0</v>
      </c>
    </row>
    <row r="323" spans="1:5" x14ac:dyDescent="0.3">
      <c r="A323" t="str">
        <f>IF(Players!E323="","",Players!E323)</f>
        <v/>
      </c>
      <c r="B323" t="str">
        <f>IF(A323="","",Players!C323)</f>
        <v/>
      </c>
      <c r="C323" t="str">
        <f>IF(A323="","",Players!G323)</f>
        <v/>
      </c>
      <c r="D323" t="str">
        <f>IF(A323="","",COUNTIFS(Goals!$D$2:$D$289,"Goal",Goals!$E$2:$E$289,"*"&amp;A323&amp;"*",Goals!$F$2:$F$289,B323)+COUNTIFS(KnockoutGoals!$D$2:$D$85,"Goal",KnockoutGoals!$E$2:$E$85,"*"&amp;A323&amp;"*",KnockoutGoals!$F$2:$F$85,B323))</f>
        <v/>
      </c>
      <c r="E323">
        <f t="shared" si="5"/>
        <v>0</v>
      </c>
    </row>
    <row r="324" spans="1:5" x14ac:dyDescent="0.3">
      <c r="A324" t="str">
        <f>IF(Players!E324="","",Players!E324)</f>
        <v/>
      </c>
      <c r="B324" t="str">
        <f>IF(A324="","",Players!C324)</f>
        <v/>
      </c>
      <c r="C324" t="str">
        <f>IF(A324="","",Players!G324)</f>
        <v/>
      </c>
      <c r="D324" t="str">
        <f>IF(A324="","",COUNTIFS(Goals!$D$2:$D$289,"Goal",Goals!$E$2:$E$289,"*"&amp;A324&amp;"*",Goals!$F$2:$F$289,B324)+COUNTIFS(KnockoutGoals!$D$2:$D$85,"Goal",KnockoutGoals!$E$2:$E$85,"*"&amp;A324&amp;"*",KnockoutGoals!$F$2:$F$85,B324))</f>
        <v/>
      </c>
      <c r="E324">
        <f t="shared" si="5"/>
        <v>0</v>
      </c>
    </row>
    <row r="325" spans="1:5" x14ac:dyDescent="0.3">
      <c r="A325" t="str">
        <f>IF(Players!E325="","",Players!E325)</f>
        <v/>
      </c>
      <c r="B325" t="str">
        <f>IF(A325="","",Players!C325)</f>
        <v/>
      </c>
      <c r="C325" t="str">
        <f>IF(A325="","",Players!G325)</f>
        <v/>
      </c>
      <c r="D325" t="str">
        <f>IF(A325="","",COUNTIFS(Goals!$D$2:$D$289,"Goal",Goals!$E$2:$E$289,"*"&amp;A325&amp;"*",Goals!$F$2:$F$289,B325)+COUNTIFS(KnockoutGoals!$D$2:$D$85,"Goal",KnockoutGoals!$E$2:$E$85,"*"&amp;A325&amp;"*",KnockoutGoals!$F$2:$F$85,B325))</f>
        <v/>
      </c>
      <c r="E325">
        <f t="shared" si="5"/>
        <v>0</v>
      </c>
    </row>
    <row r="326" spans="1:5" x14ac:dyDescent="0.3">
      <c r="A326" t="str">
        <f>IF(Players!E326="","",Players!E326)</f>
        <v/>
      </c>
      <c r="B326" t="str">
        <f>IF(A326="","",Players!C326)</f>
        <v/>
      </c>
      <c r="C326" t="str">
        <f>IF(A326="","",Players!G326)</f>
        <v/>
      </c>
      <c r="D326" t="str">
        <f>IF(A326="","",COUNTIFS(Goals!$D$2:$D$289,"Goal",Goals!$E$2:$E$289,"*"&amp;A326&amp;"*",Goals!$F$2:$F$289,B326)+COUNTIFS(KnockoutGoals!$D$2:$D$85,"Goal",KnockoutGoals!$E$2:$E$85,"*"&amp;A326&amp;"*",KnockoutGoals!$F$2:$F$85,B326))</f>
        <v/>
      </c>
      <c r="E326">
        <f t="shared" si="5"/>
        <v>0</v>
      </c>
    </row>
    <row r="327" spans="1:5" x14ac:dyDescent="0.3">
      <c r="A327" t="str">
        <f>IF(Players!E327="","",Players!E327)</f>
        <v/>
      </c>
      <c r="B327" t="str">
        <f>IF(A327="","",Players!C327)</f>
        <v/>
      </c>
      <c r="C327" t="str">
        <f>IF(A327="","",Players!G327)</f>
        <v/>
      </c>
      <c r="D327" t="str">
        <f>IF(A327="","",COUNTIFS(Goals!$D$2:$D$289,"Goal",Goals!$E$2:$E$289,"*"&amp;A327&amp;"*",Goals!$F$2:$F$289,B327)+COUNTIFS(KnockoutGoals!$D$2:$D$85,"Goal",KnockoutGoals!$E$2:$E$85,"*"&amp;A327&amp;"*",KnockoutGoals!$F$2:$F$85,B327))</f>
        <v/>
      </c>
      <c r="E327">
        <f t="shared" si="5"/>
        <v>0</v>
      </c>
    </row>
    <row r="328" spans="1:5" x14ac:dyDescent="0.3">
      <c r="A328" t="str">
        <f>IF(Players!E328="","",Players!E328)</f>
        <v/>
      </c>
      <c r="B328" t="str">
        <f>IF(A328="","",Players!C328)</f>
        <v/>
      </c>
      <c r="C328" t="str">
        <f>IF(A328="","",Players!G328)</f>
        <v/>
      </c>
      <c r="D328" t="str">
        <f>IF(A328="","",COUNTIFS(Goals!$D$2:$D$289,"Goal",Goals!$E$2:$E$289,"*"&amp;A328&amp;"*",Goals!$F$2:$F$289,B328)+COUNTIFS(KnockoutGoals!$D$2:$D$85,"Goal",KnockoutGoals!$E$2:$E$85,"*"&amp;A328&amp;"*",KnockoutGoals!$F$2:$F$85,B328))</f>
        <v/>
      </c>
      <c r="E328">
        <f t="shared" si="5"/>
        <v>0</v>
      </c>
    </row>
    <row r="329" spans="1:5" x14ac:dyDescent="0.3">
      <c r="A329" t="str">
        <f>IF(Players!E329="","",Players!E329)</f>
        <v/>
      </c>
      <c r="B329" t="str">
        <f>IF(A329="","",Players!C329)</f>
        <v/>
      </c>
      <c r="C329" t="str">
        <f>IF(A329="","",Players!G329)</f>
        <v/>
      </c>
      <c r="D329" t="str">
        <f>IF(A329="","",COUNTIFS(Goals!$D$2:$D$289,"Goal",Goals!$E$2:$E$289,"*"&amp;A329&amp;"*",Goals!$F$2:$F$289,B329)+COUNTIFS(KnockoutGoals!$D$2:$D$85,"Goal",KnockoutGoals!$E$2:$E$85,"*"&amp;A329&amp;"*",KnockoutGoals!$F$2:$F$85,B329))</f>
        <v/>
      </c>
      <c r="E329">
        <f t="shared" si="5"/>
        <v>0</v>
      </c>
    </row>
    <row r="330" spans="1:5" x14ac:dyDescent="0.3">
      <c r="A330" t="str">
        <f>IF(Players!E330="","",Players!E330)</f>
        <v/>
      </c>
      <c r="B330" t="str">
        <f>IF(A330="","",Players!C330)</f>
        <v/>
      </c>
      <c r="C330" t="str">
        <f>IF(A330="","",Players!G330)</f>
        <v/>
      </c>
      <c r="D330" t="str">
        <f>IF(A330="","",COUNTIFS(Goals!$D$2:$D$289,"Goal",Goals!$E$2:$E$289,"*"&amp;A330&amp;"*",Goals!$F$2:$F$289,B330)+COUNTIFS(KnockoutGoals!$D$2:$D$85,"Goal",KnockoutGoals!$E$2:$E$85,"*"&amp;A330&amp;"*",KnockoutGoals!$F$2:$F$85,B330))</f>
        <v/>
      </c>
      <c r="E330">
        <f t="shared" si="5"/>
        <v>0</v>
      </c>
    </row>
    <row r="331" spans="1:5" x14ac:dyDescent="0.3">
      <c r="A331" t="str">
        <f>IF(Players!E331="","",Players!E331)</f>
        <v/>
      </c>
      <c r="B331" t="str">
        <f>IF(A331="","",Players!C331)</f>
        <v/>
      </c>
      <c r="C331" t="str">
        <f>IF(A331="","",Players!G331)</f>
        <v/>
      </c>
      <c r="D331" t="str">
        <f>IF(A331="","",COUNTIFS(Goals!$D$2:$D$289,"Goal",Goals!$E$2:$E$289,"*"&amp;A331&amp;"*",Goals!$F$2:$F$289,B331)+COUNTIFS(KnockoutGoals!$D$2:$D$85,"Goal",KnockoutGoals!$E$2:$E$85,"*"&amp;A331&amp;"*",KnockoutGoals!$F$2:$F$85,B331))</f>
        <v/>
      </c>
      <c r="E331">
        <f t="shared" si="5"/>
        <v>0</v>
      </c>
    </row>
    <row r="332" spans="1:5" x14ac:dyDescent="0.3">
      <c r="A332" t="str">
        <f>IF(Players!E332="","",Players!E332)</f>
        <v>MANUEL IMPELLICCIERI</v>
      </c>
      <c r="B332" t="str">
        <f>IF(A332="","",Players!C332)</f>
        <v>Cani</v>
      </c>
      <c r="C332" t="str">
        <f>IF(A332="","",Players!G332)</f>
        <v>4 - MANUEL IMPELLICCIERI</v>
      </c>
      <c r="D332">
        <f>IF(A332="","",COUNTIFS(Goals!$D$2:$D$289,"Goal",Goals!$E$2:$E$289,"*"&amp;A332&amp;"*",Goals!$F$2:$F$289,B332)+COUNTIFS(KnockoutGoals!$D$2:$D$85,"Goal",KnockoutGoals!$E$2:$E$85,"*"&amp;A332&amp;"*",KnockoutGoals!$F$2:$F$85,B332))</f>
        <v>0</v>
      </c>
      <c r="E332">
        <f t="shared" si="5"/>
        <v>-0.33200000000000002</v>
      </c>
    </row>
    <row r="333" spans="1:5" x14ac:dyDescent="0.3">
      <c r="A333" t="str">
        <f>IF(Players!E333="","",Players!E333)</f>
        <v>MOURAD ECHCHARI</v>
      </c>
      <c r="B333" t="str">
        <f>IF(A333="","",Players!C333)</f>
        <v>Cani</v>
      </c>
      <c r="C333" t="str">
        <f>IF(A333="","",Players!G333)</f>
        <v>5 - MOURAD ECHCHARI</v>
      </c>
      <c r="D333">
        <f>IF(A333="","",COUNTIFS(Goals!$D$2:$D$289,"Goal",Goals!$E$2:$E$289,"*"&amp;A333&amp;"*",Goals!$F$2:$F$289,B333)+COUNTIFS(KnockoutGoals!$D$2:$D$85,"Goal",KnockoutGoals!$E$2:$E$85,"*"&amp;A333&amp;"*",KnockoutGoals!$F$2:$F$85,B333))</f>
        <v>0</v>
      </c>
      <c r="E333">
        <f t="shared" si="5"/>
        <v>-0.33300000000000002</v>
      </c>
    </row>
    <row r="334" spans="1:5" x14ac:dyDescent="0.3">
      <c r="A334" t="str">
        <f>IF(Players!E334="","",Players!E334)</f>
        <v>OTMAN SOUATI</v>
      </c>
      <c r="B334" t="str">
        <f>IF(A334="","",Players!C334)</f>
        <v>Cani</v>
      </c>
      <c r="C334" t="str">
        <f>IF(A334="","",Players!G334)</f>
        <v>7 - OTMAN SOUATI</v>
      </c>
      <c r="D334">
        <f>IF(A334="","",COUNTIFS(Goals!$D$2:$D$289,"Goal",Goals!$E$2:$E$289,"*"&amp;A334&amp;"*",Goals!$F$2:$F$289,B334)+COUNTIFS(KnockoutGoals!$D$2:$D$85,"Goal",KnockoutGoals!$E$2:$E$85,"*"&amp;A334&amp;"*",KnockoutGoals!$F$2:$F$85,B334))</f>
        <v>0</v>
      </c>
      <c r="E334">
        <f t="shared" si="5"/>
        <v>-0.33400000000000002</v>
      </c>
    </row>
    <row r="335" spans="1:5" x14ac:dyDescent="0.3">
      <c r="A335" t="str">
        <f>IF(Players!E335="","",Players!E335)</f>
        <v>ALEX MENEGHELLO</v>
      </c>
      <c r="B335" t="str">
        <f>IF(A335="","",Players!C335)</f>
        <v>Cani</v>
      </c>
      <c r="C335" t="str">
        <f>IF(A335="","",Players!G335)</f>
        <v>8 - ALEX MENEGHELLO</v>
      </c>
      <c r="D335">
        <f>IF(A335="","",COUNTIFS(Goals!$D$2:$D$289,"Goal",Goals!$E$2:$E$289,"*"&amp;A335&amp;"*",Goals!$F$2:$F$289,B335)+COUNTIFS(KnockoutGoals!$D$2:$D$85,"Goal",KnockoutGoals!$E$2:$E$85,"*"&amp;A335&amp;"*",KnockoutGoals!$F$2:$F$85,B335))</f>
        <v>0</v>
      </c>
      <c r="E335">
        <f t="shared" si="5"/>
        <v>-0.33500000000000002</v>
      </c>
    </row>
    <row r="336" spans="1:5" x14ac:dyDescent="0.3">
      <c r="A336" t="str">
        <f>IF(Players!E336="","",Players!E336)</f>
        <v>ALESSIO GHIRARDELLO</v>
      </c>
      <c r="B336" t="str">
        <f>IF(A336="","",Players!C336)</f>
        <v>Cani</v>
      </c>
      <c r="C336" t="str">
        <f>IF(A336="","",Players!G336)</f>
        <v>10 - ALESSIO GHIRARDELLO (C)</v>
      </c>
      <c r="D336">
        <f>IF(A336="","",COUNTIFS(Goals!$D$2:$D$289,"Goal",Goals!$E$2:$E$289,"*"&amp;A336&amp;"*",Goals!$F$2:$F$289,B336)+COUNTIFS(KnockoutGoals!$D$2:$D$85,"Goal",KnockoutGoals!$E$2:$E$85,"*"&amp;A336&amp;"*",KnockoutGoals!$F$2:$F$85,B336))</f>
        <v>0</v>
      </c>
      <c r="E336">
        <f t="shared" si="5"/>
        <v>-0.33600000000000002</v>
      </c>
    </row>
    <row r="337" spans="1:5" x14ac:dyDescent="0.3">
      <c r="A337" t="str">
        <f>IF(Players!E337="","",Players!E337)</f>
        <v>ISMAIL ECHCHARI</v>
      </c>
      <c r="B337" t="str">
        <f>IF(A337="","",Players!C337)</f>
        <v>Cani</v>
      </c>
      <c r="C337" t="str">
        <f>IF(A337="","",Players!G337)</f>
        <v>11 - ISMAIL ECHCHARI</v>
      </c>
      <c r="D337">
        <f>IF(A337="","",COUNTIFS(Goals!$D$2:$D$289,"Goal",Goals!$E$2:$E$289,"*"&amp;A337&amp;"*",Goals!$F$2:$F$289,B337)+COUNTIFS(KnockoutGoals!$D$2:$D$85,"Goal",KnockoutGoals!$E$2:$E$85,"*"&amp;A337&amp;"*",KnockoutGoals!$F$2:$F$85,B337))</f>
        <v>0</v>
      </c>
      <c r="E337">
        <f t="shared" si="5"/>
        <v>-0.33700000000000002</v>
      </c>
    </row>
    <row r="338" spans="1:5" x14ac:dyDescent="0.3">
      <c r="A338" t="str">
        <f>IF(Players!E338="","",Players!E338)</f>
        <v>LORENZO REZZAGHI</v>
      </c>
      <c r="B338" t="str">
        <f>IF(A338="","",Players!C338)</f>
        <v>Cani</v>
      </c>
      <c r="C338" t="str">
        <f>IF(A338="","",Players!G338)</f>
        <v>19 - LORENZO REZZAGHI</v>
      </c>
      <c r="D338">
        <f>IF(A338="","",COUNTIFS(Goals!$D$2:$D$289,"Goal",Goals!$E$2:$E$289,"*"&amp;A338&amp;"*",Goals!$F$2:$F$289,B338)+COUNTIFS(KnockoutGoals!$D$2:$D$85,"Goal",KnockoutGoals!$E$2:$E$85,"*"&amp;A338&amp;"*",KnockoutGoals!$F$2:$F$85,B338))</f>
        <v>0</v>
      </c>
      <c r="E338">
        <f t="shared" si="5"/>
        <v>-0.33800000000000002</v>
      </c>
    </row>
    <row r="339" spans="1:5" x14ac:dyDescent="0.3">
      <c r="A339" t="str">
        <f>IF(Players!E339="","",Players!E339)</f>
        <v>TOMMASO CALZAVARINI</v>
      </c>
      <c r="B339" t="str">
        <f>IF(A339="","",Players!C339)</f>
        <v>Cani</v>
      </c>
      <c r="C339" t="str">
        <f>IF(A339="","",Players!G339)</f>
        <v>22 - TOMMASO CALZAVARINI</v>
      </c>
      <c r="D339">
        <f>IF(A339="","",COUNTIFS(Goals!$D$2:$D$289,"Goal",Goals!$E$2:$E$289,"*"&amp;A339&amp;"*",Goals!$F$2:$F$289,B339)+COUNTIFS(KnockoutGoals!$D$2:$D$85,"Goal",KnockoutGoals!$E$2:$E$85,"*"&amp;A339&amp;"*",KnockoutGoals!$F$2:$F$85,B339))</f>
        <v>0</v>
      </c>
      <c r="E339">
        <f t="shared" si="5"/>
        <v>-0.33900000000000002</v>
      </c>
    </row>
    <row r="340" spans="1:5" x14ac:dyDescent="0.3">
      <c r="A340" t="str">
        <f>IF(Players!E340="","",Players!E340)</f>
        <v>LEONARDO BULGARI</v>
      </c>
      <c r="B340" t="str">
        <f>IF(A340="","",Players!C340)</f>
        <v>Cani</v>
      </c>
      <c r="C340" t="str">
        <f>IF(A340="","",Players!G340)</f>
        <v>45 - LEONARDO BULGARI</v>
      </c>
      <c r="D340">
        <f>IF(A340="","",COUNTIFS(Goals!$D$2:$D$289,"Goal",Goals!$E$2:$E$289,"*"&amp;A340&amp;"*",Goals!$F$2:$F$289,B340)+COUNTIFS(KnockoutGoals!$D$2:$D$85,"Goal",KnockoutGoals!$E$2:$E$85,"*"&amp;A340&amp;"*",KnockoutGoals!$F$2:$F$85,B340))</f>
        <v>0</v>
      </c>
      <c r="E340">
        <f t="shared" si="5"/>
        <v>-0.34</v>
      </c>
    </row>
    <row r="341" spans="1:5" x14ac:dyDescent="0.3">
      <c r="A341" t="str">
        <f>IF(Players!E341="","",Players!E341)</f>
        <v>RICCARDO TOGNOLO</v>
      </c>
      <c r="B341" t="str">
        <f>IF(A341="","",Players!C341)</f>
        <v>Cani</v>
      </c>
      <c r="C341" t="str">
        <f>IF(A341="","",Players!G341)</f>
        <v>67 - RICCARDO TOGNOLO</v>
      </c>
      <c r="D341">
        <f>IF(A341="","",COUNTIFS(Goals!$D$2:$D$289,"Goal",Goals!$E$2:$E$289,"*"&amp;A341&amp;"*",Goals!$F$2:$F$289,B341)+COUNTIFS(KnockoutGoals!$D$2:$D$85,"Goal",KnockoutGoals!$E$2:$E$85,"*"&amp;A341&amp;"*",KnockoutGoals!$F$2:$F$85,B341))</f>
        <v>0</v>
      </c>
      <c r="E341">
        <f t="shared" si="5"/>
        <v>-0.34100000000000003</v>
      </c>
    </row>
    <row r="342" spans="1:5" x14ac:dyDescent="0.3">
      <c r="A342" t="str">
        <f>IF(Players!E342="","",Players!E342)</f>
        <v/>
      </c>
      <c r="B342" t="str">
        <f>IF(A342="","",Players!C342)</f>
        <v/>
      </c>
      <c r="C342" t="str">
        <f>IF(A342="","",Players!G342)</f>
        <v/>
      </c>
      <c r="D342" t="str">
        <f>IF(A342="","",COUNTIFS(Goals!$D$2:$D$289,"Goal",Goals!$E$2:$E$289,"*"&amp;A342&amp;"*",Goals!$F$2:$F$289,B342)+COUNTIFS(KnockoutGoals!$D$2:$D$85,"Goal",KnockoutGoals!$E$2:$E$85,"*"&amp;A342&amp;"*",KnockoutGoals!$F$2:$F$85,B342))</f>
        <v/>
      </c>
      <c r="E342">
        <f t="shared" si="5"/>
        <v>0</v>
      </c>
    </row>
    <row r="343" spans="1:5" x14ac:dyDescent="0.3">
      <c r="A343" t="str">
        <f>IF(Players!E343="","",Players!E343)</f>
        <v/>
      </c>
      <c r="B343" t="str">
        <f>IF(A343="","",Players!C343)</f>
        <v/>
      </c>
      <c r="C343" t="str">
        <f>IF(A343="","",Players!G343)</f>
        <v/>
      </c>
      <c r="D343" t="str">
        <f>IF(A343="","",COUNTIFS(Goals!$D$2:$D$289,"Goal",Goals!$E$2:$E$289,"*"&amp;A343&amp;"*",Goals!$F$2:$F$289,B343)+COUNTIFS(KnockoutGoals!$D$2:$D$85,"Goal",KnockoutGoals!$E$2:$E$85,"*"&amp;A343&amp;"*",KnockoutGoals!$F$2:$F$85,B343))</f>
        <v/>
      </c>
      <c r="E343">
        <f t="shared" si="5"/>
        <v>0</v>
      </c>
    </row>
    <row r="344" spans="1:5" x14ac:dyDescent="0.3">
      <c r="A344" t="str">
        <f>IF(Players!E344="","",Players!E344)</f>
        <v/>
      </c>
      <c r="B344" t="str">
        <f>IF(A344="","",Players!C344)</f>
        <v/>
      </c>
      <c r="C344" t="str">
        <f>IF(A344="","",Players!G344)</f>
        <v/>
      </c>
      <c r="D344" t="str">
        <f>IF(A344="","",COUNTIFS(Goals!$D$2:$D$289,"Goal",Goals!$E$2:$E$289,"*"&amp;A344&amp;"*",Goals!$F$2:$F$289,B344)+COUNTIFS(KnockoutGoals!$D$2:$D$85,"Goal",KnockoutGoals!$E$2:$E$85,"*"&amp;A344&amp;"*",KnockoutGoals!$F$2:$F$85,B344))</f>
        <v/>
      </c>
      <c r="E344">
        <f t="shared" si="5"/>
        <v>0</v>
      </c>
    </row>
    <row r="345" spans="1:5" x14ac:dyDescent="0.3">
      <c r="A345" t="str">
        <f>IF(Players!E345="","",Players!E345)</f>
        <v/>
      </c>
      <c r="B345" t="str">
        <f>IF(A345="","",Players!C345)</f>
        <v/>
      </c>
      <c r="C345" t="str">
        <f>IF(A345="","",Players!G345)</f>
        <v/>
      </c>
      <c r="D345" t="str">
        <f>IF(A345="","",COUNTIFS(Goals!$D$2:$D$289,"Goal",Goals!$E$2:$E$289,"*"&amp;A345&amp;"*",Goals!$F$2:$F$289,B345)+COUNTIFS(KnockoutGoals!$D$2:$D$85,"Goal",KnockoutGoals!$E$2:$E$85,"*"&amp;A345&amp;"*",KnockoutGoals!$F$2:$F$85,B345))</f>
        <v/>
      </c>
      <c r="E345">
        <f t="shared" si="5"/>
        <v>0</v>
      </c>
    </row>
    <row r="346" spans="1:5" x14ac:dyDescent="0.3">
      <c r="A346" t="str">
        <f>IF(Players!E346="","",Players!E346)</f>
        <v/>
      </c>
      <c r="B346" t="str">
        <f>IF(A346="","",Players!C346)</f>
        <v/>
      </c>
      <c r="C346" t="str">
        <f>IF(A346="","",Players!G346)</f>
        <v/>
      </c>
      <c r="D346" t="str">
        <f>IF(A346="","",COUNTIFS(Goals!$D$2:$D$289,"Goal",Goals!$E$2:$E$289,"*"&amp;A346&amp;"*",Goals!$F$2:$F$289,B346)+COUNTIFS(KnockoutGoals!$D$2:$D$85,"Goal",KnockoutGoals!$E$2:$E$85,"*"&amp;A346&amp;"*",KnockoutGoals!$F$2:$F$85,B346))</f>
        <v/>
      </c>
      <c r="E346">
        <f t="shared" si="5"/>
        <v>0</v>
      </c>
    </row>
    <row r="347" spans="1:5" x14ac:dyDescent="0.3">
      <c r="A347" t="str">
        <f>IF(Players!E347="","",Players!E347)</f>
        <v/>
      </c>
      <c r="B347" t="str">
        <f>IF(A347="","",Players!C347)</f>
        <v/>
      </c>
      <c r="C347" t="str">
        <f>IF(A347="","",Players!G347)</f>
        <v/>
      </c>
      <c r="D347" t="str">
        <f>IF(A347="","",COUNTIFS(Goals!$D$2:$D$289,"Goal",Goals!$E$2:$E$289,"*"&amp;A347&amp;"*",Goals!$F$2:$F$289,B347)+COUNTIFS(KnockoutGoals!$D$2:$D$85,"Goal",KnockoutGoals!$E$2:$E$85,"*"&amp;A347&amp;"*",KnockoutGoals!$F$2:$F$85,B347))</f>
        <v/>
      </c>
      <c r="E347">
        <f t="shared" si="5"/>
        <v>0</v>
      </c>
    </row>
    <row r="348" spans="1:5" x14ac:dyDescent="0.3">
      <c r="A348" t="str">
        <f>IF(Players!E348="","",Players!E348)</f>
        <v/>
      </c>
      <c r="B348" t="str">
        <f>IF(A348="","",Players!C348)</f>
        <v/>
      </c>
      <c r="C348" t="str">
        <f>IF(A348="","",Players!G348)</f>
        <v/>
      </c>
      <c r="D348" t="str">
        <f>IF(A348="","",COUNTIFS(Goals!$D$2:$D$289,"Goal",Goals!$E$2:$E$289,"*"&amp;A348&amp;"*",Goals!$F$2:$F$289,B348)+COUNTIFS(KnockoutGoals!$D$2:$D$85,"Goal",KnockoutGoals!$E$2:$E$85,"*"&amp;A348&amp;"*",KnockoutGoals!$F$2:$F$85,B348))</f>
        <v/>
      </c>
      <c r="E348">
        <f t="shared" si="5"/>
        <v>0</v>
      </c>
    </row>
    <row r="349" spans="1:5" x14ac:dyDescent="0.3">
      <c r="A349" t="str">
        <f>IF(Players!E349="","",Players!E349)</f>
        <v/>
      </c>
      <c r="B349" t="str">
        <f>IF(A349="","",Players!C349)</f>
        <v/>
      </c>
      <c r="C349" t="str">
        <f>IF(A349="","",Players!G349)</f>
        <v/>
      </c>
      <c r="D349" t="str">
        <f>IF(A349="","",COUNTIFS(Goals!$D$2:$D$289,"Goal",Goals!$E$2:$E$289,"*"&amp;A349&amp;"*",Goals!$F$2:$F$289,B349)+COUNTIFS(KnockoutGoals!$D$2:$D$85,"Goal",KnockoutGoals!$E$2:$E$85,"*"&amp;A349&amp;"*",KnockoutGoals!$F$2:$F$85,B349))</f>
        <v/>
      </c>
      <c r="E349">
        <f t="shared" si="5"/>
        <v>0</v>
      </c>
    </row>
    <row r="350" spans="1:5" x14ac:dyDescent="0.3">
      <c r="A350" t="str">
        <f>IF(Players!E350="","",Players!E350)</f>
        <v/>
      </c>
      <c r="B350" t="str">
        <f>IF(A350="","",Players!C350)</f>
        <v/>
      </c>
      <c r="C350" t="str">
        <f>IF(A350="","",Players!G350)</f>
        <v/>
      </c>
      <c r="D350" t="str">
        <f>IF(A350="","",COUNTIFS(Goals!$D$2:$D$289,"Goal",Goals!$E$2:$E$289,"*"&amp;A350&amp;"*",Goals!$F$2:$F$289,B350)+COUNTIFS(KnockoutGoals!$D$2:$D$85,"Goal",KnockoutGoals!$E$2:$E$85,"*"&amp;A350&amp;"*",KnockoutGoals!$F$2:$F$85,B350))</f>
        <v/>
      </c>
      <c r="E350">
        <f t="shared" si="5"/>
        <v>0</v>
      </c>
    </row>
    <row r="351" spans="1:5" x14ac:dyDescent="0.3">
      <c r="A351" t="str">
        <f>IF(Players!E351="","",Players!E351)</f>
        <v/>
      </c>
      <c r="B351" t="str">
        <f>IF(A351="","",Players!C351)</f>
        <v/>
      </c>
      <c r="C351" t="str">
        <f>IF(A351="","",Players!G351)</f>
        <v/>
      </c>
      <c r="D351" t="str">
        <f>IF(A351="","",COUNTIFS(Goals!$D$2:$D$289,"Goal",Goals!$E$2:$E$289,"*"&amp;A351&amp;"*",Goals!$F$2:$F$289,B351)+COUNTIFS(KnockoutGoals!$D$2:$D$85,"Goal",KnockoutGoals!$E$2:$E$85,"*"&amp;A351&amp;"*",KnockoutGoals!$F$2:$F$85,B351))</f>
        <v/>
      </c>
      <c r="E351">
        <f t="shared" si="5"/>
        <v>0</v>
      </c>
    </row>
    <row r="352" spans="1:5" x14ac:dyDescent="0.3">
      <c r="A352" t="str">
        <f>IF(Players!E352="","",Players!E352)</f>
        <v/>
      </c>
      <c r="B352" t="str">
        <f>IF(A352="","",Players!C352)</f>
        <v/>
      </c>
      <c r="C352" t="str">
        <f>IF(A352="","",Players!G352)</f>
        <v/>
      </c>
      <c r="D352" t="str">
        <f>IF(A352="","",COUNTIFS(Goals!$D$2:$D$289,"Goal",Goals!$E$2:$E$289,"*"&amp;A352&amp;"*",Goals!$F$2:$F$289,B352)+COUNTIFS(KnockoutGoals!$D$2:$D$85,"Goal",KnockoutGoals!$E$2:$E$85,"*"&amp;A352&amp;"*",KnockoutGoals!$F$2:$F$85,B352))</f>
        <v/>
      </c>
      <c r="E352">
        <f t="shared" si="5"/>
        <v>0</v>
      </c>
    </row>
    <row r="353" spans="1:5" x14ac:dyDescent="0.3">
      <c r="A353" t="str">
        <f>IF(Players!E353="","",Players!E353)</f>
        <v/>
      </c>
      <c r="B353" t="str">
        <f>IF(A353="","",Players!C353)</f>
        <v/>
      </c>
      <c r="C353" t="str">
        <f>IF(A353="","",Players!G353)</f>
        <v/>
      </c>
      <c r="D353" t="str">
        <f>IF(A353="","",COUNTIFS(Goals!$D$2:$D$289,"Goal",Goals!$E$2:$E$289,"*"&amp;A353&amp;"*",Goals!$F$2:$F$289,B353)+COUNTIFS(KnockoutGoals!$D$2:$D$85,"Goal",KnockoutGoals!$E$2:$E$85,"*"&amp;A353&amp;"*",KnockoutGoals!$F$2:$F$85,B353))</f>
        <v/>
      </c>
      <c r="E353">
        <f t="shared" si="5"/>
        <v>0</v>
      </c>
    </row>
    <row r="354" spans="1:5" x14ac:dyDescent="0.3">
      <c r="A354" t="str">
        <f>IF(Players!E354="","",Players!E354)</f>
        <v/>
      </c>
      <c r="B354" t="str">
        <f>IF(A354="","",Players!C354)</f>
        <v/>
      </c>
      <c r="C354" t="str">
        <f>IF(A354="","",Players!G354)</f>
        <v/>
      </c>
      <c r="D354" t="str">
        <f>IF(A354="","",COUNTIFS(Goals!$D$2:$D$289,"Goal",Goals!$E$2:$E$289,"*"&amp;A354&amp;"*",Goals!$F$2:$F$289,B354)+COUNTIFS(KnockoutGoals!$D$2:$D$85,"Goal",KnockoutGoals!$E$2:$E$85,"*"&amp;A354&amp;"*",KnockoutGoals!$F$2:$F$85,B354))</f>
        <v/>
      </c>
      <c r="E354">
        <f t="shared" si="5"/>
        <v>0</v>
      </c>
    </row>
    <row r="355" spans="1:5" x14ac:dyDescent="0.3">
      <c r="A355" t="str">
        <f>IF(Players!E355="","",Players!E355)</f>
        <v/>
      </c>
      <c r="B355" t="str">
        <f>IF(A355="","",Players!C355)</f>
        <v/>
      </c>
      <c r="C355" t="str">
        <f>IF(A355="","",Players!G355)</f>
        <v/>
      </c>
      <c r="D355" t="str">
        <f>IF(A355="","",COUNTIFS(Goals!$D$2:$D$289,"Goal",Goals!$E$2:$E$289,"*"&amp;A355&amp;"*",Goals!$F$2:$F$289,B355)+COUNTIFS(KnockoutGoals!$D$2:$D$85,"Goal",KnockoutGoals!$E$2:$E$85,"*"&amp;A355&amp;"*",KnockoutGoals!$F$2:$F$85,B355))</f>
        <v/>
      </c>
      <c r="E355">
        <f t="shared" si="5"/>
        <v>0</v>
      </c>
    </row>
    <row r="356" spans="1:5" x14ac:dyDescent="0.3">
      <c r="A356" t="str">
        <f>IF(Players!E356="","",Players!E356)</f>
        <v/>
      </c>
      <c r="B356" t="str">
        <f>IF(A356="","",Players!C356)</f>
        <v/>
      </c>
      <c r="C356" t="str">
        <f>IF(A356="","",Players!G356)</f>
        <v/>
      </c>
      <c r="D356" t="str">
        <f>IF(A356="","",COUNTIFS(Goals!$D$2:$D$289,"Goal",Goals!$E$2:$E$289,"*"&amp;A356&amp;"*",Goals!$F$2:$F$289,B356)+COUNTIFS(KnockoutGoals!$D$2:$D$85,"Goal",KnockoutGoals!$E$2:$E$85,"*"&amp;A356&amp;"*",KnockoutGoals!$F$2:$F$85,B356))</f>
        <v/>
      </c>
      <c r="E356">
        <f t="shared" si="5"/>
        <v>0</v>
      </c>
    </row>
    <row r="357" spans="1:5" x14ac:dyDescent="0.3">
      <c r="A357" t="str">
        <f>IF(Players!E357="","",Players!E357)</f>
        <v/>
      </c>
      <c r="B357" t="str">
        <f>IF(A357="","",Players!C357)</f>
        <v/>
      </c>
      <c r="C357" t="str">
        <f>IF(A357="","",Players!G357)</f>
        <v/>
      </c>
      <c r="D357" t="str">
        <f>IF(A357="","",COUNTIFS(Goals!$D$2:$D$289,"Goal",Goals!$E$2:$E$289,"*"&amp;A357&amp;"*",Goals!$F$2:$F$289,B357)+COUNTIFS(KnockoutGoals!$D$2:$D$85,"Goal",KnockoutGoals!$E$2:$E$85,"*"&amp;A357&amp;"*",KnockoutGoals!$F$2:$F$85,B357))</f>
        <v/>
      </c>
      <c r="E357">
        <f t="shared" si="5"/>
        <v>0</v>
      </c>
    </row>
    <row r="358" spans="1:5" x14ac:dyDescent="0.3">
      <c r="A358" t="str">
        <f>IF(Players!E358="","",Players!E358)</f>
        <v/>
      </c>
      <c r="B358" t="str">
        <f>IF(A358="","",Players!C358)</f>
        <v/>
      </c>
      <c r="C358" t="str">
        <f>IF(A358="","",Players!G358)</f>
        <v/>
      </c>
      <c r="D358" t="str">
        <f>IF(A358="","",COUNTIFS(Goals!$D$2:$D$289,"Goal",Goals!$E$2:$E$289,"*"&amp;A358&amp;"*",Goals!$F$2:$F$289,B358)+COUNTIFS(KnockoutGoals!$D$2:$D$85,"Goal",KnockoutGoals!$E$2:$E$85,"*"&amp;A358&amp;"*",KnockoutGoals!$F$2:$F$85,B358))</f>
        <v/>
      </c>
      <c r="E358">
        <f t="shared" si="5"/>
        <v>0</v>
      </c>
    </row>
    <row r="359" spans="1:5" x14ac:dyDescent="0.3">
      <c r="A359" t="str">
        <f>IF(Players!E359="","",Players!E359)</f>
        <v/>
      </c>
      <c r="B359" t="str">
        <f>IF(A359="","",Players!C359)</f>
        <v/>
      </c>
      <c r="C359" t="str">
        <f>IF(A359="","",Players!G359)</f>
        <v/>
      </c>
      <c r="D359" t="str">
        <f>IF(A359="","",COUNTIFS(Goals!$D$2:$D$289,"Goal",Goals!$E$2:$E$289,"*"&amp;A359&amp;"*",Goals!$F$2:$F$289,B359)+COUNTIFS(KnockoutGoals!$D$2:$D$85,"Goal",KnockoutGoals!$E$2:$E$85,"*"&amp;A359&amp;"*",KnockoutGoals!$F$2:$F$85,B359))</f>
        <v/>
      </c>
      <c r="E359">
        <f t="shared" si="5"/>
        <v>0</v>
      </c>
    </row>
    <row r="360" spans="1:5" x14ac:dyDescent="0.3">
      <c r="A360" t="str">
        <f>IF(Players!E360="","",Players!E360)</f>
        <v/>
      </c>
      <c r="B360" t="str">
        <f>IF(A360="","",Players!C360)</f>
        <v/>
      </c>
      <c r="C360" t="str">
        <f>IF(A360="","",Players!G360)</f>
        <v/>
      </c>
      <c r="D360" t="str">
        <f>IF(A360="","",COUNTIFS(Goals!$D$2:$D$289,"Goal",Goals!$E$2:$E$289,"*"&amp;A360&amp;"*",Goals!$F$2:$F$289,B360)+COUNTIFS(KnockoutGoals!$D$2:$D$85,"Goal",KnockoutGoals!$E$2:$E$85,"*"&amp;A360&amp;"*",KnockoutGoals!$F$2:$F$85,B360))</f>
        <v/>
      </c>
      <c r="E360">
        <f t="shared" si="5"/>
        <v>0</v>
      </c>
    </row>
    <row r="361" spans="1:5" x14ac:dyDescent="0.3">
      <c r="A361" t="str">
        <f>IF(Players!E361="","",Players!E361)</f>
        <v/>
      </c>
      <c r="B361" t="str">
        <f>IF(A361="","",Players!C361)</f>
        <v/>
      </c>
      <c r="C361" t="str">
        <f>IF(A361="","",Players!G361)</f>
        <v/>
      </c>
      <c r="D361" t="str">
        <f>IF(A361="","",COUNTIFS(Goals!$D$2:$D$289,"Goal",Goals!$E$2:$E$289,"*"&amp;A361&amp;"*",Goals!$F$2:$F$289,B361)+COUNTIFS(KnockoutGoals!$D$2:$D$85,"Goal",KnockoutGoals!$E$2:$E$85,"*"&amp;A361&amp;"*",KnockoutGoals!$F$2:$F$85,B361))</f>
        <v/>
      </c>
      <c r="E361">
        <f t="shared" si="5"/>
        <v>0</v>
      </c>
    </row>
    <row r="362" spans="1:5" x14ac:dyDescent="0.3">
      <c r="A362" t="str">
        <f>IF(Players!E362="","",Players!E362)</f>
        <v>GIACOMO DE SIMONE</v>
      </c>
      <c r="B362" t="str">
        <f>IF(A362="","",Players!C362)</f>
        <v>All Blacks</v>
      </c>
      <c r="C362" t="str">
        <f>IF(A362="","",Players!G362)</f>
        <v>1 - GIACOMO DE SIMONE</v>
      </c>
      <c r="D362">
        <f>IF(A362="","",COUNTIFS(Goals!$D$2:$D$289,"Goal",Goals!$E$2:$E$289,"*"&amp;A362&amp;"*",Goals!$F$2:$F$289,B362)+COUNTIFS(KnockoutGoals!$D$2:$D$85,"Goal",KnockoutGoals!$E$2:$E$85,"*"&amp;A362&amp;"*",KnockoutGoals!$F$2:$F$85,B362))</f>
        <v>0</v>
      </c>
      <c r="E362">
        <f t="shared" si="5"/>
        <v>-0.36199999999999999</v>
      </c>
    </row>
    <row r="363" spans="1:5" x14ac:dyDescent="0.3">
      <c r="A363" t="str">
        <f>IF(Players!E363="","",Players!E363)</f>
        <v>MARTINO GRANFO</v>
      </c>
      <c r="B363" t="str">
        <f>IF(A363="","",Players!C363)</f>
        <v>All Blacks</v>
      </c>
      <c r="C363" t="str">
        <f>IF(A363="","",Players!G363)</f>
        <v>3 - MARTINO GRANFO</v>
      </c>
      <c r="D363">
        <f>IF(A363="","",COUNTIFS(Goals!$D$2:$D$289,"Goal",Goals!$E$2:$E$289,"*"&amp;A363&amp;"*",Goals!$F$2:$F$289,B363)+COUNTIFS(KnockoutGoals!$D$2:$D$85,"Goal",KnockoutGoals!$E$2:$E$85,"*"&amp;A363&amp;"*",KnockoutGoals!$F$2:$F$85,B363))</f>
        <v>0</v>
      </c>
      <c r="E363">
        <f t="shared" si="5"/>
        <v>-0.36299999999999999</v>
      </c>
    </row>
    <row r="364" spans="1:5" x14ac:dyDescent="0.3">
      <c r="A364" t="str">
        <f>IF(Players!E364="","",Players!E364)</f>
        <v>STEFANO BRAGHIN</v>
      </c>
      <c r="B364" t="str">
        <f>IF(A364="","",Players!C364)</f>
        <v>All Blacks</v>
      </c>
      <c r="C364" t="str">
        <f>IF(A364="","",Players!G364)</f>
        <v>4 - STEFANO BRAGHIN</v>
      </c>
      <c r="D364">
        <f>IF(A364="","",COUNTIFS(Goals!$D$2:$D$289,"Goal",Goals!$E$2:$E$289,"*"&amp;A364&amp;"*",Goals!$F$2:$F$289,B364)+COUNTIFS(KnockoutGoals!$D$2:$D$85,"Goal",KnockoutGoals!$E$2:$E$85,"*"&amp;A364&amp;"*",KnockoutGoals!$F$2:$F$85,B364))</f>
        <v>0</v>
      </c>
      <c r="E364">
        <f t="shared" si="5"/>
        <v>-0.36399999999999999</v>
      </c>
    </row>
    <row r="365" spans="1:5" x14ac:dyDescent="0.3">
      <c r="A365" t="str">
        <f>IF(Players!E365="","",Players!E365)</f>
        <v>NICOLA BRESCIANI</v>
      </c>
      <c r="B365" t="str">
        <f>IF(A365="","",Players!C365)</f>
        <v>All Blacks</v>
      </c>
      <c r="C365" t="str">
        <f>IF(A365="","",Players!G365)</f>
        <v>5 - NICOLA BRESCIANI</v>
      </c>
      <c r="D365">
        <f>IF(A365="","",COUNTIFS(Goals!$D$2:$D$289,"Goal",Goals!$E$2:$E$289,"*"&amp;A365&amp;"*",Goals!$F$2:$F$289,B365)+COUNTIFS(KnockoutGoals!$D$2:$D$85,"Goal",KnockoutGoals!$E$2:$E$85,"*"&amp;A365&amp;"*",KnockoutGoals!$F$2:$F$85,B365))</f>
        <v>1</v>
      </c>
      <c r="E365">
        <f t="shared" si="5"/>
        <v>99999.634999999995</v>
      </c>
    </row>
    <row r="366" spans="1:5" x14ac:dyDescent="0.3">
      <c r="A366" t="str">
        <f>IF(Players!E366="","",Players!E366)</f>
        <v>DAVIDE BEDESCHI</v>
      </c>
      <c r="B366" t="str">
        <f>IF(A366="","",Players!C366)</f>
        <v>All Blacks</v>
      </c>
      <c r="C366" t="str">
        <f>IF(A366="","",Players!G366)</f>
        <v>6 - DAVIDE BEDESCHI</v>
      </c>
      <c r="D366">
        <f>IF(A366="","",COUNTIFS(Goals!$D$2:$D$289,"Goal",Goals!$E$2:$E$289,"*"&amp;A366&amp;"*",Goals!$F$2:$F$289,B366)+COUNTIFS(KnockoutGoals!$D$2:$D$85,"Goal",KnockoutGoals!$E$2:$E$85,"*"&amp;A366&amp;"*",KnockoutGoals!$F$2:$F$85,B366))</f>
        <v>0</v>
      </c>
      <c r="E366">
        <f t="shared" si="5"/>
        <v>-0.36599999999999999</v>
      </c>
    </row>
    <row r="367" spans="1:5" x14ac:dyDescent="0.3">
      <c r="A367" t="str">
        <f>IF(Players!E367="","",Players!E367)</f>
        <v>NICHOLAS MOSCHINI</v>
      </c>
      <c r="B367" t="str">
        <f>IF(A367="","",Players!C367)</f>
        <v>All Blacks</v>
      </c>
      <c r="C367" t="str">
        <f>IF(A367="","",Players!G367)</f>
        <v>7 - NICHOLAS MOSCHINI</v>
      </c>
      <c r="D367">
        <f>IF(A367="","",COUNTIFS(Goals!$D$2:$D$289,"Goal",Goals!$E$2:$E$289,"*"&amp;A367&amp;"*",Goals!$F$2:$F$289,B367)+COUNTIFS(KnockoutGoals!$D$2:$D$85,"Goal",KnockoutGoals!$E$2:$E$85,"*"&amp;A367&amp;"*",KnockoutGoals!$F$2:$F$85,B367))</f>
        <v>0</v>
      </c>
      <c r="E367">
        <f t="shared" si="5"/>
        <v>-0.36699999999999999</v>
      </c>
    </row>
    <row r="368" spans="1:5" x14ac:dyDescent="0.3">
      <c r="A368" t="str">
        <f>IF(Players!E368="","",Players!E368)</f>
        <v>DAVIDE GIRARDELLO</v>
      </c>
      <c r="B368" t="str">
        <f>IF(A368="","",Players!C368)</f>
        <v>All Blacks</v>
      </c>
      <c r="C368" t="str">
        <f>IF(A368="","",Players!G368)</f>
        <v>8 - DAVIDE GIRARDELLO</v>
      </c>
      <c r="D368">
        <f>IF(A368="","",COUNTIFS(Goals!$D$2:$D$289,"Goal",Goals!$E$2:$E$289,"*"&amp;A368&amp;"*",Goals!$F$2:$F$289,B368)+COUNTIFS(KnockoutGoals!$D$2:$D$85,"Goal",KnockoutGoals!$E$2:$E$85,"*"&amp;A368&amp;"*",KnockoutGoals!$F$2:$F$85,B368))</f>
        <v>0</v>
      </c>
      <c r="E368">
        <f t="shared" si="5"/>
        <v>-0.36799999999999999</v>
      </c>
    </row>
    <row r="369" spans="1:5" x14ac:dyDescent="0.3">
      <c r="A369" t="str">
        <f>IF(Players!E369="","",Players!E369)</f>
        <v>NICOLÒ BERGANTIN</v>
      </c>
      <c r="B369" t="str">
        <f>IF(A369="","",Players!C369)</f>
        <v>All Blacks</v>
      </c>
      <c r="C369" t="str">
        <f>IF(A369="","",Players!G369)</f>
        <v>9 - NICOLÒ BERGANTIN</v>
      </c>
      <c r="D369">
        <f>IF(A369="","",COUNTIFS(Goals!$D$2:$D$289,"Goal",Goals!$E$2:$E$289,"*"&amp;A369&amp;"*",Goals!$F$2:$F$289,B369)+COUNTIFS(KnockoutGoals!$D$2:$D$85,"Goal",KnockoutGoals!$E$2:$E$85,"*"&amp;A369&amp;"*",KnockoutGoals!$F$2:$F$85,B369))</f>
        <v>0</v>
      </c>
      <c r="E369">
        <f t="shared" si="5"/>
        <v>-0.36899999999999999</v>
      </c>
    </row>
    <row r="370" spans="1:5" x14ac:dyDescent="0.3">
      <c r="A370" t="str">
        <f>IF(Players!E370="","",Players!E370)</f>
        <v>FILIPPO CLEMENTE</v>
      </c>
      <c r="B370" t="str">
        <f>IF(A370="","",Players!C370)</f>
        <v>All Blacks</v>
      </c>
      <c r="C370" t="str">
        <f>IF(A370="","",Players!G370)</f>
        <v>10 - FILIPPO CLEMENTE</v>
      </c>
      <c r="D370">
        <f>IF(A370="","",COUNTIFS(Goals!$D$2:$D$289,"Goal",Goals!$E$2:$E$289,"*"&amp;A370&amp;"*",Goals!$F$2:$F$289,B370)+COUNTIFS(KnockoutGoals!$D$2:$D$85,"Goal",KnockoutGoals!$E$2:$E$85,"*"&amp;A370&amp;"*",KnockoutGoals!$F$2:$F$85,B370))</f>
        <v>0</v>
      </c>
      <c r="E370">
        <f t="shared" si="5"/>
        <v>-0.37</v>
      </c>
    </row>
    <row r="371" spans="1:5" x14ac:dyDescent="0.3">
      <c r="A371" t="str">
        <f>IF(Players!E371="","",Players!E371)</f>
        <v>ALBERTO LORENZETTI</v>
      </c>
      <c r="B371" t="str">
        <f>IF(A371="","",Players!C371)</f>
        <v>All Blacks</v>
      </c>
      <c r="C371" t="str">
        <f>IF(A371="","",Players!G371)</f>
        <v>11 - ALBERTO LORENZETTI (C)</v>
      </c>
      <c r="D371">
        <f>IF(A371="","",COUNTIFS(Goals!$D$2:$D$289,"Goal",Goals!$E$2:$E$289,"*"&amp;A371&amp;"*",Goals!$F$2:$F$289,B371)+COUNTIFS(KnockoutGoals!$D$2:$D$85,"Goal",KnockoutGoals!$E$2:$E$85,"*"&amp;A371&amp;"*",KnockoutGoals!$F$2:$F$85,B371))</f>
        <v>0</v>
      </c>
      <c r="E371">
        <f t="shared" si="5"/>
        <v>-0.371</v>
      </c>
    </row>
    <row r="372" spans="1:5" x14ac:dyDescent="0.3">
      <c r="A372" t="str">
        <f>IF(Players!E372="","",Players!E372)</f>
        <v>MATTIA BIOLCATI</v>
      </c>
      <c r="B372" t="str">
        <f>IF(A372="","",Players!C372)</f>
        <v>All Blacks</v>
      </c>
      <c r="C372" t="str">
        <f>IF(A372="","",Players!G372)</f>
        <v>18 - MATTIA BIOLCATI</v>
      </c>
      <c r="D372">
        <f>IF(A372="","",COUNTIFS(Goals!$D$2:$D$289,"Goal",Goals!$E$2:$E$289,"*"&amp;A372&amp;"*",Goals!$F$2:$F$289,B372)+COUNTIFS(KnockoutGoals!$D$2:$D$85,"Goal",KnockoutGoals!$E$2:$E$85,"*"&amp;A372&amp;"*",KnockoutGoals!$F$2:$F$85,B372))</f>
        <v>0</v>
      </c>
      <c r="E372">
        <f t="shared" si="5"/>
        <v>-0.372</v>
      </c>
    </row>
    <row r="373" spans="1:5" x14ac:dyDescent="0.3">
      <c r="A373" t="str">
        <f>IF(Players!E373="","",Players!E373)</f>
        <v/>
      </c>
      <c r="B373" t="str">
        <f>IF(A373="","",Players!C373)</f>
        <v/>
      </c>
      <c r="C373" t="str">
        <f>IF(A373="","",Players!G373)</f>
        <v/>
      </c>
      <c r="D373" t="str">
        <f>IF(A373="","",COUNTIFS(Goals!$D$2:$D$289,"Goal",Goals!$E$2:$E$289,"*"&amp;A373&amp;"*",Goals!$F$2:$F$289,B373)+COUNTIFS(KnockoutGoals!$D$2:$D$85,"Goal",KnockoutGoals!$E$2:$E$85,"*"&amp;A373&amp;"*",KnockoutGoals!$F$2:$F$85,B373))</f>
        <v/>
      </c>
      <c r="E373">
        <f t="shared" si="5"/>
        <v>0</v>
      </c>
    </row>
    <row r="374" spans="1:5" x14ac:dyDescent="0.3">
      <c r="A374" t="str">
        <f>IF(Players!E374="","",Players!E374)</f>
        <v/>
      </c>
      <c r="B374" t="str">
        <f>IF(A374="","",Players!C374)</f>
        <v/>
      </c>
      <c r="C374" t="str">
        <f>IF(A374="","",Players!G374)</f>
        <v/>
      </c>
      <c r="D374" t="str">
        <f>IF(A374="","",COUNTIFS(Goals!$D$2:$D$289,"Goal",Goals!$E$2:$E$289,"*"&amp;A374&amp;"*",Goals!$F$2:$F$289,B374)+COUNTIFS(KnockoutGoals!$D$2:$D$85,"Goal",KnockoutGoals!$E$2:$E$85,"*"&amp;A374&amp;"*",KnockoutGoals!$F$2:$F$85,B374))</f>
        <v/>
      </c>
      <c r="E374">
        <f t="shared" si="5"/>
        <v>0</v>
      </c>
    </row>
    <row r="375" spans="1:5" x14ac:dyDescent="0.3">
      <c r="A375" t="str">
        <f>IF(Players!E375="","",Players!E375)</f>
        <v/>
      </c>
      <c r="B375" t="str">
        <f>IF(A375="","",Players!C375)</f>
        <v/>
      </c>
      <c r="C375" t="str">
        <f>IF(A375="","",Players!G375)</f>
        <v/>
      </c>
      <c r="D375" t="str">
        <f>IF(A375="","",COUNTIFS(Goals!$D$2:$D$289,"Goal",Goals!$E$2:$E$289,"*"&amp;A375&amp;"*",Goals!$F$2:$F$289,B375)+COUNTIFS(KnockoutGoals!$D$2:$D$85,"Goal",KnockoutGoals!$E$2:$E$85,"*"&amp;A375&amp;"*",KnockoutGoals!$F$2:$F$85,B375))</f>
        <v/>
      </c>
      <c r="E375">
        <f t="shared" si="5"/>
        <v>0</v>
      </c>
    </row>
    <row r="376" spans="1:5" x14ac:dyDescent="0.3">
      <c r="A376" t="str">
        <f>IF(Players!E376="","",Players!E376)</f>
        <v/>
      </c>
      <c r="B376" t="str">
        <f>IF(A376="","",Players!C376)</f>
        <v/>
      </c>
      <c r="C376" t="str">
        <f>IF(A376="","",Players!G376)</f>
        <v/>
      </c>
      <c r="D376" t="str">
        <f>IF(A376="","",COUNTIFS(Goals!$D$2:$D$289,"Goal",Goals!$E$2:$E$289,"*"&amp;A376&amp;"*",Goals!$F$2:$F$289,B376)+COUNTIFS(KnockoutGoals!$D$2:$D$85,"Goal",KnockoutGoals!$E$2:$E$85,"*"&amp;A376&amp;"*",KnockoutGoals!$F$2:$F$85,B376))</f>
        <v/>
      </c>
      <c r="E376">
        <f t="shared" si="5"/>
        <v>0</v>
      </c>
    </row>
    <row r="377" spans="1:5" x14ac:dyDescent="0.3">
      <c r="A377" t="str">
        <f>IF(Players!E377="","",Players!E377)</f>
        <v/>
      </c>
      <c r="B377" t="str">
        <f>IF(A377="","",Players!C377)</f>
        <v/>
      </c>
      <c r="C377" t="str">
        <f>IF(A377="","",Players!G377)</f>
        <v/>
      </c>
      <c r="D377" t="str">
        <f>IF(A377="","",COUNTIFS(Goals!$D$2:$D$289,"Goal",Goals!$E$2:$E$289,"*"&amp;A377&amp;"*",Goals!$F$2:$F$289,B377)+COUNTIFS(KnockoutGoals!$D$2:$D$85,"Goal",KnockoutGoals!$E$2:$E$85,"*"&amp;A377&amp;"*",KnockoutGoals!$F$2:$F$85,B377))</f>
        <v/>
      </c>
      <c r="E377">
        <f t="shared" si="5"/>
        <v>0</v>
      </c>
    </row>
    <row r="378" spans="1:5" x14ac:dyDescent="0.3">
      <c r="A378" t="str">
        <f>IF(Players!E378="","",Players!E378)</f>
        <v/>
      </c>
      <c r="B378" t="str">
        <f>IF(A378="","",Players!C378)</f>
        <v/>
      </c>
      <c r="C378" t="str">
        <f>IF(A378="","",Players!G378)</f>
        <v/>
      </c>
      <c r="D378" t="str">
        <f>IF(A378="","",COUNTIFS(Goals!$D$2:$D$289,"Goal",Goals!$E$2:$E$289,"*"&amp;A378&amp;"*",Goals!$F$2:$F$289,B378)+COUNTIFS(KnockoutGoals!$D$2:$D$85,"Goal",KnockoutGoals!$E$2:$E$85,"*"&amp;A378&amp;"*",KnockoutGoals!$F$2:$F$85,B378))</f>
        <v/>
      </c>
      <c r="E378">
        <f t="shared" si="5"/>
        <v>0</v>
      </c>
    </row>
    <row r="379" spans="1:5" x14ac:dyDescent="0.3">
      <c r="A379" t="str">
        <f>IF(Players!E379="","",Players!E379)</f>
        <v/>
      </c>
      <c r="B379" t="str">
        <f>IF(A379="","",Players!C379)</f>
        <v/>
      </c>
      <c r="C379" t="str">
        <f>IF(A379="","",Players!G379)</f>
        <v/>
      </c>
      <c r="D379" t="str">
        <f>IF(A379="","",COUNTIFS(Goals!$D$2:$D$289,"Goal",Goals!$E$2:$E$289,"*"&amp;A379&amp;"*",Goals!$F$2:$F$289,B379)+COUNTIFS(KnockoutGoals!$D$2:$D$85,"Goal",KnockoutGoals!$E$2:$E$85,"*"&amp;A379&amp;"*",KnockoutGoals!$F$2:$F$85,B379))</f>
        <v/>
      </c>
      <c r="E379">
        <f t="shared" si="5"/>
        <v>0</v>
      </c>
    </row>
    <row r="380" spans="1:5" x14ac:dyDescent="0.3">
      <c r="A380" t="str">
        <f>IF(Players!E380="","",Players!E380)</f>
        <v/>
      </c>
      <c r="B380" t="str">
        <f>IF(A380="","",Players!C380)</f>
        <v/>
      </c>
      <c r="C380" t="str">
        <f>IF(A380="","",Players!G380)</f>
        <v/>
      </c>
      <c r="D380" t="str">
        <f>IF(A380="","",COUNTIFS(Goals!$D$2:$D$289,"Goal",Goals!$E$2:$E$289,"*"&amp;A380&amp;"*",Goals!$F$2:$F$289,B380)+COUNTIFS(KnockoutGoals!$D$2:$D$85,"Goal",KnockoutGoals!$E$2:$E$85,"*"&amp;A380&amp;"*",KnockoutGoals!$F$2:$F$85,B380))</f>
        <v/>
      </c>
      <c r="E380">
        <f t="shared" si="5"/>
        <v>0</v>
      </c>
    </row>
    <row r="381" spans="1:5" x14ac:dyDescent="0.3">
      <c r="A381" t="str">
        <f>IF(Players!E381="","",Players!E381)</f>
        <v/>
      </c>
      <c r="B381" t="str">
        <f>IF(A381="","",Players!C381)</f>
        <v/>
      </c>
      <c r="C381" t="str">
        <f>IF(A381="","",Players!G381)</f>
        <v/>
      </c>
      <c r="D381" t="str">
        <f>IF(A381="","",COUNTIFS(Goals!$D$2:$D$289,"Goal",Goals!$E$2:$E$289,"*"&amp;A381&amp;"*",Goals!$F$2:$F$289,B381)+COUNTIFS(KnockoutGoals!$D$2:$D$85,"Goal",KnockoutGoals!$E$2:$E$85,"*"&amp;A381&amp;"*",KnockoutGoals!$F$2:$F$85,B381))</f>
        <v/>
      </c>
      <c r="E381">
        <f t="shared" si="5"/>
        <v>0</v>
      </c>
    </row>
    <row r="382" spans="1:5" x14ac:dyDescent="0.3">
      <c r="A382" t="str">
        <f>IF(Players!E382="","",Players!E382)</f>
        <v/>
      </c>
      <c r="B382" t="str">
        <f>IF(A382="","",Players!C382)</f>
        <v/>
      </c>
      <c r="C382" t="str">
        <f>IF(A382="","",Players!G382)</f>
        <v/>
      </c>
      <c r="D382" t="str">
        <f>IF(A382="","",COUNTIFS(Goals!$D$2:$D$289,"Goal",Goals!$E$2:$E$289,"*"&amp;A382&amp;"*",Goals!$F$2:$F$289,B382)+COUNTIFS(KnockoutGoals!$D$2:$D$85,"Goal",KnockoutGoals!$E$2:$E$85,"*"&amp;A382&amp;"*",KnockoutGoals!$F$2:$F$85,B382))</f>
        <v/>
      </c>
      <c r="E382">
        <f t="shared" si="5"/>
        <v>0</v>
      </c>
    </row>
    <row r="383" spans="1:5" x14ac:dyDescent="0.3">
      <c r="A383" t="str">
        <f>IF(Players!E383="","",Players!E383)</f>
        <v/>
      </c>
      <c r="B383" t="str">
        <f>IF(A383="","",Players!C383)</f>
        <v/>
      </c>
      <c r="C383" t="str">
        <f>IF(A383="","",Players!G383)</f>
        <v/>
      </c>
      <c r="D383" t="str">
        <f>IF(A383="","",COUNTIFS(Goals!$D$2:$D$289,"Goal",Goals!$E$2:$E$289,"*"&amp;A383&amp;"*",Goals!$F$2:$F$289,B383)+COUNTIFS(KnockoutGoals!$D$2:$D$85,"Goal",KnockoutGoals!$E$2:$E$85,"*"&amp;A383&amp;"*",KnockoutGoals!$F$2:$F$85,B383))</f>
        <v/>
      </c>
      <c r="E383">
        <f t="shared" si="5"/>
        <v>0</v>
      </c>
    </row>
    <row r="384" spans="1:5" x14ac:dyDescent="0.3">
      <c r="A384" t="str">
        <f>IF(Players!E384="","",Players!E384)</f>
        <v/>
      </c>
      <c r="B384" t="str">
        <f>IF(A384="","",Players!C384)</f>
        <v/>
      </c>
      <c r="C384" t="str">
        <f>IF(A384="","",Players!G384)</f>
        <v/>
      </c>
      <c r="D384" t="str">
        <f>IF(A384="","",COUNTIFS(Goals!$D$2:$D$289,"Goal",Goals!$E$2:$E$289,"*"&amp;A384&amp;"*",Goals!$F$2:$F$289,B384)+COUNTIFS(KnockoutGoals!$D$2:$D$85,"Goal",KnockoutGoals!$E$2:$E$85,"*"&amp;A384&amp;"*",KnockoutGoals!$F$2:$F$85,B384))</f>
        <v/>
      </c>
      <c r="E384">
        <f t="shared" si="5"/>
        <v>0</v>
      </c>
    </row>
    <row r="385" spans="1:5" x14ac:dyDescent="0.3">
      <c r="A385" t="str">
        <f>IF(Players!E385="","",Players!E385)</f>
        <v/>
      </c>
      <c r="B385" t="str">
        <f>IF(A385="","",Players!C385)</f>
        <v/>
      </c>
      <c r="C385" t="str">
        <f>IF(A385="","",Players!G385)</f>
        <v/>
      </c>
      <c r="D385" t="str">
        <f>IF(A385="","",COUNTIFS(Goals!$D$2:$D$289,"Goal",Goals!$E$2:$E$289,"*"&amp;A385&amp;"*",Goals!$F$2:$F$289,B385)+COUNTIFS(KnockoutGoals!$D$2:$D$85,"Goal",KnockoutGoals!$E$2:$E$85,"*"&amp;A385&amp;"*",KnockoutGoals!$F$2:$F$85,B385))</f>
        <v/>
      </c>
      <c r="E385">
        <f t="shared" si="5"/>
        <v>0</v>
      </c>
    </row>
    <row r="386" spans="1:5" x14ac:dyDescent="0.3">
      <c r="A386" t="str">
        <f>IF(Players!E386="","",Players!E386)</f>
        <v/>
      </c>
      <c r="B386" t="str">
        <f>IF(A386="","",Players!C386)</f>
        <v/>
      </c>
      <c r="C386" t="str">
        <f>IF(A386="","",Players!G386)</f>
        <v/>
      </c>
      <c r="D386" t="str">
        <f>IF(A386="","",COUNTIFS(Goals!$D$2:$D$289,"Goal",Goals!$E$2:$E$289,"*"&amp;A386&amp;"*",Goals!$F$2:$F$289,B386)+COUNTIFS(KnockoutGoals!$D$2:$D$85,"Goal",KnockoutGoals!$E$2:$E$85,"*"&amp;A386&amp;"*",KnockoutGoals!$F$2:$F$85,B386))</f>
        <v/>
      </c>
      <c r="E386">
        <f t="shared" ref="E386:E449" si="6">IF(A386="",0,D386*100000-ROW()/1000)</f>
        <v>0</v>
      </c>
    </row>
    <row r="387" spans="1:5" x14ac:dyDescent="0.3">
      <c r="A387" t="str">
        <f>IF(Players!E387="","",Players!E387)</f>
        <v/>
      </c>
      <c r="B387" t="str">
        <f>IF(A387="","",Players!C387)</f>
        <v/>
      </c>
      <c r="C387" t="str">
        <f>IF(A387="","",Players!G387)</f>
        <v/>
      </c>
      <c r="D387" t="str">
        <f>IF(A387="","",COUNTIFS(Goals!$D$2:$D$289,"Goal",Goals!$E$2:$E$289,"*"&amp;A387&amp;"*",Goals!$F$2:$F$289,B387)+COUNTIFS(KnockoutGoals!$D$2:$D$85,"Goal",KnockoutGoals!$E$2:$E$85,"*"&amp;A387&amp;"*",KnockoutGoals!$F$2:$F$85,B387))</f>
        <v/>
      </c>
      <c r="E387">
        <f t="shared" si="6"/>
        <v>0</v>
      </c>
    </row>
    <row r="388" spans="1:5" x14ac:dyDescent="0.3">
      <c r="A388" t="str">
        <f>IF(Players!E388="","",Players!E388)</f>
        <v/>
      </c>
      <c r="B388" t="str">
        <f>IF(A388="","",Players!C388)</f>
        <v/>
      </c>
      <c r="C388" t="str">
        <f>IF(A388="","",Players!G388)</f>
        <v/>
      </c>
      <c r="D388" t="str">
        <f>IF(A388="","",COUNTIFS(Goals!$D$2:$D$289,"Goal",Goals!$E$2:$E$289,"*"&amp;A388&amp;"*",Goals!$F$2:$F$289,B388)+COUNTIFS(KnockoutGoals!$D$2:$D$85,"Goal",KnockoutGoals!$E$2:$E$85,"*"&amp;A388&amp;"*",KnockoutGoals!$F$2:$F$85,B388))</f>
        <v/>
      </c>
      <c r="E388">
        <f t="shared" si="6"/>
        <v>0</v>
      </c>
    </row>
    <row r="389" spans="1:5" x14ac:dyDescent="0.3">
      <c r="A389" t="str">
        <f>IF(Players!E389="","",Players!E389)</f>
        <v/>
      </c>
      <c r="B389" t="str">
        <f>IF(A389="","",Players!C389)</f>
        <v/>
      </c>
      <c r="C389" t="str">
        <f>IF(A389="","",Players!G389)</f>
        <v/>
      </c>
      <c r="D389" t="str">
        <f>IF(A389="","",COUNTIFS(Goals!$D$2:$D$289,"Goal",Goals!$E$2:$E$289,"*"&amp;A389&amp;"*",Goals!$F$2:$F$289,B389)+COUNTIFS(KnockoutGoals!$D$2:$D$85,"Goal",KnockoutGoals!$E$2:$E$85,"*"&amp;A389&amp;"*",KnockoutGoals!$F$2:$F$85,B389))</f>
        <v/>
      </c>
      <c r="E389">
        <f t="shared" si="6"/>
        <v>0</v>
      </c>
    </row>
    <row r="390" spans="1:5" x14ac:dyDescent="0.3">
      <c r="A390" t="str">
        <f>IF(Players!E390="","",Players!E390)</f>
        <v/>
      </c>
      <c r="B390" t="str">
        <f>IF(A390="","",Players!C390)</f>
        <v/>
      </c>
      <c r="C390" t="str">
        <f>IF(A390="","",Players!G390)</f>
        <v/>
      </c>
      <c r="D390" t="str">
        <f>IF(A390="","",COUNTIFS(Goals!$D$2:$D$289,"Goal",Goals!$E$2:$E$289,"*"&amp;A390&amp;"*",Goals!$F$2:$F$289,B390)+COUNTIFS(KnockoutGoals!$D$2:$D$85,"Goal",KnockoutGoals!$E$2:$E$85,"*"&amp;A390&amp;"*",KnockoutGoals!$F$2:$F$85,B390))</f>
        <v/>
      </c>
      <c r="E390">
        <f t="shared" si="6"/>
        <v>0</v>
      </c>
    </row>
    <row r="391" spans="1:5" x14ac:dyDescent="0.3">
      <c r="A391" t="str">
        <f>IF(Players!E391="","",Players!E391)</f>
        <v/>
      </c>
      <c r="B391" t="str">
        <f>IF(A391="","",Players!C391)</f>
        <v/>
      </c>
      <c r="C391" t="str">
        <f>IF(A391="","",Players!G391)</f>
        <v/>
      </c>
      <c r="D391" t="str">
        <f>IF(A391="","",COUNTIFS(Goals!$D$2:$D$289,"Goal",Goals!$E$2:$E$289,"*"&amp;A391&amp;"*",Goals!$F$2:$F$289,B391)+COUNTIFS(KnockoutGoals!$D$2:$D$85,"Goal",KnockoutGoals!$E$2:$E$85,"*"&amp;A391&amp;"*",KnockoutGoals!$F$2:$F$85,B391))</f>
        <v/>
      </c>
      <c r="E391">
        <f t="shared" si="6"/>
        <v>0</v>
      </c>
    </row>
    <row r="392" spans="1:5" x14ac:dyDescent="0.3">
      <c r="A392" t="str">
        <f>IF(Players!E392="","",Players!E392)</f>
        <v>MATTIA BELLUCCO</v>
      </c>
      <c r="B392" t="str">
        <f>IF(A392="","",Players!C392)</f>
        <v>Boldò Glimt</v>
      </c>
      <c r="C392" t="str">
        <f>IF(A392="","",Players!G392)</f>
        <v>1 - MATTIA BELLUCCO</v>
      </c>
      <c r="D392">
        <f>IF(A392="","",COUNTIFS(Goals!$D$2:$D$289,"Goal",Goals!$E$2:$E$289,"*"&amp;A392&amp;"*",Goals!$F$2:$F$289,B392)+COUNTIFS(KnockoutGoals!$D$2:$D$85,"Goal",KnockoutGoals!$E$2:$E$85,"*"&amp;A392&amp;"*",KnockoutGoals!$F$2:$F$85,B392))</f>
        <v>0</v>
      </c>
      <c r="E392">
        <f t="shared" si="6"/>
        <v>-0.39200000000000002</v>
      </c>
    </row>
    <row r="393" spans="1:5" x14ac:dyDescent="0.3">
      <c r="A393" t="str">
        <f>IF(Players!E393="","",Players!E393)</f>
        <v>NICOLÒ BERTIPAGLIA</v>
      </c>
      <c r="B393" t="str">
        <f>IF(A393="","",Players!C393)</f>
        <v>Boldò Glimt</v>
      </c>
      <c r="C393" t="str">
        <f>IF(A393="","",Players!G393)</f>
        <v>2 - NICOLÒ BERTIPAGLIA</v>
      </c>
      <c r="D393">
        <f>IF(A393="","",COUNTIFS(Goals!$D$2:$D$289,"Goal",Goals!$E$2:$E$289,"*"&amp;A393&amp;"*",Goals!$F$2:$F$289,B393)+COUNTIFS(KnockoutGoals!$D$2:$D$85,"Goal",KnockoutGoals!$E$2:$E$85,"*"&amp;A393&amp;"*",KnockoutGoals!$F$2:$F$85,B393))</f>
        <v>0</v>
      </c>
      <c r="E393">
        <f t="shared" si="6"/>
        <v>-0.39300000000000002</v>
      </c>
    </row>
    <row r="394" spans="1:5" x14ac:dyDescent="0.3">
      <c r="A394" t="str">
        <f>IF(Players!E394="","",Players!E394)</f>
        <v>FRANCESCO CUCCATO</v>
      </c>
      <c r="B394" t="str">
        <f>IF(A394="","",Players!C394)</f>
        <v>Boldò Glimt</v>
      </c>
      <c r="C394" t="str">
        <f>IF(A394="","",Players!G394)</f>
        <v>4 - FRANCESCO CUCCATO</v>
      </c>
      <c r="D394">
        <f>IF(A394="","",COUNTIFS(Goals!$D$2:$D$289,"Goal",Goals!$E$2:$E$289,"*"&amp;A394&amp;"*",Goals!$F$2:$F$289,B394)+COUNTIFS(KnockoutGoals!$D$2:$D$85,"Goal",KnockoutGoals!$E$2:$E$85,"*"&amp;A394&amp;"*",KnockoutGoals!$F$2:$F$85,B394))</f>
        <v>0</v>
      </c>
      <c r="E394">
        <f t="shared" si="6"/>
        <v>-0.39400000000000002</v>
      </c>
    </row>
    <row r="395" spans="1:5" x14ac:dyDescent="0.3">
      <c r="A395" t="str">
        <f>IF(Players!E395="","",Players!E395)</f>
        <v>ANGELO REDI</v>
      </c>
      <c r="B395" t="str">
        <f>IF(A395="","",Players!C395)</f>
        <v>Boldò Glimt</v>
      </c>
      <c r="C395" t="str">
        <f>IF(A395="","",Players!G395)</f>
        <v>7 - ANGELO REDI</v>
      </c>
      <c r="D395">
        <f>IF(A395="","",COUNTIFS(Goals!$D$2:$D$289,"Goal",Goals!$E$2:$E$289,"*"&amp;A395&amp;"*",Goals!$F$2:$F$289,B395)+COUNTIFS(KnockoutGoals!$D$2:$D$85,"Goal",KnockoutGoals!$E$2:$E$85,"*"&amp;A395&amp;"*",KnockoutGoals!$F$2:$F$85,B395))</f>
        <v>0</v>
      </c>
      <c r="E395">
        <f t="shared" si="6"/>
        <v>-0.39500000000000002</v>
      </c>
    </row>
    <row r="396" spans="1:5" x14ac:dyDescent="0.3">
      <c r="A396" t="str">
        <f>IF(Players!E396="","",Players!E396)</f>
        <v>MATTEO VERZA</v>
      </c>
      <c r="B396" t="str">
        <f>IF(A396="","",Players!C396)</f>
        <v>Boldò Glimt</v>
      </c>
      <c r="C396" t="str">
        <f>IF(A396="","",Players!G396)</f>
        <v>8 - MATTEO VERZA</v>
      </c>
      <c r="D396">
        <f>IF(A396="","",COUNTIFS(Goals!$D$2:$D$289,"Goal",Goals!$E$2:$E$289,"*"&amp;A396&amp;"*",Goals!$F$2:$F$289,B396)+COUNTIFS(KnockoutGoals!$D$2:$D$85,"Goal",KnockoutGoals!$E$2:$E$85,"*"&amp;A396&amp;"*",KnockoutGoals!$F$2:$F$85,B396))</f>
        <v>0</v>
      </c>
      <c r="E396">
        <f t="shared" si="6"/>
        <v>-0.39600000000000002</v>
      </c>
    </row>
    <row r="397" spans="1:5" x14ac:dyDescent="0.3">
      <c r="A397" t="str">
        <f>IF(Players!E397="","",Players!E397)</f>
        <v>MARCO NEODO</v>
      </c>
      <c r="B397" t="str">
        <f>IF(A397="","",Players!C397)</f>
        <v>Boldò Glimt</v>
      </c>
      <c r="C397" t="str">
        <f>IF(A397="","",Players!G397)</f>
        <v>9 - MARCO NEODO</v>
      </c>
      <c r="D397">
        <f>IF(A397="","",COUNTIFS(Goals!$D$2:$D$289,"Goal",Goals!$E$2:$E$289,"*"&amp;A397&amp;"*",Goals!$F$2:$F$289,B397)+COUNTIFS(KnockoutGoals!$D$2:$D$85,"Goal",KnockoutGoals!$E$2:$E$85,"*"&amp;A397&amp;"*",KnockoutGoals!$F$2:$F$85,B397))</f>
        <v>0</v>
      </c>
      <c r="E397">
        <f t="shared" si="6"/>
        <v>-0.39700000000000002</v>
      </c>
    </row>
    <row r="398" spans="1:5" x14ac:dyDescent="0.3">
      <c r="A398" t="str">
        <f>IF(Players!E398="","",Players!E398)</f>
        <v>ALEX BERTIPAGLIA</v>
      </c>
      <c r="B398" t="str">
        <f>IF(A398="","",Players!C398)</f>
        <v>Boldò Glimt</v>
      </c>
      <c r="C398" t="str">
        <f>IF(A398="","",Players!G398)</f>
        <v>10 - ALEX BERTIPAGLIA (C)</v>
      </c>
      <c r="D398">
        <f>IF(A398="","",COUNTIFS(Goals!$D$2:$D$289,"Goal",Goals!$E$2:$E$289,"*"&amp;A398&amp;"*",Goals!$F$2:$F$289,B398)+COUNTIFS(KnockoutGoals!$D$2:$D$85,"Goal",KnockoutGoals!$E$2:$E$85,"*"&amp;A398&amp;"*",KnockoutGoals!$F$2:$F$85,B398))</f>
        <v>0</v>
      </c>
      <c r="E398">
        <f t="shared" si="6"/>
        <v>-0.39800000000000002</v>
      </c>
    </row>
    <row r="399" spans="1:5" x14ac:dyDescent="0.3">
      <c r="A399" t="str">
        <f>IF(Players!E399="","",Players!E399)</f>
        <v>FABIO FERRARI</v>
      </c>
      <c r="B399" t="str">
        <f>IF(A399="","",Players!C399)</f>
        <v>Boldò Glimt</v>
      </c>
      <c r="C399" t="str">
        <f>IF(A399="","",Players!G399)</f>
        <v>14 - FABIO FERRARI</v>
      </c>
      <c r="D399">
        <f>IF(A399="","",COUNTIFS(Goals!$D$2:$D$289,"Goal",Goals!$E$2:$E$289,"*"&amp;A399&amp;"*",Goals!$F$2:$F$289,B399)+COUNTIFS(KnockoutGoals!$D$2:$D$85,"Goal",KnockoutGoals!$E$2:$E$85,"*"&amp;A399&amp;"*",KnockoutGoals!$F$2:$F$85,B399))</f>
        <v>0</v>
      </c>
      <c r="E399">
        <f t="shared" si="6"/>
        <v>-0.39900000000000002</v>
      </c>
    </row>
    <row r="400" spans="1:5" x14ac:dyDescent="0.3">
      <c r="A400" t="str">
        <f>IF(Players!E400="","",Players!E400)</f>
        <v>NICOLA MORIN</v>
      </c>
      <c r="B400" t="str">
        <f>IF(A400="","",Players!C400)</f>
        <v>Boldò Glimt</v>
      </c>
      <c r="C400" t="str">
        <f>IF(A400="","",Players!G400)</f>
        <v>17 - NICOLA MORIN</v>
      </c>
      <c r="D400">
        <f>IF(A400="","",COUNTIFS(Goals!$D$2:$D$289,"Goal",Goals!$E$2:$E$289,"*"&amp;A400&amp;"*",Goals!$F$2:$F$289,B400)+COUNTIFS(KnockoutGoals!$D$2:$D$85,"Goal",KnockoutGoals!$E$2:$E$85,"*"&amp;A400&amp;"*",KnockoutGoals!$F$2:$F$85,B400))</f>
        <v>0</v>
      </c>
      <c r="E400">
        <f t="shared" si="6"/>
        <v>-0.4</v>
      </c>
    </row>
    <row r="401" spans="1:5" x14ac:dyDescent="0.3">
      <c r="A401" t="str">
        <f>IF(Players!E401="","",Players!E401)</f>
        <v>LUCA CECCONELLO</v>
      </c>
      <c r="B401" t="str">
        <f>IF(A401="","",Players!C401)</f>
        <v>Boldò Glimt</v>
      </c>
      <c r="C401" t="str">
        <f>IF(A401="","",Players!G401)</f>
        <v>21 - LUCA CECCONELLO</v>
      </c>
      <c r="D401">
        <f>IF(A401="","",COUNTIFS(Goals!$D$2:$D$289,"Goal",Goals!$E$2:$E$289,"*"&amp;A401&amp;"*",Goals!$F$2:$F$289,B401)+COUNTIFS(KnockoutGoals!$D$2:$D$85,"Goal",KnockoutGoals!$E$2:$E$85,"*"&amp;A401&amp;"*",KnockoutGoals!$F$2:$F$85,B401))</f>
        <v>2</v>
      </c>
      <c r="E401">
        <f t="shared" si="6"/>
        <v>199999.59899999999</v>
      </c>
    </row>
    <row r="402" spans="1:5" x14ac:dyDescent="0.3">
      <c r="A402" t="str">
        <f>IF(Players!E402="","",Players!E402)</f>
        <v/>
      </c>
      <c r="B402" t="str">
        <f>IF(A402="","",Players!C402)</f>
        <v/>
      </c>
      <c r="C402" t="str">
        <f>IF(A402="","",Players!G402)</f>
        <v/>
      </c>
      <c r="D402" t="str">
        <f>IF(A402="","",COUNTIFS(Goals!$D$2:$D$289,"Goal",Goals!$E$2:$E$289,"*"&amp;A402&amp;"*",Goals!$F$2:$F$289,B402)+COUNTIFS(KnockoutGoals!$D$2:$D$85,"Goal",KnockoutGoals!$E$2:$E$85,"*"&amp;A402&amp;"*",KnockoutGoals!$F$2:$F$85,B402))</f>
        <v/>
      </c>
      <c r="E402">
        <f t="shared" si="6"/>
        <v>0</v>
      </c>
    </row>
    <row r="403" spans="1:5" x14ac:dyDescent="0.3">
      <c r="A403" t="str">
        <f>IF(Players!E403="","",Players!E403)</f>
        <v/>
      </c>
      <c r="B403" t="str">
        <f>IF(A403="","",Players!C403)</f>
        <v/>
      </c>
      <c r="C403" t="str">
        <f>IF(A403="","",Players!G403)</f>
        <v/>
      </c>
      <c r="D403" t="str">
        <f>IF(A403="","",COUNTIFS(Goals!$D$2:$D$289,"Goal",Goals!$E$2:$E$289,"*"&amp;A403&amp;"*",Goals!$F$2:$F$289,B403)+COUNTIFS(KnockoutGoals!$D$2:$D$85,"Goal",KnockoutGoals!$E$2:$E$85,"*"&amp;A403&amp;"*",KnockoutGoals!$F$2:$F$85,B403))</f>
        <v/>
      </c>
      <c r="E403">
        <f t="shared" si="6"/>
        <v>0</v>
      </c>
    </row>
    <row r="404" spans="1:5" x14ac:dyDescent="0.3">
      <c r="A404" t="str">
        <f>IF(Players!E404="","",Players!E404)</f>
        <v/>
      </c>
      <c r="B404" t="str">
        <f>IF(A404="","",Players!C404)</f>
        <v/>
      </c>
      <c r="C404" t="str">
        <f>IF(A404="","",Players!G404)</f>
        <v/>
      </c>
      <c r="D404" t="str">
        <f>IF(A404="","",COUNTIFS(Goals!$D$2:$D$289,"Goal",Goals!$E$2:$E$289,"*"&amp;A404&amp;"*",Goals!$F$2:$F$289,B404)+COUNTIFS(KnockoutGoals!$D$2:$D$85,"Goal",KnockoutGoals!$E$2:$E$85,"*"&amp;A404&amp;"*",KnockoutGoals!$F$2:$F$85,B404))</f>
        <v/>
      </c>
      <c r="E404">
        <f t="shared" si="6"/>
        <v>0</v>
      </c>
    </row>
    <row r="405" spans="1:5" x14ac:dyDescent="0.3">
      <c r="A405" t="str">
        <f>IF(Players!E405="","",Players!E405)</f>
        <v/>
      </c>
      <c r="B405" t="str">
        <f>IF(A405="","",Players!C405)</f>
        <v/>
      </c>
      <c r="C405" t="str">
        <f>IF(A405="","",Players!G405)</f>
        <v/>
      </c>
      <c r="D405" t="str">
        <f>IF(A405="","",COUNTIFS(Goals!$D$2:$D$289,"Goal",Goals!$E$2:$E$289,"*"&amp;A405&amp;"*",Goals!$F$2:$F$289,B405)+COUNTIFS(KnockoutGoals!$D$2:$D$85,"Goal",KnockoutGoals!$E$2:$E$85,"*"&amp;A405&amp;"*",KnockoutGoals!$F$2:$F$85,B405))</f>
        <v/>
      </c>
      <c r="E405">
        <f t="shared" si="6"/>
        <v>0</v>
      </c>
    </row>
    <row r="406" spans="1:5" x14ac:dyDescent="0.3">
      <c r="A406" t="str">
        <f>IF(Players!E406="","",Players!E406)</f>
        <v/>
      </c>
      <c r="B406" t="str">
        <f>IF(A406="","",Players!C406)</f>
        <v/>
      </c>
      <c r="C406" t="str">
        <f>IF(A406="","",Players!G406)</f>
        <v/>
      </c>
      <c r="D406" t="str">
        <f>IF(A406="","",COUNTIFS(Goals!$D$2:$D$289,"Goal",Goals!$E$2:$E$289,"*"&amp;A406&amp;"*",Goals!$F$2:$F$289,B406)+COUNTIFS(KnockoutGoals!$D$2:$D$85,"Goal",KnockoutGoals!$E$2:$E$85,"*"&amp;A406&amp;"*",KnockoutGoals!$F$2:$F$85,B406))</f>
        <v/>
      </c>
      <c r="E406">
        <f t="shared" si="6"/>
        <v>0</v>
      </c>
    </row>
    <row r="407" spans="1:5" x14ac:dyDescent="0.3">
      <c r="A407" t="str">
        <f>IF(Players!E407="","",Players!E407)</f>
        <v/>
      </c>
      <c r="B407" t="str">
        <f>IF(A407="","",Players!C407)</f>
        <v/>
      </c>
      <c r="C407" t="str">
        <f>IF(A407="","",Players!G407)</f>
        <v/>
      </c>
      <c r="D407" t="str">
        <f>IF(A407="","",COUNTIFS(Goals!$D$2:$D$289,"Goal",Goals!$E$2:$E$289,"*"&amp;A407&amp;"*",Goals!$F$2:$F$289,B407)+COUNTIFS(KnockoutGoals!$D$2:$D$85,"Goal",KnockoutGoals!$E$2:$E$85,"*"&amp;A407&amp;"*",KnockoutGoals!$F$2:$F$85,B407))</f>
        <v/>
      </c>
      <c r="E407">
        <f t="shared" si="6"/>
        <v>0</v>
      </c>
    </row>
    <row r="408" spans="1:5" x14ac:dyDescent="0.3">
      <c r="A408" t="str">
        <f>IF(Players!E408="","",Players!E408)</f>
        <v/>
      </c>
      <c r="B408" t="str">
        <f>IF(A408="","",Players!C408)</f>
        <v/>
      </c>
      <c r="C408" t="str">
        <f>IF(A408="","",Players!G408)</f>
        <v/>
      </c>
      <c r="D408" t="str">
        <f>IF(A408="","",COUNTIFS(Goals!$D$2:$D$289,"Goal",Goals!$E$2:$E$289,"*"&amp;A408&amp;"*",Goals!$F$2:$F$289,B408)+COUNTIFS(KnockoutGoals!$D$2:$D$85,"Goal",KnockoutGoals!$E$2:$E$85,"*"&amp;A408&amp;"*",KnockoutGoals!$F$2:$F$85,B408))</f>
        <v/>
      </c>
      <c r="E408">
        <f t="shared" si="6"/>
        <v>0</v>
      </c>
    </row>
    <row r="409" spans="1:5" x14ac:dyDescent="0.3">
      <c r="A409" t="str">
        <f>IF(Players!E409="","",Players!E409)</f>
        <v/>
      </c>
      <c r="B409" t="str">
        <f>IF(A409="","",Players!C409)</f>
        <v/>
      </c>
      <c r="C409" t="str">
        <f>IF(A409="","",Players!G409)</f>
        <v/>
      </c>
      <c r="D409" t="str">
        <f>IF(A409="","",COUNTIFS(Goals!$D$2:$D$289,"Goal",Goals!$E$2:$E$289,"*"&amp;A409&amp;"*",Goals!$F$2:$F$289,B409)+COUNTIFS(KnockoutGoals!$D$2:$D$85,"Goal",KnockoutGoals!$E$2:$E$85,"*"&amp;A409&amp;"*",KnockoutGoals!$F$2:$F$85,B409))</f>
        <v/>
      </c>
      <c r="E409">
        <f t="shared" si="6"/>
        <v>0</v>
      </c>
    </row>
    <row r="410" spans="1:5" x14ac:dyDescent="0.3">
      <c r="A410" t="str">
        <f>IF(Players!E410="","",Players!E410)</f>
        <v/>
      </c>
      <c r="B410" t="str">
        <f>IF(A410="","",Players!C410)</f>
        <v/>
      </c>
      <c r="C410" t="str">
        <f>IF(A410="","",Players!G410)</f>
        <v/>
      </c>
      <c r="D410" t="str">
        <f>IF(A410="","",COUNTIFS(Goals!$D$2:$D$289,"Goal",Goals!$E$2:$E$289,"*"&amp;A410&amp;"*",Goals!$F$2:$F$289,B410)+COUNTIFS(KnockoutGoals!$D$2:$D$85,"Goal",KnockoutGoals!$E$2:$E$85,"*"&amp;A410&amp;"*",KnockoutGoals!$F$2:$F$85,B410))</f>
        <v/>
      </c>
      <c r="E410">
        <f t="shared" si="6"/>
        <v>0</v>
      </c>
    </row>
    <row r="411" spans="1:5" x14ac:dyDescent="0.3">
      <c r="A411" t="str">
        <f>IF(Players!E411="","",Players!E411)</f>
        <v/>
      </c>
      <c r="B411" t="str">
        <f>IF(A411="","",Players!C411)</f>
        <v/>
      </c>
      <c r="C411" t="str">
        <f>IF(A411="","",Players!G411)</f>
        <v/>
      </c>
      <c r="D411" t="str">
        <f>IF(A411="","",COUNTIFS(Goals!$D$2:$D$289,"Goal",Goals!$E$2:$E$289,"*"&amp;A411&amp;"*",Goals!$F$2:$F$289,B411)+COUNTIFS(KnockoutGoals!$D$2:$D$85,"Goal",KnockoutGoals!$E$2:$E$85,"*"&amp;A411&amp;"*",KnockoutGoals!$F$2:$F$85,B411))</f>
        <v/>
      </c>
      <c r="E411">
        <f t="shared" si="6"/>
        <v>0</v>
      </c>
    </row>
    <row r="412" spans="1:5" x14ac:dyDescent="0.3">
      <c r="A412" t="str">
        <f>IF(Players!E412="","",Players!E412)</f>
        <v/>
      </c>
      <c r="B412" t="str">
        <f>IF(A412="","",Players!C412)</f>
        <v/>
      </c>
      <c r="C412" t="str">
        <f>IF(A412="","",Players!G412)</f>
        <v/>
      </c>
      <c r="D412" t="str">
        <f>IF(A412="","",COUNTIFS(Goals!$D$2:$D$289,"Goal",Goals!$E$2:$E$289,"*"&amp;A412&amp;"*",Goals!$F$2:$F$289,B412)+COUNTIFS(KnockoutGoals!$D$2:$D$85,"Goal",KnockoutGoals!$E$2:$E$85,"*"&amp;A412&amp;"*",KnockoutGoals!$F$2:$F$85,B412))</f>
        <v/>
      </c>
      <c r="E412">
        <f t="shared" si="6"/>
        <v>0</v>
      </c>
    </row>
    <row r="413" spans="1:5" x14ac:dyDescent="0.3">
      <c r="A413" t="str">
        <f>IF(Players!E413="","",Players!E413)</f>
        <v/>
      </c>
      <c r="B413" t="str">
        <f>IF(A413="","",Players!C413)</f>
        <v/>
      </c>
      <c r="C413" t="str">
        <f>IF(A413="","",Players!G413)</f>
        <v/>
      </c>
      <c r="D413" t="str">
        <f>IF(A413="","",COUNTIFS(Goals!$D$2:$D$289,"Goal",Goals!$E$2:$E$289,"*"&amp;A413&amp;"*",Goals!$F$2:$F$289,B413)+COUNTIFS(KnockoutGoals!$D$2:$D$85,"Goal",KnockoutGoals!$E$2:$E$85,"*"&amp;A413&amp;"*",KnockoutGoals!$F$2:$F$85,B413))</f>
        <v/>
      </c>
      <c r="E413">
        <f t="shared" si="6"/>
        <v>0</v>
      </c>
    </row>
    <row r="414" spans="1:5" x14ac:dyDescent="0.3">
      <c r="A414" t="str">
        <f>IF(Players!E414="","",Players!E414)</f>
        <v/>
      </c>
      <c r="B414" t="str">
        <f>IF(A414="","",Players!C414)</f>
        <v/>
      </c>
      <c r="C414" t="str">
        <f>IF(A414="","",Players!G414)</f>
        <v/>
      </c>
      <c r="D414" t="str">
        <f>IF(A414="","",COUNTIFS(Goals!$D$2:$D$289,"Goal",Goals!$E$2:$E$289,"*"&amp;A414&amp;"*",Goals!$F$2:$F$289,B414)+COUNTIFS(KnockoutGoals!$D$2:$D$85,"Goal",KnockoutGoals!$E$2:$E$85,"*"&amp;A414&amp;"*",KnockoutGoals!$F$2:$F$85,B414))</f>
        <v/>
      </c>
      <c r="E414">
        <f t="shared" si="6"/>
        <v>0</v>
      </c>
    </row>
    <row r="415" spans="1:5" x14ac:dyDescent="0.3">
      <c r="A415" t="str">
        <f>IF(Players!E415="","",Players!E415)</f>
        <v/>
      </c>
      <c r="B415" t="str">
        <f>IF(A415="","",Players!C415)</f>
        <v/>
      </c>
      <c r="C415" t="str">
        <f>IF(A415="","",Players!G415)</f>
        <v/>
      </c>
      <c r="D415" t="str">
        <f>IF(A415="","",COUNTIFS(Goals!$D$2:$D$289,"Goal",Goals!$E$2:$E$289,"*"&amp;A415&amp;"*",Goals!$F$2:$F$289,B415)+COUNTIFS(KnockoutGoals!$D$2:$D$85,"Goal",KnockoutGoals!$E$2:$E$85,"*"&amp;A415&amp;"*",KnockoutGoals!$F$2:$F$85,B415))</f>
        <v/>
      </c>
      <c r="E415">
        <f t="shared" si="6"/>
        <v>0</v>
      </c>
    </row>
    <row r="416" spans="1:5" x14ac:dyDescent="0.3">
      <c r="A416" t="str">
        <f>IF(Players!E416="","",Players!E416)</f>
        <v/>
      </c>
      <c r="B416" t="str">
        <f>IF(A416="","",Players!C416)</f>
        <v/>
      </c>
      <c r="C416" t="str">
        <f>IF(A416="","",Players!G416)</f>
        <v/>
      </c>
      <c r="D416" t="str">
        <f>IF(A416="","",COUNTIFS(Goals!$D$2:$D$289,"Goal",Goals!$E$2:$E$289,"*"&amp;A416&amp;"*",Goals!$F$2:$F$289,B416)+COUNTIFS(KnockoutGoals!$D$2:$D$85,"Goal",KnockoutGoals!$E$2:$E$85,"*"&amp;A416&amp;"*",KnockoutGoals!$F$2:$F$85,B416))</f>
        <v/>
      </c>
      <c r="E416">
        <f t="shared" si="6"/>
        <v>0</v>
      </c>
    </row>
    <row r="417" spans="1:5" x14ac:dyDescent="0.3">
      <c r="A417" t="str">
        <f>IF(Players!E417="","",Players!E417)</f>
        <v/>
      </c>
      <c r="B417" t="str">
        <f>IF(A417="","",Players!C417)</f>
        <v/>
      </c>
      <c r="C417" t="str">
        <f>IF(A417="","",Players!G417)</f>
        <v/>
      </c>
      <c r="D417" t="str">
        <f>IF(A417="","",COUNTIFS(Goals!$D$2:$D$289,"Goal",Goals!$E$2:$E$289,"*"&amp;A417&amp;"*",Goals!$F$2:$F$289,B417)+COUNTIFS(KnockoutGoals!$D$2:$D$85,"Goal",KnockoutGoals!$E$2:$E$85,"*"&amp;A417&amp;"*",KnockoutGoals!$F$2:$F$85,B417))</f>
        <v/>
      </c>
      <c r="E417">
        <f t="shared" si="6"/>
        <v>0</v>
      </c>
    </row>
    <row r="418" spans="1:5" x14ac:dyDescent="0.3">
      <c r="A418" t="str">
        <f>IF(Players!E418="","",Players!E418)</f>
        <v/>
      </c>
      <c r="B418" t="str">
        <f>IF(A418="","",Players!C418)</f>
        <v/>
      </c>
      <c r="C418" t="str">
        <f>IF(A418="","",Players!G418)</f>
        <v/>
      </c>
      <c r="D418" t="str">
        <f>IF(A418="","",COUNTIFS(Goals!$D$2:$D$289,"Goal",Goals!$E$2:$E$289,"*"&amp;A418&amp;"*",Goals!$F$2:$F$289,B418)+COUNTIFS(KnockoutGoals!$D$2:$D$85,"Goal",KnockoutGoals!$E$2:$E$85,"*"&amp;A418&amp;"*",KnockoutGoals!$F$2:$F$85,B418))</f>
        <v/>
      </c>
      <c r="E418">
        <f t="shared" si="6"/>
        <v>0</v>
      </c>
    </row>
    <row r="419" spans="1:5" x14ac:dyDescent="0.3">
      <c r="A419" t="str">
        <f>IF(Players!E419="","",Players!E419)</f>
        <v/>
      </c>
      <c r="B419" t="str">
        <f>IF(A419="","",Players!C419)</f>
        <v/>
      </c>
      <c r="C419" t="str">
        <f>IF(A419="","",Players!G419)</f>
        <v/>
      </c>
      <c r="D419" t="str">
        <f>IF(A419="","",COUNTIFS(Goals!$D$2:$D$289,"Goal",Goals!$E$2:$E$289,"*"&amp;A419&amp;"*",Goals!$F$2:$F$289,B419)+COUNTIFS(KnockoutGoals!$D$2:$D$85,"Goal",KnockoutGoals!$E$2:$E$85,"*"&amp;A419&amp;"*",KnockoutGoals!$F$2:$F$85,B419))</f>
        <v/>
      </c>
      <c r="E419">
        <f t="shared" si="6"/>
        <v>0</v>
      </c>
    </row>
    <row r="420" spans="1:5" x14ac:dyDescent="0.3">
      <c r="A420" t="str">
        <f>IF(Players!E420="","",Players!E420)</f>
        <v/>
      </c>
      <c r="B420" t="str">
        <f>IF(A420="","",Players!C420)</f>
        <v/>
      </c>
      <c r="C420" t="str">
        <f>IF(A420="","",Players!G420)</f>
        <v/>
      </c>
      <c r="D420" t="str">
        <f>IF(A420="","",COUNTIFS(Goals!$D$2:$D$289,"Goal",Goals!$E$2:$E$289,"*"&amp;A420&amp;"*",Goals!$F$2:$F$289,B420)+COUNTIFS(KnockoutGoals!$D$2:$D$85,"Goal",KnockoutGoals!$E$2:$E$85,"*"&amp;A420&amp;"*",KnockoutGoals!$F$2:$F$85,B420))</f>
        <v/>
      </c>
      <c r="E420">
        <f t="shared" si="6"/>
        <v>0</v>
      </c>
    </row>
    <row r="421" spans="1:5" x14ac:dyDescent="0.3">
      <c r="A421" t="str">
        <f>IF(Players!E421="","",Players!E421)</f>
        <v/>
      </c>
      <c r="B421" t="str">
        <f>IF(A421="","",Players!C421)</f>
        <v/>
      </c>
      <c r="C421" t="str">
        <f>IF(A421="","",Players!G421)</f>
        <v/>
      </c>
      <c r="D421" t="str">
        <f>IF(A421="","",COUNTIFS(Goals!$D$2:$D$289,"Goal",Goals!$E$2:$E$289,"*"&amp;A421&amp;"*",Goals!$F$2:$F$289,B421)+COUNTIFS(KnockoutGoals!$D$2:$D$85,"Goal",KnockoutGoals!$E$2:$E$85,"*"&amp;A421&amp;"*",KnockoutGoals!$F$2:$F$85,B421))</f>
        <v/>
      </c>
      <c r="E421">
        <f t="shared" si="6"/>
        <v>0</v>
      </c>
    </row>
    <row r="422" spans="1:5" x14ac:dyDescent="0.3">
      <c r="A422" t="str">
        <f>IF(Players!E422="","",Players!E422)</f>
        <v>LUCA CAVALLARO</v>
      </c>
      <c r="B422" t="str">
        <f>IF(A422="","",Players!C422)</f>
        <v>Coca Juniors</v>
      </c>
      <c r="C422" t="str">
        <f>IF(A422="","",Players!G422)</f>
        <v>1 - LUCA CAVALLARO</v>
      </c>
      <c r="D422">
        <f>IF(A422="","",COUNTIFS(Goals!$D$2:$D$289,"Goal",Goals!$E$2:$E$289,"*"&amp;A422&amp;"*",Goals!$F$2:$F$289,B422)+COUNTIFS(KnockoutGoals!$D$2:$D$85,"Goal",KnockoutGoals!$E$2:$E$85,"*"&amp;A422&amp;"*",KnockoutGoals!$F$2:$F$85,B422))</f>
        <v>0</v>
      </c>
      <c r="E422">
        <f t="shared" si="6"/>
        <v>-0.42199999999999999</v>
      </c>
    </row>
    <row r="423" spans="1:5" x14ac:dyDescent="0.3">
      <c r="A423" t="str">
        <f>IF(Players!E423="","",Players!E423)</f>
        <v>KEVIN DOBROZI</v>
      </c>
      <c r="B423" t="str">
        <f>IF(A423="","",Players!C423)</f>
        <v>Coca Juniors</v>
      </c>
      <c r="C423" t="str">
        <f>IF(A423="","",Players!G423)</f>
        <v>3 - KEVIN DOBROZI</v>
      </c>
      <c r="D423">
        <f>IF(A423="","",COUNTIFS(Goals!$D$2:$D$289,"Goal",Goals!$E$2:$E$289,"*"&amp;A423&amp;"*",Goals!$F$2:$F$289,B423)+COUNTIFS(KnockoutGoals!$D$2:$D$85,"Goal",KnockoutGoals!$E$2:$E$85,"*"&amp;A423&amp;"*",KnockoutGoals!$F$2:$F$85,B423))</f>
        <v>0</v>
      </c>
      <c r="E423">
        <f t="shared" si="6"/>
        <v>-0.42299999999999999</v>
      </c>
    </row>
    <row r="424" spans="1:5" x14ac:dyDescent="0.3">
      <c r="A424" t="str">
        <f>IF(Players!E424="","",Players!E424)</f>
        <v>ANDREA PAVAN</v>
      </c>
      <c r="B424" t="str">
        <f>IF(A424="","",Players!C424)</f>
        <v>Coca Juniors</v>
      </c>
      <c r="C424" t="str">
        <f>IF(A424="","",Players!G424)</f>
        <v>4 - ANDREA PAVAN</v>
      </c>
      <c r="D424">
        <f>IF(A424="","",COUNTIFS(Goals!$D$2:$D$289,"Goal",Goals!$E$2:$E$289,"*"&amp;A424&amp;"*",Goals!$F$2:$F$289,B424)+COUNTIFS(KnockoutGoals!$D$2:$D$85,"Goal",KnockoutGoals!$E$2:$E$85,"*"&amp;A424&amp;"*",KnockoutGoals!$F$2:$F$85,B424))</f>
        <v>0</v>
      </c>
      <c r="E424">
        <f t="shared" si="6"/>
        <v>-0.42399999999999999</v>
      </c>
    </row>
    <row r="425" spans="1:5" x14ac:dyDescent="0.3">
      <c r="A425" t="str">
        <f>IF(Players!E425="","",Players!E425)</f>
        <v>TOMMASO PAVAN</v>
      </c>
      <c r="B425" t="str">
        <f>IF(A425="","",Players!C425)</f>
        <v>Coca Juniors</v>
      </c>
      <c r="C425" t="str">
        <f>IF(A425="","",Players!G425)</f>
        <v>5 - TOMMASO PAVAN</v>
      </c>
      <c r="D425">
        <f>IF(A425="","",COUNTIFS(Goals!$D$2:$D$289,"Goal",Goals!$E$2:$E$289,"*"&amp;A425&amp;"*",Goals!$F$2:$F$289,B425)+COUNTIFS(KnockoutGoals!$D$2:$D$85,"Goal",KnockoutGoals!$E$2:$E$85,"*"&amp;A425&amp;"*",KnockoutGoals!$F$2:$F$85,B425))</f>
        <v>0</v>
      </c>
      <c r="E425">
        <f t="shared" si="6"/>
        <v>-0.42499999999999999</v>
      </c>
    </row>
    <row r="426" spans="1:5" x14ac:dyDescent="0.3">
      <c r="A426" t="str">
        <f>IF(Players!E426="","",Players!E426)</f>
        <v>GIAN MARCO MARANGONI</v>
      </c>
      <c r="B426" t="str">
        <f>IF(A426="","",Players!C426)</f>
        <v>Coca Juniors</v>
      </c>
      <c r="C426" t="str">
        <f>IF(A426="","",Players!G426)</f>
        <v>7 - GIAN MARCO MARANGONI</v>
      </c>
      <c r="D426">
        <f>IF(A426="","",COUNTIFS(Goals!$D$2:$D$289,"Goal",Goals!$E$2:$E$289,"*"&amp;A426&amp;"*",Goals!$F$2:$F$289,B426)+COUNTIFS(KnockoutGoals!$D$2:$D$85,"Goal",KnockoutGoals!$E$2:$E$85,"*"&amp;A426&amp;"*",KnockoutGoals!$F$2:$F$85,B426))</f>
        <v>0</v>
      </c>
      <c r="E426">
        <f t="shared" si="6"/>
        <v>-0.42599999999999999</v>
      </c>
    </row>
    <row r="427" spans="1:5" x14ac:dyDescent="0.3">
      <c r="A427" t="str">
        <f>IF(Players!E427="","",Players!E427)</f>
        <v>ANDREA GREGGIO</v>
      </c>
      <c r="B427" t="str">
        <f>IF(A427="","",Players!C427)</f>
        <v>Coca Juniors</v>
      </c>
      <c r="C427" t="str">
        <f>IF(A427="","",Players!G427)</f>
        <v>9 - ANDREA GREGGIO</v>
      </c>
      <c r="D427">
        <f>IF(A427="","",COUNTIFS(Goals!$D$2:$D$289,"Goal",Goals!$E$2:$E$289,"*"&amp;A427&amp;"*",Goals!$F$2:$F$289,B427)+COUNTIFS(KnockoutGoals!$D$2:$D$85,"Goal",KnockoutGoals!$E$2:$E$85,"*"&amp;A427&amp;"*",KnockoutGoals!$F$2:$F$85,B427))</f>
        <v>0</v>
      </c>
      <c r="E427">
        <f t="shared" si="6"/>
        <v>-0.42699999999999999</v>
      </c>
    </row>
    <row r="428" spans="1:5" x14ac:dyDescent="0.3">
      <c r="A428" t="str">
        <f>IF(Players!E428="","",Players!E428)</f>
        <v>GIACOMO DOLCE</v>
      </c>
      <c r="B428" t="str">
        <f>IF(A428="","",Players!C428)</f>
        <v>Coca Juniors</v>
      </c>
      <c r="C428" t="str">
        <f>IF(A428="","",Players!G428)</f>
        <v>10 - GIACOMO DOLCE (C)</v>
      </c>
      <c r="D428">
        <f>IF(A428="","",COUNTIFS(Goals!$D$2:$D$289,"Goal",Goals!$E$2:$E$289,"*"&amp;A428&amp;"*",Goals!$F$2:$F$289,B428)+COUNTIFS(KnockoutGoals!$D$2:$D$85,"Goal",KnockoutGoals!$E$2:$E$85,"*"&amp;A428&amp;"*",KnockoutGoals!$F$2:$F$85,B428))</f>
        <v>0</v>
      </c>
      <c r="E428">
        <f t="shared" si="6"/>
        <v>-0.42799999999999999</v>
      </c>
    </row>
    <row r="429" spans="1:5" x14ac:dyDescent="0.3">
      <c r="A429" t="str">
        <f>IF(Players!E429="","",Players!E429)</f>
        <v>CRISTIAN CAPUZZO</v>
      </c>
      <c r="B429" t="str">
        <f>IF(A429="","",Players!C429)</f>
        <v>Coca Juniors</v>
      </c>
      <c r="C429" t="str">
        <f>IF(A429="","",Players!G429)</f>
        <v>11 - CRISTIAN CAPUZZO</v>
      </c>
      <c r="D429">
        <f>IF(A429="","",COUNTIFS(Goals!$D$2:$D$289,"Goal",Goals!$E$2:$E$289,"*"&amp;A429&amp;"*",Goals!$F$2:$F$289,B429)+COUNTIFS(KnockoutGoals!$D$2:$D$85,"Goal",KnockoutGoals!$E$2:$E$85,"*"&amp;A429&amp;"*",KnockoutGoals!$F$2:$F$85,B429))</f>
        <v>0</v>
      </c>
      <c r="E429">
        <f t="shared" si="6"/>
        <v>-0.42899999999999999</v>
      </c>
    </row>
    <row r="430" spans="1:5" x14ac:dyDescent="0.3">
      <c r="A430" t="str">
        <f>IF(Players!E430="","",Players!E430)</f>
        <v>EMANUELE VERONESE</v>
      </c>
      <c r="B430" t="str">
        <f>IF(A430="","",Players!C430)</f>
        <v>Coca Juniors</v>
      </c>
      <c r="C430" t="str">
        <f>IF(A430="","",Players!G430)</f>
        <v>23 - EMANUELE VERONESE</v>
      </c>
      <c r="D430">
        <f>IF(A430="","",COUNTIFS(Goals!$D$2:$D$289,"Goal",Goals!$E$2:$E$289,"*"&amp;A430&amp;"*",Goals!$F$2:$F$289,B430)+COUNTIFS(KnockoutGoals!$D$2:$D$85,"Goal",KnockoutGoals!$E$2:$E$85,"*"&amp;A430&amp;"*",KnockoutGoals!$F$2:$F$85,B430))</f>
        <v>0</v>
      </c>
      <c r="E430">
        <f t="shared" si="6"/>
        <v>-0.43</v>
      </c>
    </row>
    <row r="431" spans="1:5" x14ac:dyDescent="0.3">
      <c r="A431" t="str">
        <f>IF(Players!E431="","",Players!E431)</f>
        <v>NICOLA DOBROZI</v>
      </c>
      <c r="B431" t="str">
        <f>IF(A431="","",Players!C431)</f>
        <v>Coca Juniors</v>
      </c>
      <c r="C431" t="str">
        <f>IF(A431="","",Players!G431)</f>
        <v>28 - NICOLA DOBROZI</v>
      </c>
      <c r="D431">
        <f>IF(A431="","",COUNTIFS(Goals!$D$2:$D$289,"Goal",Goals!$E$2:$E$289,"*"&amp;A431&amp;"*",Goals!$F$2:$F$289,B431)+COUNTIFS(KnockoutGoals!$D$2:$D$85,"Goal",KnockoutGoals!$E$2:$E$85,"*"&amp;A431&amp;"*",KnockoutGoals!$F$2:$F$85,B431))</f>
        <v>0</v>
      </c>
      <c r="E431">
        <f t="shared" si="6"/>
        <v>-0.43099999999999999</v>
      </c>
    </row>
    <row r="432" spans="1:5" x14ac:dyDescent="0.3">
      <c r="A432" t="str">
        <f>IF(Players!E432="","",Players!E432)</f>
        <v/>
      </c>
      <c r="B432" t="str">
        <f>IF(A432="","",Players!C432)</f>
        <v/>
      </c>
      <c r="C432" t="str">
        <f>IF(A432="","",Players!G432)</f>
        <v/>
      </c>
      <c r="D432" t="str">
        <f>IF(A432="","",COUNTIFS(Goals!$D$2:$D$289,"Goal",Goals!$E$2:$E$289,"*"&amp;A432&amp;"*",Goals!$F$2:$F$289,B432)+COUNTIFS(KnockoutGoals!$D$2:$D$85,"Goal",KnockoutGoals!$E$2:$E$85,"*"&amp;A432&amp;"*",KnockoutGoals!$F$2:$F$85,B432))</f>
        <v/>
      </c>
      <c r="E432">
        <f t="shared" si="6"/>
        <v>0</v>
      </c>
    </row>
    <row r="433" spans="1:5" x14ac:dyDescent="0.3">
      <c r="A433" t="str">
        <f>IF(Players!E433="","",Players!E433)</f>
        <v/>
      </c>
      <c r="B433" t="str">
        <f>IF(A433="","",Players!C433)</f>
        <v/>
      </c>
      <c r="C433" t="str">
        <f>IF(A433="","",Players!G433)</f>
        <v/>
      </c>
      <c r="D433" t="str">
        <f>IF(A433="","",COUNTIFS(Goals!$D$2:$D$289,"Goal",Goals!$E$2:$E$289,"*"&amp;A433&amp;"*",Goals!$F$2:$F$289,B433)+COUNTIFS(KnockoutGoals!$D$2:$D$85,"Goal",KnockoutGoals!$E$2:$E$85,"*"&amp;A433&amp;"*",KnockoutGoals!$F$2:$F$85,B433))</f>
        <v/>
      </c>
      <c r="E433">
        <f t="shared" si="6"/>
        <v>0</v>
      </c>
    </row>
    <row r="434" spans="1:5" x14ac:dyDescent="0.3">
      <c r="A434" t="str">
        <f>IF(Players!E434="","",Players!E434)</f>
        <v/>
      </c>
      <c r="B434" t="str">
        <f>IF(A434="","",Players!C434)</f>
        <v/>
      </c>
      <c r="C434" t="str">
        <f>IF(A434="","",Players!G434)</f>
        <v/>
      </c>
      <c r="D434" t="str">
        <f>IF(A434="","",COUNTIFS(Goals!$D$2:$D$289,"Goal",Goals!$E$2:$E$289,"*"&amp;A434&amp;"*",Goals!$F$2:$F$289,B434)+COUNTIFS(KnockoutGoals!$D$2:$D$85,"Goal",KnockoutGoals!$E$2:$E$85,"*"&amp;A434&amp;"*",KnockoutGoals!$F$2:$F$85,B434))</f>
        <v/>
      </c>
      <c r="E434">
        <f t="shared" si="6"/>
        <v>0</v>
      </c>
    </row>
    <row r="435" spans="1:5" x14ac:dyDescent="0.3">
      <c r="A435" t="str">
        <f>IF(Players!E435="","",Players!E435)</f>
        <v/>
      </c>
      <c r="B435" t="str">
        <f>IF(A435="","",Players!C435)</f>
        <v/>
      </c>
      <c r="C435" t="str">
        <f>IF(A435="","",Players!G435)</f>
        <v/>
      </c>
      <c r="D435" t="str">
        <f>IF(A435="","",COUNTIFS(Goals!$D$2:$D$289,"Goal",Goals!$E$2:$E$289,"*"&amp;A435&amp;"*",Goals!$F$2:$F$289,B435)+COUNTIFS(KnockoutGoals!$D$2:$D$85,"Goal",KnockoutGoals!$E$2:$E$85,"*"&amp;A435&amp;"*",KnockoutGoals!$F$2:$F$85,B435))</f>
        <v/>
      </c>
      <c r="E435">
        <f t="shared" si="6"/>
        <v>0</v>
      </c>
    </row>
    <row r="436" spans="1:5" x14ac:dyDescent="0.3">
      <c r="A436" t="str">
        <f>IF(Players!E436="","",Players!E436)</f>
        <v/>
      </c>
      <c r="B436" t="str">
        <f>IF(A436="","",Players!C436)</f>
        <v/>
      </c>
      <c r="C436" t="str">
        <f>IF(A436="","",Players!G436)</f>
        <v/>
      </c>
      <c r="D436" t="str">
        <f>IF(A436="","",COUNTIFS(Goals!$D$2:$D$289,"Goal",Goals!$E$2:$E$289,"*"&amp;A436&amp;"*",Goals!$F$2:$F$289,B436)+COUNTIFS(KnockoutGoals!$D$2:$D$85,"Goal",KnockoutGoals!$E$2:$E$85,"*"&amp;A436&amp;"*",KnockoutGoals!$F$2:$F$85,B436))</f>
        <v/>
      </c>
      <c r="E436">
        <f t="shared" si="6"/>
        <v>0</v>
      </c>
    </row>
    <row r="437" spans="1:5" x14ac:dyDescent="0.3">
      <c r="A437" t="str">
        <f>IF(Players!E437="","",Players!E437)</f>
        <v/>
      </c>
      <c r="B437" t="str">
        <f>IF(A437="","",Players!C437)</f>
        <v/>
      </c>
      <c r="C437" t="str">
        <f>IF(A437="","",Players!G437)</f>
        <v/>
      </c>
      <c r="D437" t="str">
        <f>IF(A437="","",COUNTIFS(Goals!$D$2:$D$289,"Goal",Goals!$E$2:$E$289,"*"&amp;A437&amp;"*",Goals!$F$2:$F$289,B437)+COUNTIFS(KnockoutGoals!$D$2:$D$85,"Goal",KnockoutGoals!$E$2:$E$85,"*"&amp;A437&amp;"*",KnockoutGoals!$F$2:$F$85,B437))</f>
        <v/>
      </c>
      <c r="E437">
        <f t="shared" si="6"/>
        <v>0</v>
      </c>
    </row>
    <row r="438" spans="1:5" x14ac:dyDescent="0.3">
      <c r="A438" t="str">
        <f>IF(Players!E438="","",Players!E438)</f>
        <v/>
      </c>
      <c r="B438" t="str">
        <f>IF(A438="","",Players!C438)</f>
        <v/>
      </c>
      <c r="C438" t="str">
        <f>IF(A438="","",Players!G438)</f>
        <v/>
      </c>
      <c r="D438" t="str">
        <f>IF(A438="","",COUNTIFS(Goals!$D$2:$D$289,"Goal",Goals!$E$2:$E$289,"*"&amp;A438&amp;"*",Goals!$F$2:$F$289,B438)+COUNTIFS(KnockoutGoals!$D$2:$D$85,"Goal",KnockoutGoals!$E$2:$E$85,"*"&amp;A438&amp;"*",KnockoutGoals!$F$2:$F$85,B438))</f>
        <v/>
      </c>
      <c r="E438">
        <f t="shared" si="6"/>
        <v>0</v>
      </c>
    </row>
    <row r="439" spans="1:5" x14ac:dyDescent="0.3">
      <c r="A439" t="str">
        <f>IF(Players!E439="","",Players!E439)</f>
        <v/>
      </c>
      <c r="B439" t="str">
        <f>IF(A439="","",Players!C439)</f>
        <v/>
      </c>
      <c r="C439" t="str">
        <f>IF(A439="","",Players!G439)</f>
        <v/>
      </c>
      <c r="D439" t="str">
        <f>IF(A439="","",COUNTIFS(Goals!$D$2:$D$289,"Goal",Goals!$E$2:$E$289,"*"&amp;A439&amp;"*",Goals!$F$2:$F$289,B439)+COUNTIFS(KnockoutGoals!$D$2:$D$85,"Goal",KnockoutGoals!$E$2:$E$85,"*"&amp;A439&amp;"*",KnockoutGoals!$F$2:$F$85,B439))</f>
        <v/>
      </c>
      <c r="E439">
        <f t="shared" si="6"/>
        <v>0</v>
      </c>
    </row>
    <row r="440" spans="1:5" x14ac:dyDescent="0.3">
      <c r="A440" t="str">
        <f>IF(Players!E440="","",Players!E440)</f>
        <v/>
      </c>
      <c r="B440" t="str">
        <f>IF(A440="","",Players!C440)</f>
        <v/>
      </c>
      <c r="C440" t="str">
        <f>IF(A440="","",Players!G440)</f>
        <v/>
      </c>
      <c r="D440" t="str">
        <f>IF(A440="","",COUNTIFS(Goals!$D$2:$D$289,"Goal",Goals!$E$2:$E$289,"*"&amp;A440&amp;"*",Goals!$F$2:$F$289,B440)+COUNTIFS(KnockoutGoals!$D$2:$D$85,"Goal",KnockoutGoals!$E$2:$E$85,"*"&amp;A440&amp;"*",KnockoutGoals!$F$2:$F$85,B440))</f>
        <v/>
      </c>
      <c r="E440">
        <f t="shared" si="6"/>
        <v>0</v>
      </c>
    </row>
    <row r="441" spans="1:5" x14ac:dyDescent="0.3">
      <c r="A441" t="str">
        <f>IF(Players!E441="","",Players!E441)</f>
        <v/>
      </c>
      <c r="B441" t="str">
        <f>IF(A441="","",Players!C441)</f>
        <v/>
      </c>
      <c r="C441" t="str">
        <f>IF(A441="","",Players!G441)</f>
        <v/>
      </c>
      <c r="D441" t="str">
        <f>IF(A441="","",COUNTIFS(Goals!$D$2:$D$289,"Goal",Goals!$E$2:$E$289,"*"&amp;A441&amp;"*",Goals!$F$2:$F$289,B441)+COUNTIFS(KnockoutGoals!$D$2:$D$85,"Goal",KnockoutGoals!$E$2:$E$85,"*"&amp;A441&amp;"*",KnockoutGoals!$F$2:$F$85,B441))</f>
        <v/>
      </c>
      <c r="E441">
        <f t="shared" si="6"/>
        <v>0</v>
      </c>
    </row>
    <row r="442" spans="1:5" x14ac:dyDescent="0.3">
      <c r="A442" t="str">
        <f>IF(Players!E442="","",Players!E442)</f>
        <v/>
      </c>
      <c r="B442" t="str">
        <f>IF(A442="","",Players!C442)</f>
        <v/>
      </c>
      <c r="C442" t="str">
        <f>IF(A442="","",Players!G442)</f>
        <v/>
      </c>
      <c r="D442" t="str">
        <f>IF(A442="","",COUNTIFS(Goals!$D$2:$D$289,"Goal",Goals!$E$2:$E$289,"*"&amp;A442&amp;"*",Goals!$F$2:$F$289,B442)+COUNTIFS(KnockoutGoals!$D$2:$D$85,"Goal",KnockoutGoals!$E$2:$E$85,"*"&amp;A442&amp;"*",KnockoutGoals!$F$2:$F$85,B442))</f>
        <v/>
      </c>
      <c r="E442">
        <f t="shared" si="6"/>
        <v>0</v>
      </c>
    </row>
    <row r="443" spans="1:5" x14ac:dyDescent="0.3">
      <c r="A443" t="str">
        <f>IF(Players!E443="","",Players!E443)</f>
        <v/>
      </c>
      <c r="B443" t="str">
        <f>IF(A443="","",Players!C443)</f>
        <v/>
      </c>
      <c r="C443" t="str">
        <f>IF(A443="","",Players!G443)</f>
        <v/>
      </c>
      <c r="D443" t="str">
        <f>IF(A443="","",COUNTIFS(Goals!$D$2:$D$289,"Goal",Goals!$E$2:$E$289,"*"&amp;A443&amp;"*",Goals!$F$2:$F$289,B443)+COUNTIFS(KnockoutGoals!$D$2:$D$85,"Goal",KnockoutGoals!$E$2:$E$85,"*"&amp;A443&amp;"*",KnockoutGoals!$F$2:$F$85,B443))</f>
        <v/>
      </c>
      <c r="E443">
        <f t="shared" si="6"/>
        <v>0</v>
      </c>
    </row>
    <row r="444" spans="1:5" x14ac:dyDescent="0.3">
      <c r="A444" t="str">
        <f>IF(Players!E444="","",Players!E444)</f>
        <v/>
      </c>
      <c r="B444" t="str">
        <f>IF(A444="","",Players!C444)</f>
        <v/>
      </c>
      <c r="C444" t="str">
        <f>IF(A444="","",Players!G444)</f>
        <v/>
      </c>
      <c r="D444" t="str">
        <f>IF(A444="","",COUNTIFS(Goals!$D$2:$D$289,"Goal",Goals!$E$2:$E$289,"*"&amp;A444&amp;"*",Goals!$F$2:$F$289,B444)+COUNTIFS(KnockoutGoals!$D$2:$D$85,"Goal",KnockoutGoals!$E$2:$E$85,"*"&amp;A444&amp;"*",KnockoutGoals!$F$2:$F$85,B444))</f>
        <v/>
      </c>
      <c r="E444">
        <f t="shared" si="6"/>
        <v>0</v>
      </c>
    </row>
    <row r="445" spans="1:5" x14ac:dyDescent="0.3">
      <c r="A445" t="str">
        <f>IF(Players!E445="","",Players!E445)</f>
        <v/>
      </c>
      <c r="B445" t="str">
        <f>IF(A445="","",Players!C445)</f>
        <v/>
      </c>
      <c r="C445" t="str">
        <f>IF(A445="","",Players!G445)</f>
        <v/>
      </c>
      <c r="D445" t="str">
        <f>IF(A445="","",COUNTIFS(Goals!$D$2:$D$289,"Goal",Goals!$E$2:$E$289,"*"&amp;A445&amp;"*",Goals!$F$2:$F$289,B445)+COUNTIFS(KnockoutGoals!$D$2:$D$85,"Goal",KnockoutGoals!$E$2:$E$85,"*"&amp;A445&amp;"*",KnockoutGoals!$F$2:$F$85,B445))</f>
        <v/>
      </c>
      <c r="E445">
        <f t="shared" si="6"/>
        <v>0</v>
      </c>
    </row>
    <row r="446" spans="1:5" x14ac:dyDescent="0.3">
      <c r="A446" t="str">
        <f>IF(Players!E446="","",Players!E446)</f>
        <v/>
      </c>
      <c r="B446" t="str">
        <f>IF(A446="","",Players!C446)</f>
        <v/>
      </c>
      <c r="C446" t="str">
        <f>IF(A446="","",Players!G446)</f>
        <v/>
      </c>
      <c r="D446" t="str">
        <f>IF(A446="","",COUNTIFS(Goals!$D$2:$D$289,"Goal",Goals!$E$2:$E$289,"*"&amp;A446&amp;"*",Goals!$F$2:$F$289,B446)+COUNTIFS(KnockoutGoals!$D$2:$D$85,"Goal",KnockoutGoals!$E$2:$E$85,"*"&amp;A446&amp;"*",KnockoutGoals!$F$2:$F$85,B446))</f>
        <v/>
      </c>
      <c r="E446">
        <f t="shared" si="6"/>
        <v>0</v>
      </c>
    </row>
    <row r="447" spans="1:5" x14ac:dyDescent="0.3">
      <c r="A447" t="str">
        <f>IF(Players!E447="","",Players!E447)</f>
        <v/>
      </c>
      <c r="B447" t="str">
        <f>IF(A447="","",Players!C447)</f>
        <v/>
      </c>
      <c r="C447" t="str">
        <f>IF(A447="","",Players!G447)</f>
        <v/>
      </c>
      <c r="D447" t="str">
        <f>IF(A447="","",COUNTIFS(Goals!$D$2:$D$289,"Goal",Goals!$E$2:$E$289,"*"&amp;A447&amp;"*",Goals!$F$2:$F$289,B447)+COUNTIFS(KnockoutGoals!$D$2:$D$85,"Goal",KnockoutGoals!$E$2:$E$85,"*"&amp;A447&amp;"*",KnockoutGoals!$F$2:$F$85,B447))</f>
        <v/>
      </c>
      <c r="E447">
        <f t="shared" si="6"/>
        <v>0</v>
      </c>
    </row>
    <row r="448" spans="1:5" x14ac:dyDescent="0.3">
      <c r="A448" t="str">
        <f>IF(Players!E448="","",Players!E448)</f>
        <v/>
      </c>
      <c r="B448" t="str">
        <f>IF(A448="","",Players!C448)</f>
        <v/>
      </c>
      <c r="C448" t="str">
        <f>IF(A448="","",Players!G448)</f>
        <v/>
      </c>
      <c r="D448" t="str">
        <f>IF(A448="","",COUNTIFS(Goals!$D$2:$D$289,"Goal",Goals!$E$2:$E$289,"*"&amp;A448&amp;"*",Goals!$F$2:$F$289,B448)+COUNTIFS(KnockoutGoals!$D$2:$D$85,"Goal",KnockoutGoals!$E$2:$E$85,"*"&amp;A448&amp;"*",KnockoutGoals!$F$2:$F$85,B448))</f>
        <v/>
      </c>
      <c r="E448">
        <f t="shared" si="6"/>
        <v>0</v>
      </c>
    </row>
    <row r="449" spans="1:5" x14ac:dyDescent="0.3">
      <c r="A449" t="str">
        <f>IF(Players!E449="","",Players!E449)</f>
        <v/>
      </c>
      <c r="B449" t="str">
        <f>IF(A449="","",Players!C449)</f>
        <v/>
      </c>
      <c r="C449" t="str">
        <f>IF(A449="","",Players!G449)</f>
        <v/>
      </c>
      <c r="D449" t="str">
        <f>IF(A449="","",COUNTIFS(Goals!$D$2:$D$289,"Goal",Goals!$E$2:$E$289,"*"&amp;A449&amp;"*",Goals!$F$2:$F$289,B449)+COUNTIFS(KnockoutGoals!$D$2:$D$85,"Goal",KnockoutGoals!$E$2:$E$85,"*"&amp;A449&amp;"*",KnockoutGoals!$F$2:$F$85,B449))</f>
        <v/>
      </c>
      <c r="E449">
        <f t="shared" si="6"/>
        <v>0</v>
      </c>
    </row>
    <row r="450" spans="1:5" x14ac:dyDescent="0.3">
      <c r="A450" t="str">
        <f>IF(Players!E450="","",Players!E450)</f>
        <v/>
      </c>
      <c r="B450" t="str">
        <f>IF(A450="","",Players!C450)</f>
        <v/>
      </c>
      <c r="C450" t="str">
        <f>IF(A450="","",Players!G450)</f>
        <v/>
      </c>
      <c r="D450" t="str">
        <f>IF(A450="","",COUNTIFS(Goals!$D$2:$D$289,"Goal",Goals!$E$2:$E$289,"*"&amp;A450&amp;"*",Goals!$F$2:$F$289,B450)+COUNTIFS(KnockoutGoals!$D$2:$D$85,"Goal",KnockoutGoals!$E$2:$E$85,"*"&amp;A450&amp;"*",KnockoutGoals!$F$2:$F$85,B450))</f>
        <v/>
      </c>
      <c r="E450">
        <f t="shared" ref="E450:E481" si="7">IF(A450="",0,D450*100000-ROW()/1000)</f>
        <v>0</v>
      </c>
    </row>
    <row r="451" spans="1:5" x14ac:dyDescent="0.3">
      <c r="A451" t="str">
        <f>IF(Players!E451="","",Players!E451)</f>
        <v/>
      </c>
      <c r="B451" t="str">
        <f>IF(A451="","",Players!C451)</f>
        <v/>
      </c>
      <c r="C451" t="str">
        <f>IF(A451="","",Players!G451)</f>
        <v/>
      </c>
      <c r="D451" t="str">
        <f>IF(A451="","",COUNTIFS(Goals!$D$2:$D$289,"Goal",Goals!$E$2:$E$289,"*"&amp;A451&amp;"*",Goals!$F$2:$F$289,B451)+COUNTIFS(KnockoutGoals!$D$2:$D$85,"Goal",KnockoutGoals!$E$2:$E$85,"*"&amp;A451&amp;"*",KnockoutGoals!$F$2:$F$85,B451))</f>
        <v/>
      </c>
      <c r="E451">
        <f t="shared" si="7"/>
        <v>0</v>
      </c>
    </row>
    <row r="452" spans="1:5" x14ac:dyDescent="0.3">
      <c r="A452" t="str">
        <f>IF(Players!E452="","",Players!E452)</f>
        <v>KEVIN CASTELLAN</v>
      </c>
      <c r="B452" t="str">
        <f>IF(A452="","",Players!C452)</f>
        <v>Piadineria la Salsiccia</v>
      </c>
      <c r="C452" t="str">
        <f>IF(A452="","",Players!G452)</f>
        <v>1 - KEVIN CASTELLAN</v>
      </c>
      <c r="D452">
        <f>IF(A452="","",COUNTIFS(Goals!$D$2:$D$289,"Goal",Goals!$E$2:$E$289,"*"&amp;A452&amp;"*",Goals!$F$2:$F$289,B452)+COUNTIFS(KnockoutGoals!$D$2:$D$85,"Goal",KnockoutGoals!$E$2:$E$85,"*"&amp;A452&amp;"*",KnockoutGoals!$F$2:$F$85,B452))</f>
        <v>0</v>
      </c>
      <c r="E452">
        <f t="shared" si="7"/>
        <v>-0.45200000000000001</v>
      </c>
    </row>
    <row r="453" spans="1:5" x14ac:dyDescent="0.3">
      <c r="A453" t="str">
        <f>IF(Players!E453="","",Players!E453)</f>
        <v>SOUFIANE KHECHAB</v>
      </c>
      <c r="B453" t="str">
        <f>IF(A453="","",Players!C453)</f>
        <v>Piadineria la Salsiccia</v>
      </c>
      <c r="C453" t="str">
        <f>IF(A453="","",Players!G453)</f>
        <v>2 - SOUFIANE KHECHAB</v>
      </c>
      <c r="D453">
        <f>IF(A453="","",COUNTIFS(Goals!$D$2:$D$289,"Goal",Goals!$E$2:$E$289,"*"&amp;A453&amp;"*",Goals!$F$2:$F$289,B453)+COUNTIFS(KnockoutGoals!$D$2:$D$85,"Goal",KnockoutGoals!$E$2:$E$85,"*"&amp;A453&amp;"*",KnockoutGoals!$F$2:$F$85,B453))</f>
        <v>0</v>
      </c>
      <c r="E453">
        <f t="shared" si="7"/>
        <v>-0.45300000000000001</v>
      </c>
    </row>
    <row r="454" spans="1:5" x14ac:dyDescent="0.3">
      <c r="A454" t="str">
        <f>IF(Players!E454="","",Players!E454)</f>
        <v>GABRIELE BARBIERATO</v>
      </c>
      <c r="B454" t="str">
        <f>IF(A454="","",Players!C454)</f>
        <v>Piadineria la Salsiccia</v>
      </c>
      <c r="C454" t="str">
        <f>IF(A454="","",Players!G454)</f>
        <v>3 - GABRIELE BARBIERATO</v>
      </c>
      <c r="D454">
        <f>IF(A454="","",COUNTIFS(Goals!$D$2:$D$289,"Goal",Goals!$E$2:$E$289,"*"&amp;A454&amp;"*",Goals!$F$2:$F$289,B454)+COUNTIFS(KnockoutGoals!$D$2:$D$85,"Goal",KnockoutGoals!$E$2:$E$85,"*"&amp;A454&amp;"*",KnockoutGoals!$F$2:$F$85,B454))</f>
        <v>0</v>
      </c>
      <c r="E454">
        <f t="shared" si="7"/>
        <v>-0.45400000000000001</v>
      </c>
    </row>
    <row r="455" spans="1:5" x14ac:dyDescent="0.3">
      <c r="A455" t="str">
        <f>IF(Players!E455="","",Players!E455)</f>
        <v>DAVIDE DELLA VOLPE</v>
      </c>
      <c r="B455" t="str">
        <f>IF(A455="","",Players!C455)</f>
        <v>Piadineria la Salsiccia</v>
      </c>
      <c r="C455" t="str">
        <f>IF(A455="","",Players!G455)</f>
        <v>4 - DAVIDE DELLA VOLPE (C)</v>
      </c>
      <c r="D455">
        <f>IF(A455="","",COUNTIFS(Goals!$D$2:$D$289,"Goal",Goals!$E$2:$E$289,"*"&amp;A455&amp;"*",Goals!$F$2:$F$289,B455)+COUNTIFS(KnockoutGoals!$D$2:$D$85,"Goal",KnockoutGoals!$E$2:$E$85,"*"&amp;A455&amp;"*",KnockoutGoals!$F$2:$F$85,B455))</f>
        <v>0</v>
      </c>
      <c r="E455">
        <f t="shared" si="7"/>
        <v>-0.45500000000000002</v>
      </c>
    </row>
    <row r="456" spans="1:5" x14ac:dyDescent="0.3">
      <c r="A456" t="str">
        <f>IF(Players!E456="","",Players!E456)</f>
        <v>LUCA CEDRINO</v>
      </c>
      <c r="B456" t="str">
        <f>IF(A456="","",Players!C456)</f>
        <v>Piadineria la Salsiccia</v>
      </c>
      <c r="C456" t="str">
        <f>IF(A456="","",Players!G456)</f>
        <v>5 - LUCA CEDRINO</v>
      </c>
      <c r="D456">
        <f>IF(A456="","",COUNTIFS(Goals!$D$2:$D$289,"Goal",Goals!$E$2:$E$289,"*"&amp;A456&amp;"*",Goals!$F$2:$F$289,B456)+COUNTIFS(KnockoutGoals!$D$2:$D$85,"Goal",KnockoutGoals!$E$2:$E$85,"*"&amp;A456&amp;"*",KnockoutGoals!$F$2:$F$85,B456))</f>
        <v>0</v>
      </c>
      <c r="E456">
        <f t="shared" si="7"/>
        <v>-0.45600000000000002</v>
      </c>
    </row>
    <row r="457" spans="1:5" x14ac:dyDescent="0.3">
      <c r="A457" t="str">
        <f>IF(Players!E457="","",Players!E457)</f>
        <v>ALLAL SABIL</v>
      </c>
      <c r="B457" t="str">
        <f>IF(A457="","",Players!C457)</f>
        <v>Piadineria la Salsiccia</v>
      </c>
      <c r="C457" t="str">
        <f>IF(A457="","",Players!G457)</f>
        <v>6 - ALLAL SABIL</v>
      </c>
      <c r="D457">
        <f>IF(A457="","",COUNTIFS(Goals!$D$2:$D$289,"Goal",Goals!$E$2:$E$289,"*"&amp;A457&amp;"*",Goals!$F$2:$F$289,B457)+COUNTIFS(KnockoutGoals!$D$2:$D$85,"Goal",KnockoutGoals!$E$2:$E$85,"*"&amp;A457&amp;"*",KnockoutGoals!$F$2:$F$85,B457))</f>
        <v>0</v>
      </c>
      <c r="E457">
        <f t="shared" si="7"/>
        <v>-0.45700000000000002</v>
      </c>
    </row>
    <row r="458" spans="1:5" x14ac:dyDescent="0.3">
      <c r="A458" t="str">
        <f>IF(Players!E458="","",Players!E458)</f>
        <v>MATTIA AYRTON MARIOTTO</v>
      </c>
      <c r="B458" t="str">
        <f>IF(A458="","",Players!C458)</f>
        <v>Piadineria la Salsiccia</v>
      </c>
      <c r="C458" t="str">
        <f>IF(A458="","",Players!G458)</f>
        <v>8 - MATTIA AYRTON MARIOTTO</v>
      </c>
      <c r="D458">
        <f>IF(A458="","",COUNTIFS(Goals!$D$2:$D$289,"Goal",Goals!$E$2:$E$289,"*"&amp;A458&amp;"*",Goals!$F$2:$F$289,B458)+COUNTIFS(KnockoutGoals!$D$2:$D$85,"Goal",KnockoutGoals!$E$2:$E$85,"*"&amp;A458&amp;"*",KnockoutGoals!$F$2:$F$85,B458))</f>
        <v>1</v>
      </c>
      <c r="E458">
        <f t="shared" si="7"/>
        <v>99999.542000000001</v>
      </c>
    </row>
    <row r="459" spans="1:5" x14ac:dyDescent="0.3">
      <c r="A459" t="str">
        <f>IF(Players!E459="","",Players!E459)</f>
        <v>ANDREA BALDON</v>
      </c>
      <c r="B459" t="str">
        <f>IF(A459="","",Players!C459)</f>
        <v>Piadineria la Salsiccia</v>
      </c>
      <c r="C459" t="str">
        <f>IF(A459="","",Players!G459)</f>
        <v>9 - ANDREA BALDON</v>
      </c>
      <c r="D459">
        <f>IF(A459="","",COUNTIFS(Goals!$D$2:$D$289,"Goal",Goals!$E$2:$E$289,"*"&amp;A459&amp;"*",Goals!$F$2:$F$289,B459)+COUNTIFS(KnockoutGoals!$D$2:$D$85,"Goal",KnockoutGoals!$E$2:$E$85,"*"&amp;A459&amp;"*",KnockoutGoals!$F$2:$F$85,B459))</f>
        <v>0</v>
      </c>
      <c r="E459">
        <f t="shared" si="7"/>
        <v>-0.45900000000000002</v>
      </c>
    </row>
    <row r="460" spans="1:5" x14ac:dyDescent="0.3">
      <c r="A460" t="str">
        <f>IF(Players!E460="","",Players!E460)</f>
        <v>RAFFAELE GAROFALO</v>
      </c>
      <c r="B460" t="str">
        <f>IF(A460="","",Players!C460)</f>
        <v>Piadineria la Salsiccia</v>
      </c>
      <c r="C460" t="str">
        <f>IF(A460="","",Players!G460)</f>
        <v>10 - RAFFAELE GAROFALO</v>
      </c>
      <c r="D460">
        <f>IF(A460="","",COUNTIFS(Goals!$D$2:$D$289,"Goal",Goals!$E$2:$E$289,"*"&amp;A460&amp;"*",Goals!$F$2:$F$289,B460)+COUNTIFS(KnockoutGoals!$D$2:$D$85,"Goal",KnockoutGoals!$E$2:$E$85,"*"&amp;A460&amp;"*",KnockoutGoals!$F$2:$F$85,B460))</f>
        <v>0</v>
      </c>
      <c r="E460">
        <f t="shared" si="7"/>
        <v>-0.46</v>
      </c>
    </row>
    <row r="461" spans="1:5" x14ac:dyDescent="0.3">
      <c r="A461" t="str">
        <f>IF(Players!E461="","",Players!E461)</f>
        <v>ALEX BERGO</v>
      </c>
      <c r="B461" t="str">
        <f>IF(A461="","",Players!C461)</f>
        <v>Piadineria la Salsiccia</v>
      </c>
      <c r="C461" t="str">
        <f>IF(A461="","",Players!G461)</f>
        <v>11 - ALEX BERGO</v>
      </c>
      <c r="D461">
        <f>IF(A461="","",COUNTIFS(Goals!$D$2:$D$289,"Goal",Goals!$E$2:$E$289,"*"&amp;A461&amp;"*",Goals!$F$2:$F$289,B461)+COUNTIFS(KnockoutGoals!$D$2:$D$85,"Goal",KnockoutGoals!$E$2:$E$85,"*"&amp;A461&amp;"*",KnockoutGoals!$F$2:$F$85,B461))</f>
        <v>0</v>
      </c>
      <c r="E461">
        <f t="shared" si="7"/>
        <v>-0.46100000000000002</v>
      </c>
    </row>
    <row r="462" spans="1:5" x14ac:dyDescent="0.3">
      <c r="A462" t="str">
        <f>IF(Players!E462="","",Players!E462)</f>
        <v>MATTEO BOLZANI</v>
      </c>
      <c r="B462" t="str">
        <f>IF(A462="","",Players!C462)</f>
        <v>Piadineria la Salsiccia</v>
      </c>
      <c r="C462" t="str">
        <f>IF(A462="","",Players!G462)</f>
        <v>7 - MATTEO BOLZANI</v>
      </c>
      <c r="D462">
        <f>IF(A462="","",COUNTIFS(Goals!$D$2:$D$289,"Goal",Goals!$E$2:$E$289,"*"&amp;A462&amp;"*",Goals!$F$2:$F$289,B462)+COUNTIFS(KnockoutGoals!$D$2:$D$85,"Goal",KnockoutGoals!$E$2:$E$85,"*"&amp;A462&amp;"*",KnockoutGoals!$F$2:$F$85,B462))</f>
        <v>0</v>
      </c>
      <c r="E462">
        <f t="shared" si="7"/>
        <v>-0.46200000000000002</v>
      </c>
    </row>
    <row r="463" spans="1:5" x14ac:dyDescent="0.3">
      <c r="A463" t="str">
        <f>IF(Players!E463="","",Players!E463)</f>
        <v/>
      </c>
      <c r="B463" t="str">
        <f>IF(A463="","",Players!C463)</f>
        <v/>
      </c>
      <c r="C463" t="str">
        <f>IF(A463="","",Players!G463)</f>
        <v/>
      </c>
      <c r="D463" t="str">
        <f>IF(A463="","",COUNTIFS(Goals!$D$2:$D$289,"Goal",Goals!$E$2:$E$289,"*"&amp;A463&amp;"*",Goals!$F$2:$F$289,B463)+COUNTIFS(KnockoutGoals!$D$2:$D$85,"Goal",KnockoutGoals!$E$2:$E$85,"*"&amp;A463&amp;"*",KnockoutGoals!$F$2:$F$85,B463))</f>
        <v/>
      </c>
      <c r="E463">
        <f t="shared" si="7"/>
        <v>0</v>
      </c>
    </row>
    <row r="464" spans="1:5" x14ac:dyDescent="0.3">
      <c r="A464" t="str">
        <f>IF(Players!E464="","",Players!E464)</f>
        <v/>
      </c>
      <c r="B464" t="str">
        <f>IF(A464="","",Players!C464)</f>
        <v/>
      </c>
      <c r="C464" t="str">
        <f>IF(A464="","",Players!G464)</f>
        <v/>
      </c>
      <c r="D464" t="str">
        <f>IF(A464="","",COUNTIFS(Goals!$D$2:$D$289,"Goal",Goals!$E$2:$E$289,"*"&amp;A464&amp;"*",Goals!$F$2:$F$289,B464)+COUNTIFS(KnockoutGoals!$D$2:$D$85,"Goal",KnockoutGoals!$E$2:$E$85,"*"&amp;A464&amp;"*",KnockoutGoals!$F$2:$F$85,B464))</f>
        <v/>
      </c>
      <c r="E464">
        <f t="shared" si="7"/>
        <v>0</v>
      </c>
    </row>
    <row r="465" spans="1:5" x14ac:dyDescent="0.3">
      <c r="A465" t="str">
        <f>IF(Players!E465="","",Players!E465)</f>
        <v/>
      </c>
      <c r="B465" t="str">
        <f>IF(A465="","",Players!C465)</f>
        <v/>
      </c>
      <c r="C465" t="str">
        <f>IF(A465="","",Players!G465)</f>
        <v/>
      </c>
      <c r="D465" t="str">
        <f>IF(A465="","",COUNTIFS(Goals!$D$2:$D$289,"Goal",Goals!$E$2:$E$289,"*"&amp;A465&amp;"*",Goals!$F$2:$F$289,B465)+COUNTIFS(KnockoutGoals!$D$2:$D$85,"Goal",KnockoutGoals!$E$2:$E$85,"*"&amp;A465&amp;"*",KnockoutGoals!$F$2:$F$85,B465))</f>
        <v/>
      </c>
      <c r="E465">
        <f t="shared" si="7"/>
        <v>0</v>
      </c>
    </row>
    <row r="466" spans="1:5" x14ac:dyDescent="0.3">
      <c r="A466" t="str">
        <f>IF(Players!E466="","",Players!E466)</f>
        <v/>
      </c>
      <c r="B466" t="str">
        <f>IF(A466="","",Players!C466)</f>
        <v/>
      </c>
      <c r="C466" t="str">
        <f>IF(A466="","",Players!G466)</f>
        <v/>
      </c>
      <c r="D466" t="str">
        <f>IF(A466="","",COUNTIFS(Goals!$D$2:$D$289,"Goal",Goals!$E$2:$E$289,"*"&amp;A466&amp;"*",Goals!$F$2:$F$289,B466)+COUNTIFS(KnockoutGoals!$D$2:$D$85,"Goal",KnockoutGoals!$E$2:$E$85,"*"&amp;A466&amp;"*",KnockoutGoals!$F$2:$F$85,B466))</f>
        <v/>
      </c>
      <c r="E466">
        <f t="shared" si="7"/>
        <v>0</v>
      </c>
    </row>
    <row r="467" spans="1:5" x14ac:dyDescent="0.3">
      <c r="A467" t="str">
        <f>IF(Players!E467="","",Players!E467)</f>
        <v/>
      </c>
      <c r="B467" t="str">
        <f>IF(A467="","",Players!C467)</f>
        <v/>
      </c>
      <c r="C467" t="str">
        <f>IF(A467="","",Players!G467)</f>
        <v/>
      </c>
      <c r="D467" t="str">
        <f>IF(A467="","",COUNTIFS(Goals!$D$2:$D$289,"Goal",Goals!$E$2:$E$289,"*"&amp;A467&amp;"*",Goals!$F$2:$F$289,B467)+COUNTIFS(KnockoutGoals!$D$2:$D$85,"Goal",KnockoutGoals!$E$2:$E$85,"*"&amp;A467&amp;"*",KnockoutGoals!$F$2:$F$85,B467))</f>
        <v/>
      </c>
      <c r="E467">
        <f t="shared" si="7"/>
        <v>0</v>
      </c>
    </row>
    <row r="468" spans="1:5" x14ac:dyDescent="0.3">
      <c r="A468" t="str">
        <f>IF(Players!E468="","",Players!E468)</f>
        <v/>
      </c>
      <c r="B468" t="str">
        <f>IF(A468="","",Players!C468)</f>
        <v/>
      </c>
      <c r="C468" t="str">
        <f>IF(A468="","",Players!G468)</f>
        <v/>
      </c>
      <c r="D468" t="str">
        <f>IF(A468="","",COUNTIFS(Goals!$D$2:$D$289,"Goal",Goals!$E$2:$E$289,"*"&amp;A468&amp;"*",Goals!$F$2:$F$289,B468)+COUNTIFS(KnockoutGoals!$D$2:$D$85,"Goal",KnockoutGoals!$E$2:$E$85,"*"&amp;A468&amp;"*",KnockoutGoals!$F$2:$F$85,B468))</f>
        <v/>
      </c>
      <c r="E468">
        <f t="shared" si="7"/>
        <v>0</v>
      </c>
    </row>
    <row r="469" spans="1:5" x14ac:dyDescent="0.3">
      <c r="A469" t="str">
        <f>IF(Players!E469="","",Players!E469)</f>
        <v/>
      </c>
      <c r="B469" t="str">
        <f>IF(A469="","",Players!C469)</f>
        <v/>
      </c>
      <c r="C469" t="str">
        <f>IF(A469="","",Players!G469)</f>
        <v/>
      </c>
      <c r="D469" t="str">
        <f>IF(A469="","",COUNTIFS(Goals!$D$2:$D$289,"Goal",Goals!$E$2:$E$289,"*"&amp;A469&amp;"*",Goals!$F$2:$F$289,B469)+COUNTIFS(KnockoutGoals!$D$2:$D$85,"Goal",KnockoutGoals!$E$2:$E$85,"*"&amp;A469&amp;"*",KnockoutGoals!$F$2:$F$85,B469))</f>
        <v/>
      </c>
      <c r="E469">
        <f t="shared" si="7"/>
        <v>0</v>
      </c>
    </row>
    <row r="470" spans="1:5" x14ac:dyDescent="0.3">
      <c r="A470" t="str">
        <f>IF(Players!E470="","",Players!E470)</f>
        <v/>
      </c>
      <c r="B470" t="str">
        <f>IF(A470="","",Players!C470)</f>
        <v/>
      </c>
      <c r="C470" t="str">
        <f>IF(A470="","",Players!G470)</f>
        <v/>
      </c>
      <c r="D470" t="str">
        <f>IF(A470="","",COUNTIFS(Goals!$D$2:$D$289,"Goal",Goals!$E$2:$E$289,"*"&amp;A470&amp;"*",Goals!$F$2:$F$289,B470)+COUNTIFS(KnockoutGoals!$D$2:$D$85,"Goal",KnockoutGoals!$E$2:$E$85,"*"&amp;A470&amp;"*",KnockoutGoals!$F$2:$F$85,B470))</f>
        <v/>
      </c>
      <c r="E470">
        <f t="shared" si="7"/>
        <v>0</v>
      </c>
    </row>
    <row r="471" spans="1:5" x14ac:dyDescent="0.3">
      <c r="A471" t="str">
        <f>IF(Players!E471="","",Players!E471)</f>
        <v/>
      </c>
      <c r="B471" t="str">
        <f>IF(A471="","",Players!C471)</f>
        <v/>
      </c>
      <c r="C471" t="str">
        <f>IF(A471="","",Players!G471)</f>
        <v/>
      </c>
      <c r="D471" t="str">
        <f>IF(A471="","",COUNTIFS(Goals!$D$2:$D$289,"Goal",Goals!$E$2:$E$289,"*"&amp;A471&amp;"*",Goals!$F$2:$F$289,B471)+COUNTIFS(KnockoutGoals!$D$2:$D$85,"Goal",KnockoutGoals!$E$2:$E$85,"*"&amp;A471&amp;"*",KnockoutGoals!$F$2:$F$85,B471))</f>
        <v/>
      </c>
      <c r="E471">
        <f t="shared" si="7"/>
        <v>0</v>
      </c>
    </row>
    <row r="472" spans="1:5" x14ac:dyDescent="0.3">
      <c r="A472" t="str">
        <f>IF(Players!E472="","",Players!E472)</f>
        <v/>
      </c>
      <c r="B472" t="str">
        <f>IF(A472="","",Players!C472)</f>
        <v/>
      </c>
      <c r="C472" t="str">
        <f>IF(A472="","",Players!G472)</f>
        <v/>
      </c>
      <c r="D472" t="str">
        <f>IF(A472="","",COUNTIFS(Goals!$D$2:$D$289,"Goal",Goals!$E$2:$E$289,"*"&amp;A472&amp;"*",Goals!$F$2:$F$289,B472)+COUNTIFS(KnockoutGoals!$D$2:$D$85,"Goal",KnockoutGoals!$E$2:$E$85,"*"&amp;A472&amp;"*",KnockoutGoals!$F$2:$F$85,B472))</f>
        <v/>
      </c>
      <c r="E472">
        <f t="shared" si="7"/>
        <v>0</v>
      </c>
    </row>
    <row r="473" spans="1:5" x14ac:dyDescent="0.3">
      <c r="A473" t="str">
        <f>IF(Players!E473="","",Players!E473)</f>
        <v/>
      </c>
      <c r="B473" t="str">
        <f>IF(A473="","",Players!C473)</f>
        <v/>
      </c>
      <c r="C473" t="str">
        <f>IF(A473="","",Players!G473)</f>
        <v/>
      </c>
      <c r="D473" t="str">
        <f>IF(A473="","",COUNTIFS(Goals!$D$2:$D$289,"Goal",Goals!$E$2:$E$289,"*"&amp;A473&amp;"*",Goals!$F$2:$F$289,B473)+COUNTIFS(KnockoutGoals!$D$2:$D$85,"Goal",KnockoutGoals!$E$2:$E$85,"*"&amp;A473&amp;"*",KnockoutGoals!$F$2:$F$85,B473))</f>
        <v/>
      </c>
      <c r="E473">
        <f t="shared" si="7"/>
        <v>0</v>
      </c>
    </row>
    <row r="474" spans="1:5" x14ac:dyDescent="0.3">
      <c r="A474" t="str">
        <f>IF(Players!E474="","",Players!E474)</f>
        <v/>
      </c>
      <c r="B474" t="str">
        <f>IF(A474="","",Players!C474)</f>
        <v/>
      </c>
      <c r="C474" t="str">
        <f>IF(A474="","",Players!G474)</f>
        <v/>
      </c>
      <c r="D474" t="str">
        <f>IF(A474="","",COUNTIFS(Goals!$D$2:$D$289,"Goal",Goals!$E$2:$E$289,"*"&amp;A474&amp;"*",Goals!$F$2:$F$289,B474)+COUNTIFS(KnockoutGoals!$D$2:$D$85,"Goal",KnockoutGoals!$E$2:$E$85,"*"&amp;A474&amp;"*",KnockoutGoals!$F$2:$F$85,B474))</f>
        <v/>
      </c>
      <c r="E474">
        <f t="shared" si="7"/>
        <v>0</v>
      </c>
    </row>
    <row r="475" spans="1:5" x14ac:dyDescent="0.3">
      <c r="A475" t="str">
        <f>IF(Players!E475="","",Players!E475)</f>
        <v/>
      </c>
      <c r="B475" t="str">
        <f>IF(A475="","",Players!C475)</f>
        <v/>
      </c>
      <c r="C475" t="str">
        <f>IF(A475="","",Players!G475)</f>
        <v/>
      </c>
      <c r="D475" t="str">
        <f>IF(A475="","",COUNTIFS(Goals!$D$2:$D$289,"Goal",Goals!$E$2:$E$289,"*"&amp;A475&amp;"*",Goals!$F$2:$F$289,B475)+COUNTIFS(KnockoutGoals!$D$2:$D$85,"Goal",KnockoutGoals!$E$2:$E$85,"*"&amp;A475&amp;"*",KnockoutGoals!$F$2:$F$85,B475))</f>
        <v/>
      </c>
      <c r="E475">
        <f t="shared" si="7"/>
        <v>0</v>
      </c>
    </row>
    <row r="476" spans="1:5" x14ac:dyDescent="0.3">
      <c r="A476" t="str">
        <f>IF(Players!E476="","",Players!E476)</f>
        <v/>
      </c>
      <c r="B476" t="str">
        <f>IF(A476="","",Players!C476)</f>
        <v/>
      </c>
      <c r="C476" t="str">
        <f>IF(A476="","",Players!G476)</f>
        <v/>
      </c>
      <c r="D476" t="str">
        <f>IF(A476="","",COUNTIFS(Goals!$D$2:$D$289,"Goal",Goals!$E$2:$E$289,"*"&amp;A476&amp;"*",Goals!$F$2:$F$289,B476)+COUNTIFS(KnockoutGoals!$D$2:$D$85,"Goal",KnockoutGoals!$E$2:$E$85,"*"&amp;A476&amp;"*",KnockoutGoals!$F$2:$F$85,B476))</f>
        <v/>
      </c>
      <c r="E476">
        <f t="shared" si="7"/>
        <v>0</v>
      </c>
    </row>
    <row r="477" spans="1:5" x14ac:dyDescent="0.3">
      <c r="A477" t="str">
        <f>IF(Players!E477="","",Players!E477)</f>
        <v/>
      </c>
      <c r="B477" t="str">
        <f>IF(A477="","",Players!C477)</f>
        <v/>
      </c>
      <c r="C477" t="str">
        <f>IF(A477="","",Players!G477)</f>
        <v/>
      </c>
      <c r="D477" t="str">
        <f>IF(A477="","",COUNTIFS(Goals!$D$2:$D$289,"Goal",Goals!$E$2:$E$289,"*"&amp;A477&amp;"*",Goals!$F$2:$F$289,B477)+COUNTIFS(KnockoutGoals!$D$2:$D$85,"Goal",KnockoutGoals!$E$2:$E$85,"*"&amp;A477&amp;"*",KnockoutGoals!$F$2:$F$85,B477))</f>
        <v/>
      </c>
      <c r="E477">
        <f t="shared" si="7"/>
        <v>0</v>
      </c>
    </row>
    <row r="478" spans="1:5" x14ac:dyDescent="0.3">
      <c r="A478" t="str">
        <f>IF(Players!E478="","",Players!E478)</f>
        <v/>
      </c>
      <c r="B478" t="str">
        <f>IF(A478="","",Players!C478)</f>
        <v/>
      </c>
      <c r="C478" t="str">
        <f>IF(A478="","",Players!G478)</f>
        <v/>
      </c>
      <c r="D478" t="str">
        <f>IF(A478="","",COUNTIFS(Goals!$D$2:$D$289,"Goal",Goals!$E$2:$E$289,"*"&amp;A478&amp;"*",Goals!$F$2:$F$289,B478)+COUNTIFS(KnockoutGoals!$D$2:$D$85,"Goal",KnockoutGoals!$E$2:$E$85,"*"&amp;A478&amp;"*",KnockoutGoals!$F$2:$F$85,B478))</f>
        <v/>
      </c>
      <c r="E478">
        <f t="shared" si="7"/>
        <v>0</v>
      </c>
    </row>
    <row r="479" spans="1:5" x14ac:dyDescent="0.3">
      <c r="A479" t="str">
        <f>IF(Players!E479="","",Players!E479)</f>
        <v/>
      </c>
      <c r="B479" t="str">
        <f>IF(A479="","",Players!C479)</f>
        <v/>
      </c>
      <c r="C479" t="str">
        <f>IF(A479="","",Players!G479)</f>
        <v/>
      </c>
      <c r="D479" t="str">
        <f>IF(A479="","",COUNTIFS(Goals!$D$2:$D$289,"Goal",Goals!$E$2:$E$289,"*"&amp;A479&amp;"*",Goals!$F$2:$F$289,B479)+COUNTIFS(KnockoutGoals!$D$2:$D$85,"Goal",KnockoutGoals!$E$2:$E$85,"*"&amp;A479&amp;"*",KnockoutGoals!$F$2:$F$85,B479))</f>
        <v/>
      </c>
      <c r="E479">
        <f t="shared" si="7"/>
        <v>0</v>
      </c>
    </row>
    <row r="480" spans="1:5" x14ac:dyDescent="0.3">
      <c r="A480" t="str">
        <f>IF(Players!E480="","",Players!E480)</f>
        <v/>
      </c>
      <c r="B480" t="str">
        <f>IF(A480="","",Players!C480)</f>
        <v/>
      </c>
      <c r="C480" t="str">
        <f>IF(A480="","",Players!G480)</f>
        <v/>
      </c>
      <c r="D480" t="str">
        <f>IF(A480="","",COUNTIFS(Goals!$D$2:$D$289,"Goal",Goals!$E$2:$E$289,"*"&amp;A480&amp;"*",Goals!$F$2:$F$289,B480)+COUNTIFS(KnockoutGoals!$D$2:$D$85,"Goal",KnockoutGoals!$E$2:$E$85,"*"&amp;A480&amp;"*",KnockoutGoals!$F$2:$F$85,B480))</f>
        <v/>
      </c>
      <c r="E480">
        <f t="shared" si="7"/>
        <v>0</v>
      </c>
    </row>
    <row r="481" spans="1:5" x14ac:dyDescent="0.3">
      <c r="A481" t="str">
        <f>IF(Players!E481="","",Players!E481)</f>
        <v/>
      </c>
      <c r="B481" t="str">
        <f>IF(A481="","",Players!C481)</f>
        <v/>
      </c>
      <c r="C481" t="str">
        <f>IF(A481="","",Players!G481)</f>
        <v/>
      </c>
      <c r="D481" t="str">
        <f>IF(A481="","",COUNTIFS(Goals!$D$2:$D$289,"Goal",Goals!$E$2:$E$289,"*"&amp;A481&amp;"*",Goals!$F$2:$F$289,B481)+COUNTIFS(KnockoutGoals!$D$2:$D$85,"Goal",KnockoutGoals!$E$2:$E$85,"*"&amp;A481&amp;"*",KnockoutGoals!$F$2:$F$85,B481))</f>
        <v/>
      </c>
      <c r="E481">
        <f t="shared" si="7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1"/>
  <sheetViews>
    <sheetView workbookViewId="0">
      <selection activeCell="E12" sqref="E12"/>
    </sheetView>
  </sheetViews>
  <sheetFormatPr defaultRowHeight="14.4" x14ac:dyDescent="0.3"/>
  <cols>
    <col min="1" max="4" width="28" customWidth="1"/>
  </cols>
  <sheetData>
    <row r="1" spans="1:26" x14ac:dyDescent="0.3">
      <c r="A1" s="5" t="s">
        <v>296</v>
      </c>
      <c r="B1" s="5" t="s">
        <v>286</v>
      </c>
      <c r="C1" s="5" t="s">
        <v>293</v>
      </c>
      <c r="D1" s="5" t="s">
        <v>294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>
        <f>IFERROR(IF(INDEX(ScorerData!$D$2:$D$481,MATCH(LARGE(ScorerData!$E$2:$E$481,1),ScorerData!$E$2:$E$481,0))&gt;0,1,""),"")</f>
        <v>1</v>
      </c>
      <c r="B2" t="str">
        <f>IF($A2="","",INDEX(ScorerData!$A$2:$A$481,MATCH(LARGE(ScorerData!$E$2:$E$481,$A2),ScorerData!$E$2:$E$481,0)))</f>
        <v>MATTEO ZAMBERLAN</v>
      </c>
      <c r="C2" t="str">
        <f>IF($A2="","",INDEX(ScorerData!$B$2:$B$481,MATCH(LARGE(ScorerData!$E$2:$E$481,$A2),ScorerData!$E$2:$E$481,0)))</f>
        <v>Vecchie Glorie Rovigo</v>
      </c>
      <c r="D2">
        <f>IF($A2="","",INDEX(ScorerData!$D$2:$D$481,MATCH(LARGE(ScorerData!$E$2:$E$481,$A2),ScorerData!$E$2:$E$481,0)))</f>
        <v>3</v>
      </c>
    </row>
    <row r="3" spans="1:26" x14ac:dyDescent="0.3">
      <c r="A3">
        <f>IFERROR(IF(INDEX(ScorerData!$D$2:$D$481,MATCH(LARGE(ScorerData!$E$2:$E$481,2),ScorerData!$E$2:$E$481,0))&gt;0,2,""),"")</f>
        <v>2</v>
      </c>
      <c r="B3" t="str">
        <f>IF($A3="","",INDEX(ScorerData!$A$2:$A$481,MATCH(LARGE(ScorerData!$E$2:$E$481,$A3),ScorerData!$E$2:$E$481,0)))</f>
        <v>LEONARDO MAGGIO</v>
      </c>
      <c r="C3" t="str">
        <f>IF($A3="","",INDEX(ScorerData!$B$2:$B$481,MATCH(LARGE(ScorerData!$E$2:$E$481,$A3),ScorerData!$E$2:$E$481,0)))</f>
        <v>Leoni di Ricky</v>
      </c>
      <c r="D3">
        <f>IF($A3="","",INDEX(ScorerData!$D$2:$D$481,MATCH(LARGE(ScorerData!$E$2:$E$481,$A3),ScorerData!$E$2:$E$481,0)))</f>
        <v>3</v>
      </c>
    </row>
    <row r="4" spans="1:26" x14ac:dyDescent="0.3">
      <c r="A4">
        <f>IFERROR(IF(INDEX(ScorerData!$D$2:$D$481,MATCH(LARGE(ScorerData!$E$2:$E$481,3),ScorerData!$E$2:$E$481,0))&gt;0,3,""),"")</f>
        <v>3</v>
      </c>
      <c r="B4" t="str">
        <f>IF($A4="","",INDEX(ScorerData!$A$2:$A$481,MATCH(LARGE(ScorerData!$E$2:$E$481,$A4),ScorerData!$E$2:$E$481,0)))</f>
        <v>DAVIDE ZAGHI</v>
      </c>
      <c r="C4" t="str">
        <f>IF($A4="","",INDEX(ScorerData!$B$2:$B$481,MATCH(LARGE(ScorerData!$E$2:$E$481,$A4),ScorerData!$E$2:$E$481,0)))</f>
        <v>Vecchie Glorie Rovigo</v>
      </c>
      <c r="D4">
        <f>IF($A4="","",INDEX(ScorerData!$D$2:$D$481,MATCH(LARGE(ScorerData!$E$2:$E$481,$A4),ScorerData!$E$2:$E$481,0)))</f>
        <v>2</v>
      </c>
    </row>
    <row r="5" spans="1:26" x14ac:dyDescent="0.3">
      <c r="A5">
        <f>IFERROR(IF(INDEX(ScorerData!$D$2:$D$481,MATCH(LARGE(ScorerData!$E$2:$E$481,4),ScorerData!$E$2:$E$481,0))&gt;0,4,""),"")</f>
        <v>4</v>
      </c>
      <c r="B5" t="str">
        <f>IF($A5="","",INDEX(ScorerData!$A$2:$A$481,MATCH(LARGE(ScorerData!$E$2:$E$481,$A5),ScorerData!$E$2:$E$481,0)))</f>
        <v>IGNAZIO BADALÌ</v>
      </c>
      <c r="C5" t="str">
        <f>IF($A5="","",INDEX(ScorerData!$B$2:$B$481,MATCH(LARGE(ScorerData!$E$2:$E$481,$A5),ScorerData!$E$2:$E$481,0)))</f>
        <v>AS Bancatore</v>
      </c>
      <c r="D5">
        <f>IF($A5="","",INDEX(ScorerData!$D$2:$D$481,MATCH(LARGE(ScorerData!$E$2:$E$481,$A5),ScorerData!$E$2:$E$481,0)))</f>
        <v>2</v>
      </c>
    </row>
    <row r="6" spans="1:26" x14ac:dyDescent="0.3">
      <c r="A6">
        <f>IFERROR(IF(INDEX(ScorerData!$D$2:$D$481,MATCH(LARGE(ScorerData!$E$2:$E$481,5),ScorerData!$E$2:$E$481,0))&gt;0,5,""),"")</f>
        <v>5</v>
      </c>
      <c r="B6" t="str">
        <f>IF($A6="","",INDEX(ScorerData!$A$2:$A$481,MATCH(LARGE(ScorerData!$E$2:$E$481,$A6),ScorerData!$E$2:$E$481,0)))</f>
        <v>LUCA CECCONELLO</v>
      </c>
      <c r="C6" t="str">
        <f>IF($A6="","",INDEX(ScorerData!$B$2:$B$481,MATCH(LARGE(ScorerData!$E$2:$E$481,$A6),ScorerData!$E$2:$E$481,0)))</f>
        <v>Boldò Glimt</v>
      </c>
      <c r="D6">
        <f>IF($A6="","",INDEX(ScorerData!$D$2:$D$481,MATCH(LARGE(ScorerData!$E$2:$E$481,$A6),ScorerData!$E$2:$E$481,0)))</f>
        <v>2</v>
      </c>
    </row>
    <row r="7" spans="1:26" x14ac:dyDescent="0.3">
      <c r="A7">
        <f>IFERROR(IF(INDEX(ScorerData!$D$2:$D$481,MATCH(LARGE(ScorerData!$E$2:$E$481,6),ScorerData!$E$2:$E$481,0))&gt;0,6,""),"")</f>
        <v>6</v>
      </c>
      <c r="B7" t="str">
        <f>IF($A7="","",INDEX(ScorerData!$A$2:$A$481,MATCH(LARGE(ScorerData!$E$2:$E$481,$A7),ScorerData!$E$2:$E$481,0)))</f>
        <v>JACOPO VOLTOLINA</v>
      </c>
      <c r="C7" t="str">
        <f>IF($A7="","",INDEX(ScorerData!$B$2:$B$481,MATCH(LARGE(ScorerData!$E$2:$E$481,$A7),ScorerData!$E$2:$E$481,0)))</f>
        <v>Vecchie Glorie Rovigo</v>
      </c>
      <c r="D7">
        <f>IF($A7="","",INDEX(ScorerData!$D$2:$D$481,MATCH(LARGE(ScorerData!$E$2:$E$481,$A7),ScorerData!$E$2:$E$481,0)))</f>
        <v>1</v>
      </c>
    </row>
    <row r="8" spans="1:26" x14ac:dyDescent="0.3">
      <c r="A8">
        <f>IFERROR(IF(INDEX(ScorerData!$D$2:$D$481,MATCH(LARGE(ScorerData!$E$2:$E$481,7),ScorerData!$E$2:$E$481,0))&gt;0,7,""),"")</f>
        <v>7</v>
      </c>
      <c r="B8" t="str">
        <f>IF($A8="","",INDEX(ScorerData!$A$2:$A$481,MATCH(LARGE(ScorerData!$E$2:$E$481,$A8),ScorerData!$E$2:$E$481,0)))</f>
        <v>MATTEO DALL'ARA</v>
      </c>
      <c r="C8" t="str">
        <f>IF($A8="","",INDEX(ScorerData!$B$2:$B$481,MATCH(LARGE(ScorerData!$E$2:$E$481,$A8),ScorerData!$E$2:$E$481,0)))</f>
        <v>Vecchie Glorie Rovigo</v>
      </c>
      <c r="D8">
        <f>IF($A8="","",INDEX(ScorerData!$D$2:$D$481,MATCH(LARGE(ScorerData!$E$2:$E$481,$A8),ScorerData!$E$2:$E$481,0)))</f>
        <v>1</v>
      </c>
    </row>
    <row r="9" spans="1:26" x14ac:dyDescent="0.3">
      <c r="A9">
        <f>IFERROR(IF(INDEX(ScorerData!$D$2:$D$481,MATCH(LARGE(ScorerData!$E$2:$E$481,8),ScorerData!$E$2:$E$481,0))&gt;0,8,""),"")</f>
        <v>8</v>
      </c>
      <c r="B9" t="str">
        <f>IF($A9="","",INDEX(ScorerData!$A$2:$A$481,MATCH(LARGE(ScorerData!$E$2:$E$481,$A9),ScorerData!$E$2:$E$481,0)))</f>
        <v>LEONARDO FUSCO</v>
      </c>
      <c r="C9" t="str">
        <f>IF($A9="","",INDEX(ScorerData!$B$2:$B$481,MATCH(LARGE(ScorerData!$E$2:$E$481,$A9),ScorerData!$E$2:$E$481,0)))</f>
        <v>Vecchie Glorie Rovigo</v>
      </c>
      <c r="D9">
        <f>IF($A9="","",INDEX(ScorerData!$D$2:$D$481,MATCH(LARGE(ScorerData!$E$2:$E$481,$A9),ScorerData!$E$2:$E$481,0)))</f>
        <v>1</v>
      </c>
    </row>
    <row r="10" spans="1:26" x14ac:dyDescent="0.3">
      <c r="A10">
        <f>IFERROR(IF(INDEX(ScorerData!$D$2:$D$481,MATCH(LARGE(ScorerData!$E$2:$E$481,9),ScorerData!$E$2:$E$481,0))&gt;0,9,""),"")</f>
        <v>9</v>
      </c>
      <c r="B10" t="str">
        <f>IF($A10="","",INDEX(ScorerData!$A$2:$A$481,MATCH(LARGE(ScorerData!$E$2:$E$481,$A10),ScorerData!$E$2:$E$481,0)))</f>
        <v>DENIS TIMPANARO</v>
      </c>
      <c r="C10" t="str">
        <f>IF($A10="","",INDEX(ScorerData!$B$2:$B$481,MATCH(LARGE(ScorerData!$E$2:$E$481,$A10),ScorerData!$E$2:$E$481,0)))</f>
        <v>Vecchie Glorie Rovigo</v>
      </c>
      <c r="D10">
        <f>IF($A10="","",INDEX(ScorerData!$D$2:$D$481,MATCH(LARGE(ScorerData!$E$2:$E$481,$A10),ScorerData!$E$2:$E$481,0)))</f>
        <v>1</v>
      </c>
    </row>
    <row r="11" spans="1:26" x14ac:dyDescent="0.3">
      <c r="A11">
        <f>IFERROR(IF(INDEX(ScorerData!$D$2:$D$481,MATCH(LARGE(ScorerData!$E$2:$E$481,10),ScorerData!$E$2:$E$481,0))&gt;0,10,""),"")</f>
        <v>10</v>
      </c>
      <c r="B11" t="str">
        <f>IF($A11="","",INDEX(ScorerData!$A$2:$A$481,MATCH(LARGE(ScorerData!$E$2:$E$481,$A11),ScorerData!$E$2:$E$481,0)))</f>
        <v>DOMENICO IACOVINO</v>
      </c>
      <c r="C11" t="str">
        <f>IF($A11="","",INDEX(ScorerData!$B$2:$B$481,MATCH(LARGE(ScorerData!$E$2:$E$481,$A11),ScorerData!$E$2:$E$481,0)))</f>
        <v>Vecchie Glorie Rovigo</v>
      </c>
      <c r="D11">
        <f>IF($A11="","",INDEX(ScorerData!$D$2:$D$481,MATCH(LARGE(ScorerData!$E$2:$E$481,$A11),ScorerData!$E$2:$E$481,0)))</f>
        <v>1</v>
      </c>
    </row>
    <row r="12" spans="1:26" x14ac:dyDescent="0.3">
      <c r="A12">
        <f>IFERROR(IF(INDEX(ScorerData!$D$2:$D$481,MATCH(LARGE(ScorerData!$E$2:$E$481,11),ScorerData!$E$2:$E$481,0))&gt;0,11,""),"")</f>
        <v>11</v>
      </c>
      <c r="B12" t="str">
        <f>IF($A12="","",INDEX(ScorerData!$A$2:$A$481,MATCH(LARGE(ScorerData!$E$2:$E$481,$A12),ScorerData!$E$2:$E$481,0)))</f>
        <v>MATTEO LONGO</v>
      </c>
      <c r="C12" t="str">
        <f>IF($A12="","",INDEX(ScorerData!$B$2:$B$481,MATCH(LARGE(ScorerData!$E$2:$E$481,$A12),ScorerData!$E$2:$E$481,0)))</f>
        <v>AS Bancatore</v>
      </c>
      <c r="D12">
        <f>IF($A12="","",INDEX(ScorerData!$D$2:$D$481,MATCH(LARGE(ScorerData!$E$2:$E$481,$A12),ScorerData!$E$2:$E$481,0)))</f>
        <v>1</v>
      </c>
    </row>
    <row r="13" spans="1:26" x14ac:dyDescent="0.3">
      <c r="A13">
        <f>IFERROR(IF(INDEX(ScorerData!$D$2:$D$481,MATCH(LARGE(ScorerData!$E$2:$E$481,12),ScorerData!$E$2:$E$481,0))&gt;0,12,""),"")</f>
        <v>12</v>
      </c>
      <c r="B13" t="str">
        <f>IF($A13="","",INDEX(ScorerData!$A$2:$A$481,MATCH(LARGE(ScorerData!$E$2:$E$481,$A13),ScorerData!$E$2:$E$481,0)))</f>
        <v>GIANLUCA FREZZATI</v>
      </c>
      <c r="C13" t="str">
        <f>IF($A13="","",INDEX(ScorerData!$B$2:$B$481,MATCH(LARGE(ScorerData!$E$2:$E$481,$A13),ScorerData!$E$2:$E$481,0)))</f>
        <v>AS Bancatore</v>
      </c>
      <c r="D13">
        <f>IF($A13="","",INDEX(ScorerData!$D$2:$D$481,MATCH(LARGE(ScorerData!$E$2:$E$481,$A13),ScorerData!$E$2:$E$481,0)))</f>
        <v>1</v>
      </c>
    </row>
    <row r="14" spans="1:26" x14ac:dyDescent="0.3">
      <c r="A14">
        <f>IFERROR(IF(INDEX(ScorerData!$D$2:$D$481,MATCH(LARGE(ScorerData!$E$2:$E$481,13),ScorerData!$E$2:$E$481,0))&gt;0,13,""),"")</f>
        <v>13</v>
      </c>
      <c r="B14" t="str">
        <f>IF($A14="","",INDEX(ScorerData!$A$2:$A$481,MATCH(LARGE(ScorerData!$E$2:$E$481,$A14),ScorerData!$E$2:$E$481,0)))</f>
        <v>NICOLA BARONI</v>
      </c>
      <c r="C14" t="str">
        <f>IF($A14="","",INDEX(ScorerData!$B$2:$B$481,MATCH(LARGE(ScorerData!$E$2:$E$481,$A14),ScorerData!$E$2:$E$481,0)))</f>
        <v>AS Bancatore</v>
      </c>
      <c r="D14">
        <f>IF($A14="","",INDEX(ScorerData!$D$2:$D$481,MATCH(LARGE(ScorerData!$E$2:$E$481,$A14),ScorerData!$E$2:$E$481,0)))</f>
        <v>1</v>
      </c>
    </row>
    <row r="15" spans="1:26" x14ac:dyDescent="0.3">
      <c r="A15">
        <f>IFERROR(IF(INDEX(ScorerData!$D$2:$D$481,MATCH(LARGE(ScorerData!$E$2:$E$481,14),ScorerData!$E$2:$E$481,0))&gt;0,14,""),"")</f>
        <v>14</v>
      </c>
      <c r="B15" t="str">
        <f>IF($A15="","",INDEX(ScorerData!$A$2:$A$481,MATCH(LARGE(ScorerData!$E$2:$E$481,$A15),ScorerData!$E$2:$E$481,0)))</f>
        <v>ANDREI BARZAGHIDEANU</v>
      </c>
      <c r="C15" t="str">
        <f>IF($A15="","",INDEX(ScorerData!$B$2:$B$481,MATCH(LARGE(ScorerData!$E$2:$E$481,$A15),ScorerData!$E$2:$E$481,0)))</f>
        <v>Leoni di Ricky</v>
      </c>
      <c r="D15">
        <f>IF($A15="","",INDEX(ScorerData!$D$2:$D$481,MATCH(LARGE(ScorerData!$E$2:$E$481,$A15),ScorerData!$E$2:$E$481,0)))</f>
        <v>1</v>
      </c>
    </row>
    <row r="16" spans="1:26" x14ac:dyDescent="0.3">
      <c r="A16">
        <f>IFERROR(IF(INDEX(ScorerData!$D$2:$D$481,MATCH(LARGE(ScorerData!$E$2:$E$481,15),ScorerData!$E$2:$E$481,0))&gt;0,15,""),"")</f>
        <v>15</v>
      </c>
      <c r="B16" t="str">
        <f>IF($A16="","",INDEX(ScorerData!$A$2:$A$481,MATCH(LARGE(ScorerData!$E$2:$E$481,$A16),ScorerData!$E$2:$E$481,0)))</f>
        <v>VLAD GABRIEL DUMINICA</v>
      </c>
      <c r="C16" t="str">
        <f>IF($A16="","",INDEX(ScorerData!$B$2:$B$481,MATCH(LARGE(ScorerData!$E$2:$E$481,$A16),ScorerData!$E$2:$E$481,0)))</f>
        <v>Leoni di Ricky</v>
      </c>
      <c r="D16">
        <f>IF($A16="","",INDEX(ScorerData!$D$2:$D$481,MATCH(LARGE(ScorerData!$E$2:$E$481,$A16),ScorerData!$E$2:$E$481,0)))</f>
        <v>1</v>
      </c>
    </row>
    <row r="17" spans="1:4" x14ac:dyDescent="0.3">
      <c r="A17">
        <f>IFERROR(IF(INDEX(ScorerData!$D$2:$D$481,MATCH(LARGE(ScorerData!$E$2:$E$481,16),ScorerData!$E$2:$E$481,0))&gt;0,16,""),"")</f>
        <v>16</v>
      </c>
      <c r="B17" t="str">
        <f>IF($A17="","",INDEX(ScorerData!$A$2:$A$481,MATCH(LARGE(ScorerData!$E$2:$E$481,$A17),ScorerData!$E$2:$E$481,0)))</f>
        <v>EDOARDO CAVALLARI</v>
      </c>
      <c r="C17" t="str">
        <f>IF($A17="","",INDEX(ScorerData!$B$2:$B$481,MATCH(LARGE(ScorerData!$E$2:$E$481,$A17),ScorerData!$E$2:$E$481,0)))</f>
        <v>Barrio Boys</v>
      </c>
      <c r="D17">
        <f>IF($A17="","",INDEX(ScorerData!$D$2:$D$481,MATCH(LARGE(ScorerData!$E$2:$E$481,$A17),ScorerData!$E$2:$E$481,0)))</f>
        <v>1</v>
      </c>
    </row>
    <row r="18" spans="1:4" x14ac:dyDescent="0.3">
      <c r="A18">
        <f>IFERROR(IF(INDEX(ScorerData!$D$2:$D$481,MATCH(LARGE(ScorerData!$E$2:$E$481,17),ScorerData!$E$2:$E$481,0))&gt;0,17,""),"")</f>
        <v>17</v>
      </c>
      <c r="B18" t="str">
        <f>IF($A18="","",INDEX(ScorerData!$A$2:$A$481,MATCH(LARGE(ScorerData!$E$2:$E$481,$A18),ScorerData!$E$2:$E$481,0)))</f>
        <v>MATTEO FERRO</v>
      </c>
      <c r="C18" t="str">
        <f>IF($A18="","",INDEX(ScorerData!$B$2:$B$481,MATCH(LARGE(ScorerData!$E$2:$E$481,$A18),ScorerData!$E$2:$E$481,0)))</f>
        <v>Barrio Boys</v>
      </c>
      <c r="D18">
        <f>IF($A18="","",INDEX(ScorerData!$D$2:$D$481,MATCH(LARGE(ScorerData!$E$2:$E$481,$A18),ScorerData!$E$2:$E$481,0)))</f>
        <v>1</v>
      </c>
    </row>
    <row r="19" spans="1:4" x14ac:dyDescent="0.3">
      <c r="A19">
        <f>IFERROR(IF(INDEX(ScorerData!$D$2:$D$481,MATCH(LARGE(ScorerData!$E$2:$E$481,18),ScorerData!$E$2:$E$481,0))&gt;0,18,""),"")</f>
        <v>18</v>
      </c>
      <c r="B19" t="str">
        <f>IF($A19="","",INDEX(ScorerData!$A$2:$A$481,MATCH(LARGE(ScorerData!$E$2:$E$481,$A19),ScorerData!$E$2:$E$481,0)))</f>
        <v>NICOLA BRESCIANI</v>
      </c>
      <c r="C19" t="str">
        <f>IF($A19="","",INDEX(ScorerData!$B$2:$B$481,MATCH(LARGE(ScorerData!$E$2:$E$481,$A19),ScorerData!$E$2:$E$481,0)))</f>
        <v>All Blacks</v>
      </c>
      <c r="D19">
        <f>IF($A19="","",INDEX(ScorerData!$D$2:$D$481,MATCH(LARGE(ScorerData!$E$2:$E$481,$A19),ScorerData!$E$2:$E$481,0)))</f>
        <v>1</v>
      </c>
    </row>
    <row r="20" spans="1:4" x14ac:dyDescent="0.3">
      <c r="A20">
        <f>IFERROR(IF(INDEX(ScorerData!$D$2:$D$481,MATCH(LARGE(ScorerData!$E$2:$E$481,19),ScorerData!$E$2:$E$481,0))&gt;0,19,""),"")</f>
        <v>19</v>
      </c>
      <c r="B20" t="str">
        <f>IF($A20="","",INDEX(ScorerData!$A$2:$A$481,MATCH(LARGE(ScorerData!$E$2:$E$481,$A20),ScorerData!$E$2:$E$481,0)))</f>
        <v>MATTIA AYRTON MARIOTTO</v>
      </c>
      <c r="C20" t="str">
        <f>IF($A20="","",INDEX(ScorerData!$B$2:$B$481,MATCH(LARGE(ScorerData!$E$2:$E$481,$A20),ScorerData!$E$2:$E$481,0)))</f>
        <v>Piadineria la Salsiccia</v>
      </c>
      <c r="D20">
        <f>IF($A20="","",INDEX(ScorerData!$D$2:$D$481,MATCH(LARGE(ScorerData!$E$2:$E$481,$A20),ScorerData!$E$2:$E$481,0)))</f>
        <v>1</v>
      </c>
    </row>
    <row r="21" spans="1:4" x14ac:dyDescent="0.3">
      <c r="A21">
        <f>IFERROR(IF(INDEX(ScorerData!$D$2:$D$481,MATCH(LARGE(ScorerData!$E$2:$E$481,20),ScorerData!$E$2:$E$481,0))&gt;0,20,""),"")</f>
        <v>20</v>
      </c>
      <c r="B21" t="str">
        <f>IF($A21="","",INDEX(ScorerData!$A$2:$A$481,MATCH(LARGE(ScorerData!$E$2:$E$481,$A21),ScorerData!$E$2:$E$481,0)))</f>
        <v/>
      </c>
      <c r="C21" t="str">
        <f>IF($A21="","",INDEX(ScorerData!$B$2:$B$481,MATCH(LARGE(ScorerData!$E$2:$E$481,$A21),ScorerData!$E$2:$E$481,0)))</f>
        <v/>
      </c>
      <c r="D21" t="str">
        <f>IF($A21="","",INDEX(ScorerData!$D$2:$D$481,MATCH(LARGE(ScorerData!$E$2:$E$481,$A21),ScorerData!$E$2:$E$481,0)))</f>
        <v/>
      </c>
    </row>
    <row r="22" spans="1:4" x14ac:dyDescent="0.3">
      <c r="A22">
        <f>IFERROR(IF(INDEX(ScorerData!$D$2:$D$481,MATCH(LARGE(ScorerData!$E$2:$E$481,21),ScorerData!$E$2:$E$481,0))&gt;0,21,""),"")</f>
        <v>21</v>
      </c>
      <c r="B22" t="str">
        <f>IF($A22="","",INDEX(ScorerData!$A$2:$A$481,MATCH(LARGE(ScorerData!$E$2:$E$481,$A22),ScorerData!$E$2:$E$481,0)))</f>
        <v/>
      </c>
      <c r="C22" t="str">
        <f>IF($A22="","",INDEX(ScorerData!$B$2:$B$481,MATCH(LARGE(ScorerData!$E$2:$E$481,$A22),ScorerData!$E$2:$E$481,0)))</f>
        <v/>
      </c>
      <c r="D22" t="str">
        <f>IF($A22="","",INDEX(ScorerData!$D$2:$D$481,MATCH(LARGE(ScorerData!$E$2:$E$481,$A22),ScorerData!$E$2:$E$481,0)))</f>
        <v/>
      </c>
    </row>
    <row r="23" spans="1:4" x14ac:dyDescent="0.3">
      <c r="A23">
        <f>IFERROR(IF(INDEX(ScorerData!$D$2:$D$481,MATCH(LARGE(ScorerData!$E$2:$E$481,22),ScorerData!$E$2:$E$481,0))&gt;0,22,""),"")</f>
        <v>22</v>
      </c>
      <c r="B23" t="str">
        <f>IF($A23="","",INDEX(ScorerData!$A$2:$A$481,MATCH(LARGE(ScorerData!$E$2:$E$481,$A23),ScorerData!$E$2:$E$481,0)))</f>
        <v/>
      </c>
      <c r="C23" t="str">
        <f>IF($A23="","",INDEX(ScorerData!$B$2:$B$481,MATCH(LARGE(ScorerData!$E$2:$E$481,$A23),ScorerData!$E$2:$E$481,0)))</f>
        <v/>
      </c>
      <c r="D23" t="str">
        <f>IF($A23="","",INDEX(ScorerData!$D$2:$D$481,MATCH(LARGE(ScorerData!$E$2:$E$481,$A23),ScorerData!$E$2:$E$481,0)))</f>
        <v/>
      </c>
    </row>
    <row r="24" spans="1:4" x14ac:dyDescent="0.3">
      <c r="A24">
        <f>IFERROR(IF(INDEX(ScorerData!$D$2:$D$481,MATCH(LARGE(ScorerData!$E$2:$E$481,23),ScorerData!$E$2:$E$481,0))&gt;0,23,""),"")</f>
        <v>23</v>
      </c>
      <c r="B24" t="str">
        <f>IF($A24="","",INDEX(ScorerData!$A$2:$A$481,MATCH(LARGE(ScorerData!$E$2:$E$481,$A24),ScorerData!$E$2:$E$481,0)))</f>
        <v/>
      </c>
      <c r="C24" t="str">
        <f>IF($A24="","",INDEX(ScorerData!$B$2:$B$481,MATCH(LARGE(ScorerData!$E$2:$E$481,$A24),ScorerData!$E$2:$E$481,0)))</f>
        <v/>
      </c>
      <c r="D24" t="str">
        <f>IF($A24="","",INDEX(ScorerData!$D$2:$D$481,MATCH(LARGE(ScorerData!$E$2:$E$481,$A24),ScorerData!$E$2:$E$481,0)))</f>
        <v/>
      </c>
    </row>
    <row r="25" spans="1:4" x14ac:dyDescent="0.3">
      <c r="A25">
        <f>IFERROR(IF(INDEX(ScorerData!$D$2:$D$481,MATCH(LARGE(ScorerData!$E$2:$E$481,24),ScorerData!$E$2:$E$481,0))&gt;0,24,""),"")</f>
        <v>24</v>
      </c>
      <c r="B25" t="str">
        <f>IF($A25="","",INDEX(ScorerData!$A$2:$A$481,MATCH(LARGE(ScorerData!$E$2:$E$481,$A25),ScorerData!$E$2:$E$481,0)))</f>
        <v/>
      </c>
      <c r="C25" t="str">
        <f>IF($A25="","",INDEX(ScorerData!$B$2:$B$481,MATCH(LARGE(ScorerData!$E$2:$E$481,$A25),ScorerData!$E$2:$E$481,0)))</f>
        <v/>
      </c>
      <c r="D25" t="str">
        <f>IF($A25="","",INDEX(ScorerData!$D$2:$D$481,MATCH(LARGE(ScorerData!$E$2:$E$481,$A25),ScorerData!$E$2:$E$481,0)))</f>
        <v/>
      </c>
    </row>
    <row r="26" spans="1:4" x14ac:dyDescent="0.3">
      <c r="A26">
        <f>IFERROR(IF(INDEX(ScorerData!$D$2:$D$481,MATCH(LARGE(ScorerData!$E$2:$E$481,25),ScorerData!$E$2:$E$481,0))&gt;0,25,""),"")</f>
        <v>25</v>
      </c>
      <c r="B26" t="str">
        <f>IF($A26="","",INDEX(ScorerData!$A$2:$A$481,MATCH(LARGE(ScorerData!$E$2:$E$481,$A26),ScorerData!$E$2:$E$481,0)))</f>
        <v/>
      </c>
      <c r="C26" t="str">
        <f>IF($A26="","",INDEX(ScorerData!$B$2:$B$481,MATCH(LARGE(ScorerData!$E$2:$E$481,$A26),ScorerData!$E$2:$E$481,0)))</f>
        <v/>
      </c>
      <c r="D26" t="str">
        <f>IF($A26="","",INDEX(ScorerData!$D$2:$D$481,MATCH(LARGE(ScorerData!$E$2:$E$481,$A26),ScorerData!$E$2:$E$481,0)))</f>
        <v/>
      </c>
    </row>
    <row r="27" spans="1:4" x14ac:dyDescent="0.3">
      <c r="A27">
        <f>IFERROR(IF(INDEX(ScorerData!$D$2:$D$481,MATCH(LARGE(ScorerData!$E$2:$E$481,26),ScorerData!$E$2:$E$481,0))&gt;0,26,""),"")</f>
        <v>26</v>
      </c>
      <c r="B27" t="str">
        <f>IF($A27="","",INDEX(ScorerData!$A$2:$A$481,MATCH(LARGE(ScorerData!$E$2:$E$481,$A27),ScorerData!$E$2:$E$481,0)))</f>
        <v/>
      </c>
      <c r="C27" t="str">
        <f>IF($A27="","",INDEX(ScorerData!$B$2:$B$481,MATCH(LARGE(ScorerData!$E$2:$E$481,$A27),ScorerData!$E$2:$E$481,0)))</f>
        <v/>
      </c>
      <c r="D27" t="str">
        <f>IF($A27="","",INDEX(ScorerData!$D$2:$D$481,MATCH(LARGE(ScorerData!$E$2:$E$481,$A27),ScorerData!$E$2:$E$481,0)))</f>
        <v/>
      </c>
    </row>
    <row r="28" spans="1:4" x14ac:dyDescent="0.3">
      <c r="A28">
        <f>IFERROR(IF(INDEX(ScorerData!$D$2:$D$481,MATCH(LARGE(ScorerData!$E$2:$E$481,27),ScorerData!$E$2:$E$481,0))&gt;0,27,""),"")</f>
        <v>27</v>
      </c>
      <c r="B28" t="str">
        <f>IF($A28="","",INDEX(ScorerData!$A$2:$A$481,MATCH(LARGE(ScorerData!$E$2:$E$481,$A28),ScorerData!$E$2:$E$481,0)))</f>
        <v/>
      </c>
      <c r="C28" t="str">
        <f>IF($A28="","",INDEX(ScorerData!$B$2:$B$481,MATCH(LARGE(ScorerData!$E$2:$E$481,$A28),ScorerData!$E$2:$E$481,0)))</f>
        <v/>
      </c>
      <c r="D28" t="str">
        <f>IF($A28="","",INDEX(ScorerData!$D$2:$D$481,MATCH(LARGE(ScorerData!$E$2:$E$481,$A28),ScorerData!$E$2:$E$481,0)))</f>
        <v/>
      </c>
    </row>
    <row r="29" spans="1:4" x14ac:dyDescent="0.3">
      <c r="A29">
        <f>IFERROR(IF(INDEX(ScorerData!$D$2:$D$481,MATCH(LARGE(ScorerData!$E$2:$E$481,28),ScorerData!$E$2:$E$481,0))&gt;0,28,""),"")</f>
        <v>28</v>
      </c>
      <c r="B29" t="str">
        <f>IF($A29="","",INDEX(ScorerData!$A$2:$A$481,MATCH(LARGE(ScorerData!$E$2:$E$481,$A29),ScorerData!$E$2:$E$481,0)))</f>
        <v/>
      </c>
      <c r="C29" t="str">
        <f>IF($A29="","",INDEX(ScorerData!$B$2:$B$481,MATCH(LARGE(ScorerData!$E$2:$E$481,$A29),ScorerData!$E$2:$E$481,0)))</f>
        <v/>
      </c>
      <c r="D29" t="str">
        <f>IF($A29="","",INDEX(ScorerData!$D$2:$D$481,MATCH(LARGE(ScorerData!$E$2:$E$481,$A29),ScorerData!$E$2:$E$481,0)))</f>
        <v/>
      </c>
    </row>
    <row r="30" spans="1:4" x14ac:dyDescent="0.3">
      <c r="A30">
        <f>IFERROR(IF(INDEX(ScorerData!$D$2:$D$481,MATCH(LARGE(ScorerData!$E$2:$E$481,29),ScorerData!$E$2:$E$481,0))&gt;0,29,""),"")</f>
        <v>29</v>
      </c>
      <c r="B30" t="str">
        <f>IF($A30="","",INDEX(ScorerData!$A$2:$A$481,MATCH(LARGE(ScorerData!$E$2:$E$481,$A30),ScorerData!$E$2:$E$481,0)))</f>
        <v/>
      </c>
      <c r="C30" t="str">
        <f>IF($A30="","",INDEX(ScorerData!$B$2:$B$481,MATCH(LARGE(ScorerData!$E$2:$E$481,$A30),ScorerData!$E$2:$E$481,0)))</f>
        <v/>
      </c>
      <c r="D30" t="str">
        <f>IF($A30="","",INDEX(ScorerData!$D$2:$D$481,MATCH(LARGE(ScorerData!$E$2:$E$481,$A30),ScorerData!$E$2:$E$481,0)))</f>
        <v/>
      </c>
    </row>
    <row r="31" spans="1:4" x14ac:dyDescent="0.3">
      <c r="A31">
        <f>IFERROR(IF(INDEX(ScorerData!$D$2:$D$481,MATCH(LARGE(ScorerData!$E$2:$E$481,30),ScorerData!$E$2:$E$481,0))&gt;0,30,""),"")</f>
        <v>30</v>
      </c>
      <c r="B31" t="str">
        <f>IF($A31="","",INDEX(ScorerData!$A$2:$A$481,MATCH(LARGE(ScorerData!$E$2:$E$481,$A31),ScorerData!$E$2:$E$481,0)))</f>
        <v/>
      </c>
      <c r="C31" t="str">
        <f>IF($A31="","",INDEX(ScorerData!$B$2:$B$481,MATCH(LARGE(ScorerData!$E$2:$E$481,$A31),ScorerData!$E$2:$E$481,0)))</f>
        <v/>
      </c>
      <c r="D31" t="str">
        <f>IF($A31="","",INDEX(ScorerData!$D$2:$D$481,MATCH(LARGE(ScorerData!$E$2:$E$481,$A31),ScorerData!$E$2:$E$481,0)))</f>
        <v/>
      </c>
    </row>
    <row r="32" spans="1:4" x14ac:dyDescent="0.3">
      <c r="A32">
        <f>IFERROR(IF(INDEX(ScorerData!$D$2:$D$481,MATCH(LARGE(ScorerData!$E$2:$E$481,31),ScorerData!$E$2:$E$481,0))&gt;0,31,""),"")</f>
        <v>31</v>
      </c>
      <c r="B32" t="str">
        <f>IF($A32="","",INDEX(ScorerData!$A$2:$A$481,MATCH(LARGE(ScorerData!$E$2:$E$481,$A32),ScorerData!$E$2:$E$481,0)))</f>
        <v/>
      </c>
      <c r="C32" t="str">
        <f>IF($A32="","",INDEX(ScorerData!$B$2:$B$481,MATCH(LARGE(ScorerData!$E$2:$E$481,$A32),ScorerData!$E$2:$E$481,0)))</f>
        <v/>
      </c>
      <c r="D32" t="str">
        <f>IF($A32="","",INDEX(ScorerData!$D$2:$D$481,MATCH(LARGE(ScorerData!$E$2:$E$481,$A32),ScorerData!$E$2:$E$481,0)))</f>
        <v/>
      </c>
    </row>
    <row r="33" spans="1:4" x14ac:dyDescent="0.3">
      <c r="A33">
        <f>IFERROR(IF(INDEX(ScorerData!$D$2:$D$481,MATCH(LARGE(ScorerData!$E$2:$E$481,32),ScorerData!$E$2:$E$481,0))&gt;0,32,""),"")</f>
        <v>32</v>
      </c>
      <c r="B33" t="str">
        <f>IF($A33="","",INDEX(ScorerData!$A$2:$A$481,MATCH(LARGE(ScorerData!$E$2:$E$481,$A33),ScorerData!$E$2:$E$481,0)))</f>
        <v/>
      </c>
      <c r="C33" t="str">
        <f>IF($A33="","",INDEX(ScorerData!$B$2:$B$481,MATCH(LARGE(ScorerData!$E$2:$E$481,$A33),ScorerData!$E$2:$E$481,0)))</f>
        <v/>
      </c>
      <c r="D33" t="str">
        <f>IF($A33="","",INDEX(ScorerData!$D$2:$D$481,MATCH(LARGE(ScorerData!$E$2:$E$481,$A33),ScorerData!$E$2:$E$481,0)))</f>
        <v/>
      </c>
    </row>
    <row r="34" spans="1:4" x14ac:dyDescent="0.3">
      <c r="A34">
        <f>IFERROR(IF(INDEX(ScorerData!$D$2:$D$481,MATCH(LARGE(ScorerData!$E$2:$E$481,33),ScorerData!$E$2:$E$481,0))&gt;0,33,""),"")</f>
        <v>33</v>
      </c>
      <c r="B34" t="str">
        <f>IF($A34="","",INDEX(ScorerData!$A$2:$A$481,MATCH(LARGE(ScorerData!$E$2:$E$481,$A34),ScorerData!$E$2:$E$481,0)))</f>
        <v/>
      </c>
      <c r="C34" t="str">
        <f>IF($A34="","",INDEX(ScorerData!$B$2:$B$481,MATCH(LARGE(ScorerData!$E$2:$E$481,$A34),ScorerData!$E$2:$E$481,0)))</f>
        <v/>
      </c>
      <c r="D34" t="str">
        <f>IF($A34="","",INDEX(ScorerData!$D$2:$D$481,MATCH(LARGE(ScorerData!$E$2:$E$481,$A34),ScorerData!$E$2:$E$481,0)))</f>
        <v/>
      </c>
    </row>
    <row r="35" spans="1:4" x14ac:dyDescent="0.3">
      <c r="A35">
        <f>IFERROR(IF(INDEX(ScorerData!$D$2:$D$481,MATCH(LARGE(ScorerData!$E$2:$E$481,34),ScorerData!$E$2:$E$481,0))&gt;0,34,""),"")</f>
        <v>34</v>
      </c>
      <c r="B35" t="str">
        <f>IF($A35="","",INDEX(ScorerData!$A$2:$A$481,MATCH(LARGE(ScorerData!$E$2:$E$481,$A35),ScorerData!$E$2:$E$481,0)))</f>
        <v/>
      </c>
      <c r="C35" t="str">
        <f>IF($A35="","",INDEX(ScorerData!$B$2:$B$481,MATCH(LARGE(ScorerData!$E$2:$E$481,$A35),ScorerData!$E$2:$E$481,0)))</f>
        <v/>
      </c>
      <c r="D35" t="str">
        <f>IF($A35="","",INDEX(ScorerData!$D$2:$D$481,MATCH(LARGE(ScorerData!$E$2:$E$481,$A35),ScorerData!$E$2:$E$481,0)))</f>
        <v/>
      </c>
    </row>
    <row r="36" spans="1:4" x14ac:dyDescent="0.3">
      <c r="A36">
        <f>IFERROR(IF(INDEX(ScorerData!$D$2:$D$481,MATCH(LARGE(ScorerData!$E$2:$E$481,35),ScorerData!$E$2:$E$481,0))&gt;0,35,""),"")</f>
        <v>35</v>
      </c>
      <c r="B36" t="str">
        <f>IF($A36="","",INDEX(ScorerData!$A$2:$A$481,MATCH(LARGE(ScorerData!$E$2:$E$481,$A36),ScorerData!$E$2:$E$481,0)))</f>
        <v/>
      </c>
      <c r="C36" t="str">
        <f>IF($A36="","",INDEX(ScorerData!$B$2:$B$481,MATCH(LARGE(ScorerData!$E$2:$E$481,$A36),ScorerData!$E$2:$E$481,0)))</f>
        <v/>
      </c>
      <c r="D36" t="str">
        <f>IF($A36="","",INDEX(ScorerData!$D$2:$D$481,MATCH(LARGE(ScorerData!$E$2:$E$481,$A36),ScorerData!$E$2:$E$481,0)))</f>
        <v/>
      </c>
    </row>
    <row r="37" spans="1:4" x14ac:dyDescent="0.3">
      <c r="A37">
        <f>IFERROR(IF(INDEX(ScorerData!$D$2:$D$481,MATCH(LARGE(ScorerData!$E$2:$E$481,36),ScorerData!$E$2:$E$481,0))&gt;0,36,""),"")</f>
        <v>36</v>
      </c>
      <c r="B37" t="str">
        <f>IF($A37="","",INDEX(ScorerData!$A$2:$A$481,MATCH(LARGE(ScorerData!$E$2:$E$481,$A37),ScorerData!$E$2:$E$481,0)))</f>
        <v/>
      </c>
      <c r="C37" t="str">
        <f>IF($A37="","",INDEX(ScorerData!$B$2:$B$481,MATCH(LARGE(ScorerData!$E$2:$E$481,$A37),ScorerData!$E$2:$E$481,0)))</f>
        <v/>
      </c>
      <c r="D37" t="str">
        <f>IF($A37="","",INDEX(ScorerData!$D$2:$D$481,MATCH(LARGE(ScorerData!$E$2:$E$481,$A37),ScorerData!$E$2:$E$481,0)))</f>
        <v/>
      </c>
    </row>
    <row r="38" spans="1:4" x14ac:dyDescent="0.3">
      <c r="A38">
        <f>IFERROR(IF(INDEX(ScorerData!$D$2:$D$481,MATCH(LARGE(ScorerData!$E$2:$E$481,37),ScorerData!$E$2:$E$481,0))&gt;0,37,""),"")</f>
        <v>37</v>
      </c>
      <c r="B38" t="str">
        <f>IF($A38="","",INDEX(ScorerData!$A$2:$A$481,MATCH(LARGE(ScorerData!$E$2:$E$481,$A38),ScorerData!$E$2:$E$481,0)))</f>
        <v/>
      </c>
      <c r="C38" t="str">
        <f>IF($A38="","",INDEX(ScorerData!$B$2:$B$481,MATCH(LARGE(ScorerData!$E$2:$E$481,$A38),ScorerData!$E$2:$E$481,0)))</f>
        <v/>
      </c>
      <c r="D38" t="str">
        <f>IF($A38="","",INDEX(ScorerData!$D$2:$D$481,MATCH(LARGE(ScorerData!$E$2:$E$481,$A38),ScorerData!$E$2:$E$481,0)))</f>
        <v/>
      </c>
    </row>
    <row r="39" spans="1:4" x14ac:dyDescent="0.3">
      <c r="A39">
        <f>IFERROR(IF(INDEX(ScorerData!$D$2:$D$481,MATCH(LARGE(ScorerData!$E$2:$E$481,38),ScorerData!$E$2:$E$481,0))&gt;0,38,""),"")</f>
        <v>38</v>
      </c>
      <c r="B39" t="str">
        <f>IF($A39="","",INDEX(ScorerData!$A$2:$A$481,MATCH(LARGE(ScorerData!$E$2:$E$481,$A39),ScorerData!$E$2:$E$481,0)))</f>
        <v/>
      </c>
      <c r="C39" t="str">
        <f>IF($A39="","",INDEX(ScorerData!$B$2:$B$481,MATCH(LARGE(ScorerData!$E$2:$E$481,$A39),ScorerData!$E$2:$E$481,0)))</f>
        <v/>
      </c>
      <c r="D39" t="str">
        <f>IF($A39="","",INDEX(ScorerData!$D$2:$D$481,MATCH(LARGE(ScorerData!$E$2:$E$481,$A39),ScorerData!$E$2:$E$481,0)))</f>
        <v/>
      </c>
    </row>
    <row r="40" spans="1:4" x14ac:dyDescent="0.3">
      <c r="A40">
        <f>IFERROR(IF(INDEX(ScorerData!$D$2:$D$481,MATCH(LARGE(ScorerData!$E$2:$E$481,39),ScorerData!$E$2:$E$481,0))&gt;0,39,""),"")</f>
        <v>39</v>
      </c>
      <c r="B40" t="str">
        <f>IF($A40="","",INDEX(ScorerData!$A$2:$A$481,MATCH(LARGE(ScorerData!$E$2:$E$481,$A40),ScorerData!$E$2:$E$481,0)))</f>
        <v/>
      </c>
      <c r="C40" t="str">
        <f>IF($A40="","",INDEX(ScorerData!$B$2:$B$481,MATCH(LARGE(ScorerData!$E$2:$E$481,$A40),ScorerData!$E$2:$E$481,0)))</f>
        <v/>
      </c>
      <c r="D40" t="str">
        <f>IF($A40="","",INDEX(ScorerData!$D$2:$D$481,MATCH(LARGE(ScorerData!$E$2:$E$481,$A40),ScorerData!$E$2:$E$481,0)))</f>
        <v/>
      </c>
    </row>
    <row r="41" spans="1:4" x14ac:dyDescent="0.3">
      <c r="A41">
        <f>IFERROR(IF(INDEX(ScorerData!$D$2:$D$481,MATCH(LARGE(ScorerData!$E$2:$E$481,40),ScorerData!$E$2:$E$481,0))&gt;0,40,""),"")</f>
        <v>40</v>
      </c>
      <c r="B41" t="str">
        <f>IF($A41="","",INDEX(ScorerData!$A$2:$A$481,MATCH(LARGE(ScorerData!$E$2:$E$481,$A41),ScorerData!$E$2:$E$481,0)))</f>
        <v/>
      </c>
      <c r="C41" t="str">
        <f>IF($A41="","",INDEX(ScorerData!$B$2:$B$481,MATCH(LARGE(ScorerData!$E$2:$E$481,$A41),ScorerData!$E$2:$E$481,0)))</f>
        <v/>
      </c>
      <c r="D41" t="str">
        <f>IF($A41="","",INDEX(ScorerData!$D$2:$D$481,MATCH(LARGE(ScorerData!$E$2:$E$481,$A41),ScorerData!$E$2:$E$481,0)))</f>
        <v/>
      </c>
    </row>
    <row r="42" spans="1:4" x14ac:dyDescent="0.3">
      <c r="A42">
        <f>IFERROR(IF(INDEX(ScorerData!$D$2:$D$481,MATCH(LARGE(ScorerData!$E$2:$E$481,41),ScorerData!$E$2:$E$481,0))&gt;0,41,""),"")</f>
        <v>41</v>
      </c>
      <c r="B42" t="str">
        <f>IF($A42="","",INDEX(ScorerData!$A$2:$A$481,MATCH(LARGE(ScorerData!$E$2:$E$481,$A42),ScorerData!$E$2:$E$481,0)))</f>
        <v/>
      </c>
      <c r="C42" t="str">
        <f>IF($A42="","",INDEX(ScorerData!$B$2:$B$481,MATCH(LARGE(ScorerData!$E$2:$E$481,$A42),ScorerData!$E$2:$E$481,0)))</f>
        <v/>
      </c>
      <c r="D42" t="str">
        <f>IF($A42="","",INDEX(ScorerData!$D$2:$D$481,MATCH(LARGE(ScorerData!$E$2:$E$481,$A42),ScorerData!$E$2:$E$481,0)))</f>
        <v/>
      </c>
    </row>
    <row r="43" spans="1:4" x14ac:dyDescent="0.3">
      <c r="A43">
        <f>IFERROR(IF(INDEX(ScorerData!$D$2:$D$481,MATCH(LARGE(ScorerData!$E$2:$E$481,42),ScorerData!$E$2:$E$481,0))&gt;0,42,""),"")</f>
        <v>42</v>
      </c>
      <c r="B43" t="str">
        <f>IF($A43="","",INDEX(ScorerData!$A$2:$A$481,MATCH(LARGE(ScorerData!$E$2:$E$481,$A43),ScorerData!$E$2:$E$481,0)))</f>
        <v/>
      </c>
      <c r="C43" t="str">
        <f>IF($A43="","",INDEX(ScorerData!$B$2:$B$481,MATCH(LARGE(ScorerData!$E$2:$E$481,$A43),ScorerData!$E$2:$E$481,0)))</f>
        <v/>
      </c>
      <c r="D43" t="str">
        <f>IF($A43="","",INDEX(ScorerData!$D$2:$D$481,MATCH(LARGE(ScorerData!$E$2:$E$481,$A43),ScorerData!$E$2:$E$481,0)))</f>
        <v/>
      </c>
    </row>
    <row r="44" spans="1:4" x14ac:dyDescent="0.3">
      <c r="A44">
        <f>IFERROR(IF(INDEX(ScorerData!$D$2:$D$481,MATCH(LARGE(ScorerData!$E$2:$E$481,43),ScorerData!$E$2:$E$481,0))&gt;0,43,""),"")</f>
        <v>43</v>
      </c>
      <c r="B44" t="str">
        <f>IF($A44="","",INDEX(ScorerData!$A$2:$A$481,MATCH(LARGE(ScorerData!$E$2:$E$481,$A44),ScorerData!$E$2:$E$481,0)))</f>
        <v/>
      </c>
      <c r="C44" t="str">
        <f>IF($A44="","",INDEX(ScorerData!$B$2:$B$481,MATCH(LARGE(ScorerData!$E$2:$E$481,$A44),ScorerData!$E$2:$E$481,0)))</f>
        <v/>
      </c>
      <c r="D44" t="str">
        <f>IF($A44="","",INDEX(ScorerData!$D$2:$D$481,MATCH(LARGE(ScorerData!$E$2:$E$481,$A44),ScorerData!$E$2:$E$481,0)))</f>
        <v/>
      </c>
    </row>
    <row r="45" spans="1:4" x14ac:dyDescent="0.3">
      <c r="A45">
        <f>IFERROR(IF(INDEX(ScorerData!$D$2:$D$481,MATCH(LARGE(ScorerData!$E$2:$E$481,44),ScorerData!$E$2:$E$481,0))&gt;0,44,""),"")</f>
        <v>44</v>
      </c>
      <c r="B45" t="str">
        <f>IF($A45="","",INDEX(ScorerData!$A$2:$A$481,MATCH(LARGE(ScorerData!$E$2:$E$481,$A45),ScorerData!$E$2:$E$481,0)))</f>
        <v/>
      </c>
      <c r="C45" t="str">
        <f>IF($A45="","",INDEX(ScorerData!$B$2:$B$481,MATCH(LARGE(ScorerData!$E$2:$E$481,$A45),ScorerData!$E$2:$E$481,0)))</f>
        <v/>
      </c>
      <c r="D45" t="str">
        <f>IF($A45="","",INDEX(ScorerData!$D$2:$D$481,MATCH(LARGE(ScorerData!$E$2:$E$481,$A45),ScorerData!$E$2:$E$481,0)))</f>
        <v/>
      </c>
    </row>
    <row r="46" spans="1:4" x14ac:dyDescent="0.3">
      <c r="A46">
        <f>IFERROR(IF(INDEX(ScorerData!$D$2:$D$481,MATCH(LARGE(ScorerData!$E$2:$E$481,45),ScorerData!$E$2:$E$481,0))&gt;0,45,""),"")</f>
        <v>45</v>
      </c>
      <c r="B46" t="str">
        <f>IF($A46="","",INDEX(ScorerData!$A$2:$A$481,MATCH(LARGE(ScorerData!$E$2:$E$481,$A46),ScorerData!$E$2:$E$481,0)))</f>
        <v/>
      </c>
      <c r="C46" t="str">
        <f>IF($A46="","",INDEX(ScorerData!$B$2:$B$481,MATCH(LARGE(ScorerData!$E$2:$E$481,$A46),ScorerData!$E$2:$E$481,0)))</f>
        <v/>
      </c>
      <c r="D46" t="str">
        <f>IF($A46="","",INDEX(ScorerData!$D$2:$D$481,MATCH(LARGE(ScorerData!$E$2:$E$481,$A46),ScorerData!$E$2:$E$481,0)))</f>
        <v/>
      </c>
    </row>
    <row r="47" spans="1:4" x14ac:dyDescent="0.3">
      <c r="A47">
        <f>IFERROR(IF(INDEX(ScorerData!$D$2:$D$481,MATCH(LARGE(ScorerData!$E$2:$E$481,46),ScorerData!$E$2:$E$481,0))&gt;0,46,""),"")</f>
        <v>46</v>
      </c>
      <c r="B47" t="str">
        <f>IF($A47="","",INDEX(ScorerData!$A$2:$A$481,MATCH(LARGE(ScorerData!$E$2:$E$481,$A47),ScorerData!$E$2:$E$481,0)))</f>
        <v/>
      </c>
      <c r="C47" t="str">
        <f>IF($A47="","",INDEX(ScorerData!$B$2:$B$481,MATCH(LARGE(ScorerData!$E$2:$E$481,$A47),ScorerData!$E$2:$E$481,0)))</f>
        <v/>
      </c>
      <c r="D47" t="str">
        <f>IF($A47="","",INDEX(ScorerData!$D$2:$D$481,MATCH(LARGE(ScorerData!$E$2:$E$481,$A47),ScorerData!$E$2:$E$481,0)))</f>
        <v/>
      </c>
    </row>
    <row r="48" spans="1:4" x14ac:dyDescent="0.3">
      <c r="A48">
        <f>IFERROR(IF(INDEX(ScorerData!$D$2:$D$481,MATCH(LARGE(ScorerData!$E$2:$E$481,47),ScorerData!$E$2:$E$481,0))&gt;0,47,""),"")</f>
        <v>47</v>
      </c>
      <c r="B48" t="str">
        <f>IF($A48="","",INDEX(ScorerData!$A$2:$A$481,MATCH(LARGE(ScorerData!$E$2:$E$481,$A48),ScorerData!$E$2:$E$481,0)))</f>
        <v/>
      </c>
      <c r="C48" t="str">
        <f>IF($A48="","",INDEX(ScorerData!$B$2:$B$481,MATCH(LARGE(ScorerData!$E$2:$E$481,$A48),ScorerData!$E$2:$E$481,0)))</f>
        <v/>
      </c>
      <c r="D48" t="str">
        <f>IF($A48="","",INDEX(ScorerData!$D$2:$D$481,MATCH(LARGE(ScorerData!$E$2:$E$481,$A48),ScorerData!$E$2:$E$481,0)))</f>
        <v/>
      </c>
    </row>
    <row r="49" spans="1:4" x14ac:dyDescent="0.3">
      <c r="A49">
        <f>IFERROR(IF(INDEX(ScorerData!$D$2:$D$481,MATCH(LARGE(ScorerData!$E$2:$E$481,48),ScorerData!$E$2:$E$481,0))&gt;0,48,""),"")</f>
        <v>48</v>
      </c>
      <c r="B49" t="str">
        <f>IF($A49="","",INDEX(ScorerData!$A$2:$A$481,MATCH(LARGE(ScorerData!$E$2:$E$481,$A49),ScorerData!$E$2:$E$481,0)))</f>
        <v/>
      </c>
      <c r="C49" t="str">
        <f>IF($A49="","",INDEX(ScorerData!$B$2:$B$481,MATCH(LARGE(ScorerData!$E$2:$E$481,$A49),ScorerData!$E$2:$E$481,0)))</f>
        <v/>
      </c>
      <c r="D49" t="str">
        <f>IF($A49="","",INDEX(ScorerData!$D$2:$D$481,MATCH(LARGE(ScorerData!$E$2:$E$481,$A49),ScorerData!$E$2:$E$481,0)))</f>
        <v/>
      </c>
    </row>
    <row r="50" spans="1:4" x14ac:dyDescent="0.3">
      <c r="A50">
        <f>IFERROR(IF(INDEX(ScorerData!$D$2:$D$481,MATCH(LARGE(ScorerData!$E$2:$E$481,49),ScorerData!$E$2:$E$481,0))&gt;0,49,""),"")</f>
        <v>49</v>
      </c>
      <c r="B50" t="str">
        <f>IF($A50="","",INDEX(ScorerData!$A$2:$A$481,MATCH(LARGE(ScorerData!$E$2:$E$481,$A50),ScorerData!$E$2:$E$481,0)))</f>
        <v/>
      </c>
      <c r="C50" t="str">
        <f>IF($A50="","",INDEX(ScorerData!$B$2:$B$481,MATCH(LARGE(ScorerData!$E$2:$E$481,$A50),ScorerData!$E$2:$E$481,0)))</f>
        <v/>
      </c>
      <c r="D50" t="str">
        <f>IF($A50="","",INDEX(ScorerData!$D$2:$D$481,MATCH(LARGE(ScorerData!$E$2:$E$481,$A50),ScorerData!$E$2:$E$481,0)))</f>
        <v/>
      </c>
    </row>
    <row r="51" spans="1:4" x14ac:dyDescent="0.3">
      <c r="A51">
        <f>IFERROR(IF(INDEX(ScorerData!$D$2:$D$481,MATCH(LARGE(ScorerData!$E$2:$E$481,50),ScorerData!$E$2:$E$481,0))&gt;0,50,""),"")</f>
        <v>50</v>
      </c>
      <c r="B51" t="str">
        <f>IF($A51="","",INDEX(ScorerData!$A$2:$A$481,MATCH(LARGE(ScorerData!$E$2:$E$481,$A51),ScorerData!$E$2:$E$481,0)))</f>
        <v/>
      </c>
      <c r="C51" t="str">
        <f>IF($A51="","",INDEX(ScorerData!$B$2:$B$481,MATCH(LARGE(ScorerData!$E$2:$E$481,$A51),ScorerData!$E$2:$E$481,0)))</f>
        <v/>
      </c>
      <c r="D51" t="str">
        <f>IF($A51="","",INDEX(ScorerData!$D$2:$D$481,MATCH(LARGE(ScorerData!$E$2:$E$481,$A51),ScorerData!$E$2:$E$481,0)))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>
      <selection activeCell="L1" sqref="L1:L1048576"/>
    </sheetView>
  </sheetViews>
  <sheetFormatPr defaultRowHeight="14.4" x14ac:dyDescent="0.3"/>
  <cols>
    <col min="1" max="1" width="14" customWidth="1"/>
    <col min="2" max="2" width="28" customWidth="1"/>
    <col min="3" max="13" width="14" customWidth="1"/>
  </cols>
  <sheetData>
    <row r="1" spans="1:26" x14ac:dyDescent="0.3">
      <c r="A1" s="5" t="s">
        <v>1</v>
      </c>
      <c r="B1" s="5" t="s">
        <v>293</v>
      </c>
      <c r="C1" s="5" t="s">
        <v>297</v>
      </c>
      <c r="D1" s="5" t="s">
        <v>298</v>
      </c>
      <c r="E1" s="5" t="s">
        <v>299</v>
      </c>
      <c r="F1" s="5" t="s">
        <v>300</v>
      </c>
      <c r="G1" s="5" t="s">
        <v>301</v>
      </c>
      <c r="H1" s="5" t="s">
        <v>302</v>
      </c>
      <c r="I1" s="5" t="s">
        <v>303</v>
      </c>
      <c r="J1" s="5" t="s">
        <v>304</v>
      </c>
      <c r="K1" s="5" t="s">
        <v>305</v>
      </c>
      <c r="L1" s="5" t="s">
        <v>306</v>
      </c>
      <c r="M1" s="5" t="s">
        <v>295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</v>
      </c>
      <c r="B2" t="s">
        <v>6</v>
      </c>
      <c r="C2">
        <f>COUNTIFS(Matches!$G$2:$G$25,$B2,Matches!$L$2:$L$25,"Complete")+COUNTIFS(Matches!$H$2:$H$25,$B2,Matches!$L$2:$L$25,"Complete")</f>
        <v>0</v>
      </c>
      <c r="D2">
        <f>COUNTIFS(Matches!$G$2:$G$25,$B2,Matches!$L$2:$L$25,"Complete",Matches!$M$2:$M$25,3)+COUNTIFS(Matches!$H$2:$H$25,$B2,Matches!$L$2:$L$25,"Complete",Matches!$N$2:$N$25,3)</f>
        <v>0</v>
      </c>
      <c r="E2">
        <f>COUNTIFS(Matches!$G$2:$G$25,$B2,Matches!$L$2:$L$25,"Complete",Matches!$M$2:$M$25,2)+COUNTIFS(Matches!$H$2:$H$25,$B2,Matches!$L$2:$L$25,"Complete",Matches!$N$2:$N$25,2)</f>
        <v>0</v>
      </c>
      <c r="F2">
        <f>COUNTIFS(Matches!$G$2:$G$25,$B2,Matches!$L$2:$L$25,"Complete",Matches!$M$2:$M$25,1)+COUNTIFS(Matches!$H$2:$H$25,$B2,Matches!$L$2:$L$25,"Complete",Matches!$N$2:$N$25,1)</f>
        <v>0</v>
      </c>
      <c r="G2">
        <f>COUNTIFS(Matches!$G$2:$G$25,$B2,Matches!$L$2:$L$25,"Complete",Matches!$M$2:$M$25,0)+COUNTIFS(Matches!$H$2:$H$25,$B2,Matches!$L$2:$L$25,"Complete",Matches!$N$2:$N$25,0)</f>
        <v>0</v>
      </c>
      <c r="H2">
        <f>SUMIFS(Matches!$I$2:$I$25,Matches!$G$2:$G$25,$B2,Matches!$L$2:$L$25,"Complete")+SUMIFS(Matches!$J$2:$J$25,Matches!$H$2:$H$25,$B2,Matches!$L$2:$L$25,"Complete")</f>
        <v>0</v>
      </c>
      <c r="I2">
        <f>SUMIFS(Matches!$J$2:$J$25,Matches!$G$2:$G$25,$B2,Matches!$L$2:$L$25,"Complete")+SUMIFS(Matches!$I$2:$I$25,Matches!$H$2:$H$25,$B2,Matches!$L$2:$L$25,"Complete")</f>
        <v>0</v>
      </c>
      <c r="J2">
        <f t="shared" ref="J2:J17" si="0">H2-I2</f>
        <v>0</v>
      </c>
      <c r="K2">
        <f>SUMIFS(Matches!$M$2:$M$25,Matches!$G$2:$G$25,$B2,Matches!$L$2:$L$25,"Complete")+SUMIFS(Matches!$N$2:$N$25,Matches!$H$2:$H$25,$B2,Matches!$L$2:$L$25,"Complete")</f>
        <v>0</v>
      </c>
      <c r="L2" s="2">
        <v>0</v>
      </c>
      <c r="M2">
        <f t="shared" ref="M2:M17" si="1">K2*1000000+L2*10000+J2*100+H2-ROW()/1000</f>
        <v>-2E-3</v>
      </c>
    </row>
    <row r="3" spans="1:26" x14ac:dyDescent="0.3">
      <c r="A3" t="s">
        <v>5</v>
      </c>
      <c r="B3" t="s">
        <v>8</v>
      </c>
      <c r="C3">
        <f>COUNTIFS(Matches!$G$2:$G$25,$B3,Matches!$L$2:$L$25,"Complete")+COUNTIFS(Matches!$H$2:$H$25,$B3,Matches!$L$2:$L$25,"Complete")</f>
        <v>0</v>
      </c>
      <c r="D3">
        <f>COUNTIFS(Matches!$G$2:$G$25,$B3,Matches!$L$2:$L$25,"Complete",Matches!$M$2:$M$25,3)+COUNTIFS(Matches!$H$2:$H$25,$B3,Matches!$L$2:$L$25,"Complete",Matches!$N$2:$N$25,3)</f>
        <v>0</v>
      </c>
      <c r="E3">
        <f>COUNTIFS(Matches!$G$2:$G$25,$B3,Matches!$L$2:$L$25,"Complete",Matches!$M$2:$M$25,2)+COUNTIFS(Matches!$H$2:$H$25,$B3,Matches!$L$2:$L$25,"Complete",Matches!$N$2:$N$25,2)</f>
        <v>0</v>
      </c>
      <c r="F3">
        <f>COUNTIFS(Matches!$G$2:$G$25,$B3,Matches!$L$2:$L$25,"Complete",Matches!$M$2:$M$25,1)+COUNTIFS(Matches!$H$2:$H$25,$B3,Matches!$L$2:$L$25,"Complete",Matches!$N$2:$N$25,1)</f>
        <v>0</v>
      </c>
      <c r="G3">
        <f>COUNTIFS(Matches!$G$2:$G$25,$B3,Matches!$L$2:$L$25,"Complete",Matches!$M$2:$M$25,0)+COUNTIFS(Matches!$H$2:$H$25,$B3,Matches!$L$2:$L$25,"Complete",Matches!$N$2:$N$25,0)</f>
        <v>0</v>
      </c>
      <c r="H3">
        <f>SUMIFS(Matches!$I$2:$I$25,Matches!$G$2:$G$25,$B3,Matches!$L$2:$L$25,"Complete")+SUMIFS(Matches!$J$2:$J$25,Matches!$H$2:$H$25,$B3,Matches!$L$2:$L$25,"Complete")</f>
        <v>0</v>
      </c>
      <c r="I3">
        <f>SUMIFS(Matches!$J$2:$J$25,Matches!$G$2:$G$25,$B3,Matches!$L$2:$L$25,"Complete")+SUMIFS(Matches!$I$2:$I$25,Matches!$H$2:$H$25,$B3,Matches!$L$2:$L$25,"Complete")</f>
        <v>0</v>
      </c>
      <c r="J3">
        <f t="shared" si="0"/>
        <v>0</v>
      </c>
      <c r="K3">
        <f>SUMIFS(Matches!$M$2:$M$25,Matches!$G$2:$G$25,$B3,Matches!$L$2:$L$25,"Complete")+SUMIFS(Matches!$N$2:$N$25,Matches!$H$2:$H$25,$B3,Matches!$L$2:$L$25,"Complete")</f>
        <v>0</v>
      </c>
      <c r="L3" s="2">
        <f>0</f>
        <v>0</v>
      </c>
      <c r="M3">
        <f t="shared" si="1"/>
        <v>-3.0000000000000001E-3</v>
      </c>
    </row>
    <row r="4" spans="1:26" x14ac:dyDescent="0.3">
      <c r="A4" t="s">
        <v>5</v>
      </c>
      <c r="B4" t="s">
        <v>10</v>
      </c>
      <c r="C4">
        <f>COUNTIFS(Matches!$G$2:$G$25,$B4,Matches!$L$2:$L$25,"Complete")+COUNTIFS(Matches!$H$2:$H$25,$B4,Matches!$L$2:$L$25,"Complete")</f>
        <v>0</v>
      </c>
      <c r="D4">
        <f>COUNTIFS(Matches!$G$2:$G$25,$B4,Matches!$L$2:$L$25,"Complete",Matches!$M$2:$M$25,3)+COUNTIFS(Matches!$H$2:$H$25,$B4,Matches!$L$2:$L$25,"Complete",Matches!$N$2:$N$25,3)</f>
        <v>0</v>
      </c>
      <c r="E4">
        <f>COUNTIFS(Matches!$G$2:$G$25,$B4,Matches!$L$2:$L$25,"Complete",Matches!$M$2:$M$25,2)+COUNTIFS(Matches!$H$2:$H$25,$B4,Matches!$L$2:$L$25,"Complete",Matches!$N$2:$N$25,2)</f>
        <v>0</v>
      </c>
      <c r="F4">
        <f>COUNTIFS(Matches!$G$2:$G$25,$B4,Matches!$L$2:$L$25,"Complete",Matches!$M$2:$M$25,1)+COUNTIFS(Matches!$H$2:$H$25,$B4,Matches!$L$2:$L$25,"Complete",Matches!$N$2:$N$25,1)</f>
        <v>0</v>
      </c>
      <c r="G4">
        <f>COUNTIFS(Matches!$G$2:$G$25,$B4,Matches!$L$2:$L$25,"Complete",Matches!$M$2:$M$25,0)+COUNTIFS(Matches!$H$2:$H$25,$B4,Matches!$L$2:$L$25,"Complete",Matches!$N$2:$N$25,0)</f>
        <v>0</v>
      </c>
      <c r="H4">
        <f>SUMIFS(Matches!$I$2:$I$25,Matches!$G$2:$G$25,$B4,Matches!$L$2:$L$25,"Complete")+SUMIFS(Matches!$J$2:$J$25,Matches!$H$2:$H$25,$B4,Matches!$L$2:$L$25,"Complete")</f>
        <v>0</v>
      </c>
      <c r="I4">
        <f>SUMIFS(Matches!$J$2:$J$25,Matches!$G$2:$G$25,$B4,Matches!$L$2:$L$25,"Complete")+SUMIFS(Matches!$I$2:$I$25,Matches!$H$2:$H$25,$B4,Matches!$L$2:$L$25,"Complete")</f>
        <v>0</v>
      </c>
      <c r="J4">
        <f t="shared" si="0"/>
        <v>0</v>
      </c>
      <c r="K4">
        <f>SUMIFS(Matches!$M$2:$M$25,Matches!$G$2:$G$25,$B4,Matches!$L$2:$L$25,"Complete")+SUMIFS(Matches!$N$2:$N$25,Matches!$H$2:$H$25,$B4,Matches!$L$2:$L$25,"Complete")</f>
        <v>0</v>
      </c>
      <c r="L4" s="2">
        <f>0</f>
        <v>0</v>
      </c>
      <c r="M4">
        <f t="shared" si="1"/>
        <v>-4.0000000000000001E-3</v>
      </c>
    </row>
    <row r="5" spans="1:26" x14ac:dyDescent="0.3">
      <c r="A5" t="s">
        <v>5</v>
      </c>
      <c r="B5" t="s">
        <v>12</v>
      </c>
      <c r="C5">
        <f>COUNTIFS(Matches!$G$2:$G$25,$B5,Matches!$L$2:$L$25,"Complete")+COUNTIFS(Matches!$H$2:$H$25,$B5,Matches!$L$2:$L$25,"Complete")</f>
        <v>0</v>
      </c>
      <c r="D5">
        <f>COUNTIFS(Matches!$G$2:$G$25,$B5,Matches!$L$2:$L$25,"Complete",Matches!$M$2:$M$25,3)+COUNTIFS(Matches!$H$2:$H$25,$B5,Matches!$L$2:$L$25,"Complete",Matches!$N$2:$N$25,3)</f>
        <v>0</v>
      </c>
      <c r="E5">
        <f>COUNTIFS(Matches!$G$2:$G$25,$B5,Matches!$L$2:$L$25,"Complete",Matches!$M$2:$M$25,2)+COUNTIFS(Matches!$H$2:$H$25,$B5,Matches!$L$2:$L$25,"Complete",Matches!$N$2:$N$25,2)</f>
        <v>0</v>
      </c>
      <c r="F5">
        <f>COUNTIFS(Matches!$G$2:$G$25,$B5,Matches!$L$2:$L$25,"Complete",Matches!$M$2:$M$25,1)+COUNTIFS(Matches!$H$2:$H$25,$B5,Matches!$L$2:$L$25,"Complete",Matches!$N$2:$N$25,1)</f>
        <v>0</v>
      </c>
      <c r="G5">
        <f>COUNTIFS(Matches!$G$2:$G$25,$B5,Matches!$L$2:$L$25,"Complete",Matches!$M$2:$M$25,0)+COUNTIFS(Matches!$H$2:$H$25,$B5,Matches!$L$2:$L$25,"Complete",Matches!$N$2:$N$25,0)</f>
        <v>0</v>
      </c>
      <c r="H5">
        <f>SUMIFS(Matches!$I$2:$I$25,Matches!$G$2:$G$25,$B5,Matches!$L$2:$L$25,"Complete")+SUMIFS(Matches!$J$2:$J$25,Matches!$H$2:$H$25,$B5,Matches!$L$2:$L$25,"Complete")</f>
        <v>0</v>
      </c>
      <c r="I5">
        <f>SUMIFS(Matches!$J$2:$J$25,Matches!$G$2:$G$25,$B5,Matches!$L$2:$L$25,"Complete")+SUMIFS(Matches!$I$2:$I$25,Matches!$H$2:$H$25,$B5,Matches!$L$2:$L$25,"Complete")</f>
        <v>0</v>
      </c>
      <c r="J5">
        <f t="shared" si="0"/>
        <v>0</v>
      </c>
      <c r="K5">
        <f>SUMIFS(Matches!$M$2:$M$25,Matches!$G$2:$G$25,$B5,Matches!$L$2:$L$25,"Complete")+SUMIFS(Matches!$N$2:$N$25,Matches!$H$2:$H$25,$B5,Matches!$L$2:$L$25,"Complete")</f>
        <v>0</v>
      </c>
      <c r="L5" s="2">
        <f>0</f>
        <v>0</v>
      </c>
      <c r="M5">
        <f t="shared" si="1"/>
        <v>-5.0000000000000001E-3</v>
      </c>
    </row>
    <row r="6" spans="1:26" x14ac:dyDescent="0.3">
      <c r="A6" t="s">
        <v>14</v>
      </c>
      <c r="B6" t="s">
        <v>15</v>
      </c>
      <c r="C6">
        <f>COUNTIFS(Matches!$G$2:$G$25,$B6,Matches!$L$2:$L$25,"Complete")+COUNTIFS(Matches!$H$2:$H$25,$B6,Matches!$L$2:$L$25,"Complete")</f>
        <v>1</v>
      </c>
      <c r="D6">
        <f>COUNTIFS(Matches!$G$2:$G$25,$B6,Matches!$L$2:$L$25,"Complete",Matches!$M$2:$M$25,3)+COUNTIFS(Matches!$H$2:$H$25,$B6,Matches!$L$2:$L$25,"Complete",Matches!$N$2:$N$25,3)</f>
        <v>0</v>
      </c>
      <c r="E6">
        <f>COUNTIFS(Matches!$G$2:$G$25,$B6,Matches!$L$2:$L$25,"Complete",Matches!$M$2:$M$25,2)+COUNTIFS(Matches!$H$2:$H$25,$B6,Matches!$L$2:$L$25,"Complete",Matches!$N$2:$N$25,2)</f>
        <v>0</v>
      </c>
      <c r="F6">
        <f>COUNTIFS(Matches!$G$2:$G$25,$B6,Matches!$L$2:$L$25,"Complete",Matches!$M$2:$M$25,1)+COUNTIFS(Matches!$H$2:$H$25,$B6,Matches!$L$2:$L$25,"Complete",Matches!$N$2:$N$25,1)</f>
        <v>0</v>
      </c>
      <c r="G6">
        <f>COUNTIFS(Matches!$G$2:$G$25,$B6,Matches!$L$2:$L$25,"Complete",Matches!$M$2:$M$25,0)+COUNTIFS(Matches!$H$2:$H$25,$B6,Matches!$L$2:$L$25,"Complete",Matches!$N$2:$N$25,0)</f>
        <v>1</v>
      </c>
      <c r="H6">
        <f>SUMIFS(Matches!$I$2:$I$25,Matches!$G$2:$G$25,$B6,Matches!$L$2:$L$25,"Complete")+SUMIFS(Matches!$J$2:$J$25,Matches!$H$2:$H$25,$B6,Matches!$L$2:$L$25,"Complete")</f>
        <v>0</v>
      </c>
      <c r="I6">
        <f>SUMIFS(Matches!$J$2:$J$25,Matches!$G$2:$G$25,$B6,Matches!$L$2:$L$25,"Complete")+SUMIFS(Matches!$I$2:$I$25,Matches!$H$2:$H$25,$B6,Matches!$L$2:$L$25,"Complete")</f>
        <v>10</v>
      </c>
      <c r="J6">
        <f t="shared" si="0"/>
        <v>-10</v>
      </c>
      <c r="K6">
        <f>SUMIFS(Matches!$M$2:$M$25,Matches!$G$2:$G$25,$B6,Matches!$L$2:$L$25,"Complete")+SUMIFS(Matches!$N$2:$N$25,Matches!$H$2:$H$25,$B6,Matches!$L$2:$L$25,"Complete")</f>
        <v>0</v>
      </c>
      <c r="L6" s="2">
        <f>0</f>
        <v>0</v>
      </c>
      <c r="M6">
        <f t="shared" si="1"/>
        <v>-1000.006</v>
      </c>
    </row>
    <row r="7" spans="1:26" x14ac:dyDescent="0.3">
      <c r="A7" t="s">
        <v>14</v>
      </c>
      <c r="B7" t="s">
        <v>17</v>
      </c>
      <c r="C7">
        <f>COUNTIFS(Matches!$G$2:$G$25,$B7,Matches!$L$2:$L$25,"Complete")+COUNTIFS(Matches!$H$2:$H$25,$B7,Matches!$L$2:$L$25,"Complete")</f>
        <v>1</v>
      </c>
      <c r="D7">
        <f>COUNTIFS(Matches!$G$2:$G$25,$B7,Matches!$L$2:$L$25,"Complete",Matches!$M$2:$M$25,3)+COUNTIFS(Matches!$H$2:$H$25,$B7,Matches!$L$2:$L$25,"Complete",Matches!$N$2:$N$25,3)</f>
        <v>1</v>
      </c>
      <c r="E7">
        <f>COUNTIFS(Matches!$G$2:$G$25,$B7,Matches!$L$2:$L$25,"Complete",Matches!$M$2:$M$25,2)+COUNTIFS(Matches!$H$2:$H$25,$B7,Matches!$L$2:$L$25,"Complete",Matches!$N$2:$N$25,2)</f>
        <v>0</v>
      </c>
      <c r="F7">
        <f>COUNTIFS(Matches!$G$2:$G$25,$B7,Matches!$L$2:$L$25,"Complete",Matches!$M$2:$M$25,1)+COUNTIFS(Matches!$H$2:$H$25,$B7,Matches!$L$2:$L$25,"Complete",Matches!$N$2:$N$25,1)</f>
        <v>0</v>
      </c>
      <c r="G7">
        <f>COUNTIFS(Matches!$G$2:$G$25,$B7,Matches!$L$2:$L$25,"Complete",Matches!$M$2:$M$25,0)+COUNTIFS(Matches!$H$2:$H$25,$B7,Matches!$L$2:$L$25,"Complete",Matches!$N$2:$N$25,0)</f>
        <v>0</v>
      </c>
      <c r="H7">
        <f>SUMIFS(Matches!$I$2:$I$25,Matches!$G$2:$G$25,$B7,Matches!$L$2:$L$25,"Complete")+SUMIFS(Matches!$J$2:$J$25,Matches!$H$2:$H$25,$B7,Matches!$L$2:$L$25,"Complete")</f>
        <v>10</v>
      </c>
      <c r="I7">
        <f>SUMIFS(Matches!$J$2:$J$25,Matches!$G$2:$G$25,$B7,Matches!$L$2:$L$25,"Complete")+SUMIFS(Matches!$I$2:$I$25,Matches!$H$2:$H$25,$B7,Matches!$L$2:$L$25,"Complete")</f>
        <v>0</v>
      </c>
      <c r="J7">
        <f t="shared" si="0"/>
        <v>10</v>
      </c>
      <c r="K7">
        <f>SUMIFS(Matches!$M$2:$M$25,Matches!$G$2:$G$25,$B7,Matches!$L$2:$L$25,"Complete")+SUMIFS(Matches!$N$2:$N$25,Matches!$H$2:$H$25,$B7,Matches!$L$2:$L$25,"Complete")</f>
        <v>3</v>
      </c>
      <c r="L7" s="2">
        <f>0</f>
        <v>0</v>
      </c>
      <c r="M7">
        <f t="shared" si="1"/>
        <v>3001009.9929999998</v>
      </c>
    </row>
    <row r="8" spans="1:26" x14ac:dyDescent="0.3">
      <c r="A8" t="s">
        <v>14</v>
      </c>
      <c r="B8" t="s">
        <v>19</v>
      </c>
      <c r="C8">
        <f>COUNTIFS(Matches!$G$2:$G$25,$B8,Matches!$L$2:$L$25,"Complete")+COUNTIFS(Matches!$H$2:$H$25,$B8,Matches!$L$2:$L$25,"Complete")</f>
        <v>1</v>
      </c>
      <c r="D8">
        <f>COUNTIFS(Matches!$G$2:$G$25,$B8,Matches!$L$2:$L$25,"Complete",Matches!$M$2:$M$25,3)+COUNTIFS(Matches!$H$2:$H$25,$B8,Matches!$L$2:$L$25,"Complete",Matches!$N$2:$N$25,3)</f>
        <v>1</v>
      </c>
      <c r="E8">
        <f>COUNTIFS(Matches!$G$2:$G$25,$B8,Matches!$L$2:$L$25,"Complete",Matches!$M$2:$M$25,2)+COUNTIFS(Matches!$H$2:$H$25,$B8,Matches!$L$2:$L$25,"Complete",Matches!$N$2:$N$25,2)</f>
        <v>0</v>
      </c>
      <c r="F8">
        <f>COUNTIFS(Matches!$G$2:$G$25,$B8,Matches!$L$2:$L$25,"Complete",Matches!$M$2:$M$25,1)+COUNTIFS(Matches!$H$2:$H$25,$B8,Matches!$L$2:$L$25,"Complete",Matches!$N$2:$N$25,1)</f>
        <v>0</v>
      </c>
      <c r="G8">
        <f>COUNTIFS(Matches!$G$2:$G$25,$B8,Matches!$L$2:$L$25,"Complete",Matches!$M$2:$M$25,0)+COUNTIFS(Matches!$H$2:$H$25,$B8,Matches!$L$2:$L$25,"Complete",Matches!$N$2:$N$25,0)</f>
        <v>0</v>
      </c>
      <c r="H8">
        <f>SUMIFS(Matches!$I$2:$I$25,Matches!$G$2:$G$25,$B8,Matches!$L$2:$L$25,"Complete")+SUMIFS(Matches!$J$2:$J$25,Matches!$H$2:$H$25,$B8,Matches!$L$2:$L$25,"Complete")</f>
        <v>5</v>
      </c>
      <c r="I8">
        <f>SUMIFS(Matches!$J$2:$J$25,Matches!$G$2:$G$25,$B8,Matches!$L$2:$L$25,"Complete")+SUMIFS(Matches!$I$2:$I$25,Matches!$H$2:$H$25,$B8,Matches!$L$2:$L$25,"Complete")</f>
        <v>0</v>
      </c>
      <c r="J8">
        <f t="shared" si="0"/>
        <v>5</v>
      </c>
      <c r="K8">
        <f>SUMIFS(Matches!$M$2:$M$25,Matches!$G$2:$G$25,$B8,Matches!$L$2:$L$25,"Complete")+SUMIFS(Matches!$N$2:$N$25,Matches!$H$2:$H$25,$B8,Matches!$L$2:$L$25,"Complete")</f>
        <v>3</v>
      </c>
      <c r="L8" s="2">
        <f>0</f>
        <v>0</v>
      </c>
      <c r="M8">
        <f t="shared" si="1"/>
        <v>3000504.9920000001</v>
      </c>
    </row>
    <row r="9" spans="1:26" x14ac:dyDescent="0.3">
      <c r="A9" t="s">
        <v>14</v>
      </c>
      <c r="B9" t="s">
        <v>21</v>
      </c>
      <c r="C9">
        <f>COUNTIFS(Matches!$G$2:$G$25,$B9,Matches!$L$2:$L$25,"Complete")+COUNTIFS(Matches!$H$2:$H$25,$B9,Matches!$L$2:$L$25,"Complete")</f>
        <v>1</v>
      </c>
      <c r="D9">
        <f>COUNTIFS(Matches!$G$2:$G$25,$B9,Matches!$L$2:$L$25,"Complete",Matches!$M$2:$M$25,3)+COUNTIFS(Matches!$H$2:$H$25,$B9,Matches!$L$2:$L$25,"Complete",Matches!$N$2:$N$25,3)</f>
        <v>0</v>
      </c>
      <c r="E9">
        <f>COUNTIFS(Matches!$G$2:$G$25,$B9,Matches!$L$2:$L$25,"Complete",Matches!$M$2:$M$25,2)+COUNTIFS(Matches!$H$2:$H$25,$B9,Matches!$L$2:$L$25,"Complete",Matches!$N$2:$N$25,2)</f>
        <v>0</v>
      </c>
      <c r="F9">
        <f>COUNTIFS(Matches!$G$2:$G$25,$B9,Matches!$L$2:$L$25,"Complete",Matches!$M$2:$M$25,1)+COUNTIFS(Matches!$H$2:$H$25,$B9,Matches!$L$2:$L$25,"Complete",Matches!$N$2:$N$25,1)</f>
        <v>0</v>
      </c>
      <c r="G9">
        <f>COUNTIFS(Matches!$G$2:$G$25,$B9,Matches!$L$2:$L$25,"Complete",Matches!$M$2:$M$25,0)+COUNTIFS(Matches!$H$2:$H$25,$B9,Matches!$L$2:$L$25,"Complete",Matches!$N$2:$N$25,0)</f>
        <v>1</v>
      </c>
      <c r="H9">
        <f>SUMIFS(Matches!$I$2:$I$25,Matches!$G$2:$G$25,$B9,Matches!$L$2:$L$25,"Complete")+SUMIFS(Matches!$J$2:$J$25,Matches!$H$2:$H$25,$B9,Matches!$L$2:$L$25,"Complete")</f>
        <v>0</v>
      </c>
      <c r="I9">
        <f>SUMIFS(Matches!$J$2:$J$25,Matches!$G$2:$G$25,$B9,Matches!$L$2:$L$25,"Complete")+SUMIFS(Matches!$I$2:$I$25,Matches!$H$2:$H$25,$B9,Matches!$L$2:$L$25,"Complete")</f>
        <v>5</v>
      </c>
      <c r="J9">
        <f t="shared" si="0"/>
        <v>-5</v>
      </c>
      <c r="K9">
        <f>SUMIFS(Matches!$M$2:$M$25,Matches!$G$2:$G$25,$B9,Matches!$L$2:$L$25,"Complete")+SUMIFS(Matches!$N$2:$N$25,Matches!$H$2:$H$25,$B9,Matches!$L$2:$L$25,"Complete")</f>
        <v>0</v>
      </c>
      <c r="L9" s="2">
        <f>0</f>
        <v>0</v>
      </c>
      <c r="M9">
        <f t="shared" si="1"/>
        <v>-500.00900000000001</v>
      </c>
    </row>
    <row r="10" spans="1:26" x14ac:dyDescent="0.3">
      <c r="A10" t="s">
        <v>23</v>
      </c>
      <c r="B10" t="s">
        <v>24</v>
      </c>
      <c r="C10">
        <f>COUNTIFS(Matches!$G$2:$G$25,$B10,Matches!$L$2:$L$25,"Complete")+COUNTIFS(Matches!$H$2:$H$25,$B10,Matches!$L$2:$L$25,"Complete")</f>
        <v>1</v>
      </c>
      <c r="D10">
        <f>COUNTIFS(Matches!$G$2:$G$25,$B10,Matches!$L$2:$L$25,"Complete",Matches!$M$2:$M$25,3)+COUNTIFS(Matches!$H$2:$H$25,$B10,Matches!$L$2:$L$25,"Complete",Matches!$N$2:$N$25,3)</f>
        <v>1</v>
      </c>
      <c r="E10">
        <f>COUNTIFS(Matches!$G$2:$G$25,$B10,Matches!$L$2:$L$25,"Complete",Matches!$M$2:$M$25,2)+COUNTIFS(Matches!$H$2:$H$25,$B10,Matches!$L$2:$L$25,"Complete",Matches!$N$2:$N$25,2)</f>
        <v>0</v>
      </c>
      <c r="F10">
        <f>COUNTIFS(Matches!$G$2:$G$25,$B10,Matches!$L$2:$L$25,"Complete",Matches!$M$2:$M$25,1)+COUNTIFS(Matches!$H$2:$H$25,$B10,Matches!$L$2:$L$25,"Complete",Matches!$N$2:$N$25,1)</f>
        <v>0</v>
      </c>
      <c r="G10">
        <f>COUNTIFS(Matches!$G$2:$G$25,$B10,Matches!$L$2:$L$25,"Complete",Matches!$M$2:$M$25,0)+COUNTIFS(Matches!$H$2:$H$25,$B10,Matches!$L$2:$L$25,"Complete",Matches!$N$2:$N$25,0)</f>
        <v>0</v>
      </c>
      <c r="H10">
        <f>SUMIFS(Matches!$I$2:$I$25,Matches!$G$2:$G$25,$B10,Matches!$L$2:$L$25,"Complete")+SUMIFS(Matches!$J$2:$J$25,Matches!$H$2:$H$25,$B10,Matches!$L$2:$L$25,"Complete")</f>
        <v>5</v>
      </c>
      <c r="I10">
        <f>SUMIFS(Matches!$J$2:$J$25,Matches!$G$2:$G$25,$B10,Matches!$L$2:$L$25,"Complete")+SUMIFS(Matches!$I$2:$I$25,Matches!$H$2:$H$25,$B10,Matches!$L$2:$L$25,"Complete")</f>
        <v>0</v>
      </c>
      <c r="J10">
        <f t="shared" si="0"/>
        <v>5</v>
      </c>
      <c r="K10">
        <f>SUMIFS(Matches!$M$2:$M$25,Matches!$G$2:$G$25,$B10,Matches!$L$2:$L$25,"Complete")+SUMIFS(Matches!$N$2:$N$25,Matches!$H$2:$H$25,$B10,Matches!$L$2:$L$25,"Complete")</f>
        <v>3</v>
      </c>
      <c r="L10" s="2">
        <f>0</f>
        <v>0</v>
      </c>
      <c r="M10">
        <f t="shared" si="1"/>
        <v>3000504.99</v>
      </c>
    </row>
    <row r="11" spans="1:26" x14ac:dyDescent="0.3">
      <c r="A11" t="s">
        <v>23</v>
      </c>
      <c r="B11" t="s">
        <v>26</v>
      </c>
      <c r="C11">
        <f>COUNTIFS(Matches!$G$2:$G$25,$B11,Matches!$L$2:$L$25,"Complete")+COUNTIFS(Matches!$H$2:$H$25,$B11,Matches!$L$2:$L$25,"Complete")</f>
        <v>1</v>
      </c>
      <c r="D11">
        <f>COUNTIFS(Matches!$G$2:$G$25,$B11,Matches!$L$2:$L$25,"Complete",Matches!$M$2:$M$25,3)+COUNTIFS(Matches!$H$2:$H$25,$B11,Matches!$L$2:$L$25,"Complete",Matches!$N$2:$N$25,3)</f>
        <v>0</v>
      </c>
      <c r="E11">
        <f>COUNTIFS(Matches!$G$2:$G$25,$B11,Matches!$L$2:$L$25,"Complete",Matches!$M$2:$M$25,2)+COUNTIFS(Matches!$H$2:$H$25,$B11,Matches!$L$2:$L$25,"Complete",Matches!$N$2:$N$25,2)</f>
        <v>0</v>
      </c>
      <c r="F11">
        <f>COUNTIFS(Matches!$G$2:$G$25,$B11,Matches!$L$2:$L$25,"Complete",Matches!$M$2:$M$25,1)+COUNTIFS(Matches!$H$2:$H$25,$B11,Matches!$L$2:$L$25,"Complete",Matches!$N$2:$N$25,1)</f>
        <v>0</v>
      </c>
      <c r="G11">
        <f>COUNTIFS(Matches!$G$2:$G$25,$B11,Matches!$L$2:$L$25,"Complete",Matches!$M$2:$M$25,0)+COUNTIFS(Matches!$H$2:$H$25,$B11,Matches!$L$2:$L$25,"Complete",Matches!$N$2:$N$25,0)</f>
        <v>1</v>
      </c>
      <c r="H11">
        <f>SUMIFS(Matches!$I$2:$I$25,Matches!$G$2:$G$25,$B11,Matches!$L$2:$L$25,"Complete")+SUMIFS(Matches!$J$2:$J$25,Matches!$H$2:$H$25,$B11,Matches!$L$2:$L$25,"Complete")</f>
        <v>0</v>
      </c>
      <c r="I11">
        <f>SUMIFS(Matches!$J$2:$J$25,Matches!$G$2:$G$25,$B11,Matches!$L$2:$L$25,"Complete")+SUMIFS(Matches!$I$2:$I$25,Matches!$H$2:$H$25,$B11,Matches!$L$2:$L$25,"Complete")</f>
        <v>5</v>
      </c>
      <c r="J11">
        <f t="shared" si="0"/>
        <v>-5</v>
      </c>
      <c r="K11">
        <f>SUMIFS(Matches!$M$2:$M$25,Matches!$G$2:$G$25,$B11,Matches!$L$2:$L$25,"Complete")+SUMIFS(Matches!$N$2:$N$25,Matches!$H$2:$H$25,$B11,Matches!$L$2:$L$25,"Complete")</f>
        <v>0</v>
      </c>
      <c r="L11" s="2">
        <f>0</f>
        <v>0</v>
      </c>
      <c r="M11">
        <f t="shared" si="1"/>
        <v>-500.01100000000002</v>
      </c>
    </row>
    <row r="12" spans="1:26" x14ac:dyDescent="0.3">
      <c r="A12" t="s">
        <v>23</v>
      </c>
      <c r="B12" t="s">
        <v>28</v>
      </c>
      <c r="C12">
        <f>COUNTIFS(Matches!$G$2:$G$25,$B12,Matches!$L$2:$L$25,"Complete")+COUNTIFS(Matches!$H$2:$H$25,$B12,Matches!$L$2:$L$25,"Complete")</f>
        <v>1</v>
      </c>
      <c r="D12">
        <f>COUNTIFS(Matches!$G$2:$G$25,$B12,Matches!$L$2:$L$25,"Complete",Matches!$M$2:$M$25,3)+COUNTIFS(Matches!$H$2:$H$25,$B12,Matches!$L$2:$L$25,"Complete",Matches!$N$2:$N$25,3)</f>
        <v>1</v>
      </c>
      <c r="E12">
        <f>COUNTIFS(Matches!$G$2:$G$25,$B12,Matches!$L$2:$L$25,"Complete",Matches!$M$2:$M$25,2)+COUNTIFS(Matches!$H$2:$H$25,$B12,Matches!$L$2:$L$25,"Complete",Matches!$N$2:$N$25,2)</f>
        <v>0</v>
      </c>
      <c r="F12">
        <f>COUNTIFS(Matches!$G$2:$G$25,$B12,Matches!$L$2:$L$25,"Complete",Matches!$M$2:$M$25,1)+COUNTIFS(Matches!$H$2:$H$25,$B12,Matches!$L$2:$L$25,"Complete",Matches!$N$2:$N$25,1)</f>
        <v>0</v>
      </c>
      <c r="G12">
        <f>COUNTIFS(Matches!$G$2:$G$25,$B12,Matches!$L$2:$L$25,"Complete",Matches!$M$2:$M$25,0)+COUNTIFS(Matches!$H$2:$H$25,$B12,Matches!$L$2:$L$25,"Complete",Matches!$N$2:$N$25,0)</f>
        <v>0</v>
      </c>
      <c r="H12">
        <f>SUMIFS(Matches!$I$2:$I$25,Matches!$G$2:$G$25,$B12,Matches!$L$2:$L$25,"Complete")+SUMIFS(Matches!$J$2:$J$25,Matches!$H$2:$H$25,$B12,Matches!$L$2:$L$25,"Complete")</f>
        <v>2</v>
      </c>
      <c r="I12">
        <f>SUMIFS(Matches!$J$2:$J$25,Matches!$G$2:$G$25,$B12,Matches!$L$2:$L$25,"Complete")+SUMIFS(Matches!$I$2:$I$25,Matches!$H$2:$H$25,$B12,Matches!$L$2:$L$25,"Complete")</f>
        <v>0</v>
      </c>
      <c r="J12">
        <f t="shared" si="0"/>
        <v>2</v>
      </c>
      <c r="K12">
        <f>SUMIFS(Matches!$M$2:$M$25,Matches!$G$2:$G$25,$B12,Matches!$L$2:$L$25,"Complete")+SUMIFS(Matches!$N$2:$N$25,Matches!$H$2:$H$25,$B12,Matches!$L$2:$L$25,"Complete")</f>
        <v>3</v>
      </c>
      <c r="L12" s="2">
        <f>0</f>
        <v>0</v>
      </c>
      <c r="M12">
        <f t="shared" si="1"/>
        <v>3000201.9879999999</v>
      </c>
    </row>
    <row r="13" spans="1:26" x14ac:dyDescent="0.3">
      <c r="A13" t="s">
        <v>23</v>
      </c>
      <c r="B13" t="s">
        <v>30</v>
      </c>
      <c r="C13">
        <f>COUNTIFS(Matches!$G$2:$G$25,$B13,Matches!$L$2:$L$25,"Complete")+COUNTIFS(Matches!$H$2:$H$25,$B13,Matches!$L$2:$L$25,"Complete")</f>
        <v>1</v>
      </c>
      <c r="D13">
        <f>COUNTIFS(Matches!$G$2:$G$25,$B13,Matches!$L$2:$L$25,"Complete",Matches!$M$2:$M$25,3)+COUNTIFS(Matches!$H$2:$H$25,$B13,Matches!$L$2:$L$25,"Complete",Matches!$N$2:$N$25,3)</f>
        <v>0</v>
      </c>
      <c r="E13">
        <f>COUNTIFS(Matches!$G$2:$G$25,$B13,Matches!$L$2:$L$25,"Complete",Matches!$M$2:$M$25,2)+COUNTIFS(Matches!$H$2:$H$25,$B13,Matches!$L$2:$L$25,"Complete",Matches!$N$2:$N$25,2)</f>
        <v>0</v>
      </c>
      <c r="F13">
        <f>COUNTIFS(Matches!$G$2:$G$25,$B13,Matches!$L$2:$L$25,"Complete",Matches!$M$2:$M$25,1)+COUNTIFS(Matches!$H$2:$H$25,$B13,Matches!$L$2:$L$25,"Complete",Matches!$N$2:$N$25,1)</f>
        <v>0</v>
      </c>
      <c r="G13">
        <f>COUNTIFS(Matches!$G$2:$G$25,$B13,Matches!$L$2:$L$25,"Complete",Matches!$M$2:$M$25,0)+COUNTIFS(Matches!$H$2:$H$25,$B13,Matches!$L$2:$L$25,"Complete",Matches!$N$2:$N$25,0)</f>
        <v>1</v>
      </c>
      <c r="H13">
        <f>SUMIFS(Matches!$I$2:$I$25,Matches!$G$2:$G$25,$B13,Matches!$L$2:$L$25,"Complete")+SUMIFS(Matches!$J$2:$J$25,Matches!$H$2:$H$25,$B13,Matches!$L$2:$L$25,"Complete")</f>
        <v>0</v>
      </c>
      <c r="I13">
        <f>SUMIFS(Matches!$J$2:$J$25,Matches!$G$2:$G$25,$B13,Matches!$L$2:$L$25,"Complete")+SUMIFS(Matches!$I$2:$I$25,Matches!$H$2:$H$25,$B13,Matches!$L$2:$L$25,"Complete")</f>
        <v>2</v>
      </c>
      <c r="J13">
        <f t="shared" si="0"/>
        <v>-2</v>
      </c>
      <c r="K13">
        <f>SUMIFS(Matches!$M$2:$M$25,Matches!$G$2:$G$25,$B13,Matches!$L$2:$L$25,"Complete")+SUMIFS(Matches!$N$2:$N$25,Matches!$H$2:$H$25,$B13,Matches!$L$2:$L$25,"Complete")</f>
        <v>0</v>
      </c>
      <c r="L13" s="2">
        <f>0</f>
        <v>0</v>
      </c>
      <c r="M13">
        <f t="shared" si="1"/>
        <v>-200.01300000000001</v>
      </c>
    </row>
    <row r="14" spans="1:26" x14ac:dyDescent="0.3">
      <c r="A14" t="s">
        <v>32</v>
      </c>
      <c r="B14" t="s">
        <v>33</v>
      </c>
      <c r="C14">
        <f>COUNTIFS(Matches!$G$2:$G$25,$B14,Matches!$L$2:$L$25,"Complete")+COUNTIFS(Matches!$H$2:$H$25,$B14,Matches!$L$2:$L$25,"Complete")</f>
        <v>1</v>
      </c>
      <c r="D14">
        <f>COUNTIFS(Matches!$G$2:$G$25,$B14,Matches!$L$2:$L$25,"Complete",Matches!$M$2:$M$25,3)+COUNTIFS(Matches!$H$2:$H$25,$B14,Matches!$L$2:$L$25,"Complete",Matches!$N$2:$N$25,3)</f>
        <v>0</v>
      </c>
      <c r="E14">
        <f>COUNTIFS(Matches!$G$2:$G$25,$B14,Matches!$L$2:$L$25,"Complete",Matches!$M$2:$M$25,2)+COUNTIFS(Matches!$H$2:$H$25,$B14,Matches!$L$2:$L$25,"Complete",Matches!$N$2:$N$25,2)</f>
        <v>0</v>
      </c>
      <c r="F14">
        <f>COUNTIFS(Matches!$G$2:$G$25,$B14,Matches!$L$2:$L$25,"Complete",Matches!$M$2:$M$25,1)+COUNTIFS(Matches!$H$2:$H$25,$B14,Matches!$L$2:$L$25,"Complete",Matches!$N$2:$N$25,1)</f>
        <v>0</v>
      </c>
      <c r="G14">
        <f>COUNTIFS(Matches!$G$2:$G$25,$B14,Matches!$L$2:$L$25,"Complete",Matches!$M$2:$M$25,0)+COUNTIFS(Matches!$H$2:$H$25,$B14,Matches!$L$2:$L$25,"Complete",Matches!$N$2:$N$25,0)</f>
        <v>1</v>
      </c>
      <c r="H14">
        <f>SUMIFS(Matches!$I$2:$I$25,Matches!$G$2:$G$25,$B14,Matches!$L$2:$L$25,"Complete")+SUMIFS(Matches!$J$2:$J$25,Matches!$H$2:$H$25,$B14,Matches!$L$2:$L$25,"Complete")</f>
        <v>1</v>
      </c>
      <c r="I14">
        <f>SUMIFS(Matches!$J$2:$J$25,Matches!$G$2:$G$25,$B14,Matches!$L$2:$L$25,"Complete")+SUMIFS(Matches!$I$2:$I$25,Matches!$H$2:$H$25,$B14,Matches!$L$2:$L$25,"Complete")</f>
        <v>2</v>
      </c>
      <c r="J14">
        <f t="shared" si="0"/>
        <v>-1</v>
      </c>
      <c r="K14">
        <f>SUMIFS(Matches!$M$2:$M$25,Matches!$G$2:$G$25,$B14,Matches!$L$2:$L$25,"Complete")+SUMIFS(Matches!$N$2:$N$25,Matches!$H$2:$H$25,$B14,Matches!$L$2:$L$25,"Complete")</f>
        <v>0</v>
      </c>
      <c r="L14" s="2">
        <f>0</f>
        <v>0</v>
      </c>
      <c r="M14">
        <f t="shared" si="1"/>
        <v>-99.013999999999996</v>
      </c>
    </row>
    <row r="15" spans="1:26" x14ac:dyDescent="0.3">
      <c r="A15" t="s">
        <v>32</v>
      </c>
      <c r="B15" t="s">
        <v>35</v>
      </c>
      <c r="C15">
        <f>COUNTIFS(Matches!$G$2:$G$25,$B15,Matches!$L$2:$L$25,"Complete")+COUNTIFS(Matches!$H$2:$H$25,$B15,Matches!$L$2:$L$25,"Complete")</f>
        <v>1</v>
      </c>
      <c r="D15">
        <f>COUNTIFS(Matches!$G$2:$G$25,$B15,Matches!$L$2:$L$25,"Complete",Matches!$M$2:$M$25,3)+COUNTIFS(Matches!$H$2:$H$25,$B15,Matches!$L$2:$L$25,"Complete",Matches!$N$2:$N$25,3)</f>
        <v>1</v>
      </c>
      <c r="E15">
        <f>COUNTIFS(Matches!$G$2:$G$25,$B15,Matches!$L$2:$L$25,"Complete",Matches!$M$2:$M$25,2)+COUNTIFS(Matches!$H$2:$H$25,$B15,Matches!$L$2:$L$25,"Complete",Matches!$N$2:$N$25,2)</f>
        <v>0</v>
      </c>
      <c r="F15">
        <f>COUNTIFS(Matches!$G$2:$G$25,$B15,Matches!$L$2:$L$25,"Complete",Matches!$M$2:$M$25,1)+COUNTIFS(Matches!$H$2:$H$25,$B15,Matches!$L$2:$L$25,"Complete",Matches!$N$2:$N$25,1)</f>
        <v>0</v>
      </c>
      <c r="G15">
        <f>COUNTIFS(Matches!$G$2:$G$25,$B15,Matches!$L$2:$L$25,"Complete",Matches!$M$2:$M$25,0)+COUNTIFS(Matches!$H$2:$H$25,$B15,Matches!$L$2:$L$25,"Complete",Matches!$N$2:$N$25,0)</f>
        <v>0</v>
      </c>
      <c r="H15">
        <f>SUMIFS(Matches!$I$2:$I$25,Matches!$G$2:$G$25,$B15,Matches!$L$2:$L$25,"Complete")+SUMIFS(Matches!$J$2:$J$25,Matches!$H$2:$H$25,$B15,Matches!$L$2:$L$25,"Complete")</f>
        <v>2</v>
      </c>
      <c r="I15">
        <f>SUMIFS(Matches!$J$2:$J$25,Matches!$G$2:$G$25,$B15,Matches!$L$2:$L$25,"Complete")+SUMIFS(Matches!$I$2:$I$25,Matches!$H$2:$H$25,$B15,Matches!$L$2:$L$25,"Complete")</f>
        <v>1</v>
      </c>
      <c r="J15">
        <f t="shared" si="0"/>
        <v>1</v>
      </c>
      <c r="K15">
        <f>SUMIFS(Matches!$M$2:$M$25,Matches!$G$2:$G$25,$B15,Matches!$L$2:$L$25,"Complete")+SUMIFS(Matches!$N$2:$N$25,Matches!$H$2:$H$25,$B15,Matches!$L$2:$L$25,"Complete")</f>
        <v>3</v>
      </c>
      <c r="L15" s="2">
        <f>0</f>
        <v>0</v>
      </c>
      <c r="M15">
        <f t="shared" si="1"/>
        <v>3000101.9849999999</v>
      </c>
    </row>
    <row r="16" spans="1:26" x14ac:dyDescent="0.3">
      <c r="A16" t="s">
        <v>32</v>
      </c>
      <c r="B16" t="s">
        <v>37</v>
      </c>
      <c r="C16">
        <f>COUNTIFS(Matches!$G$2:$G$25,$B16,Matches!$L$2:$L$25,"Complete")+COUNTIFS(Matches!$H$2:$H$25,$B16,Matches!$L$2:$L$25,"Complete")</f>
        <v>1</v>
      </c>
      <c r="D16">
        <f>COUNTIFS(Matches!$G$2:$G$25,$B16,Matches!$L$2:$L$25,"Complete",Matches!$M$2:$M$25,3)+COUNTIFS(Matches!$H$2:$H$25,$B16,Matches!$L$2:$L$25,"Complete",Matches!$N$2:$N$25,3)</f>
        <v>0</v>
      </c>
      <c r="E16">
        <f>COUNTIFS(Matches!$G$2:$G$25,$B16,Matches!$L$2:$L$25,"Complete",Matches!$M$2:$M$25,2)+COUNTIFS(Matches!$H$2:$H$25,$B16,Matches!$L$2:$L$25,"Complete",Matches!$N$2:$N$25,2)</f>
        <v>0</v>
      </c>
      <c r="F16">
        <f>COUNTIFS(Matches!$G$2:$G$25,$B16,Matches!$L$2:$L$25,"Complete",Matches!$M$2:$M$25,1)+COUNTIFS(Matches!$H$2:$H$25,$B16,Matches!$L$2:$L$25,"Complete",Matches!$N$2:$N$25,1)</f>
        <v>0</v>
      </c>
      <c r="G16">
        <f>COUNTIFS(Matches!$G$2:$G$25,$B16,Matches!$L$2:$L$25,"Complete",Matches!$M$2:$M$25,0)+COUNTIFS(Matches!$H$2:$H$25,$B16,Matches!$L$2:$L$25,"Complete",Matches!$N$2:$N$25,0)</f>
        <v>1</v>
      </c>
      <c r="H16">
        <f>SUMIFS(Matches!$I$2:$I$25,Matches!$G$2:$G$25,$B16,Matches!$L$2:$L$25,"Complete")+SUMIFS(Matches!$J$2:$J$25,Matches!$H$2:$H$25,$B16,Matches!$L$2:$L$25,"Complete")</f>
        <v>0</v>
      </c>
      <c r="I16">
        <f>SUMIFS(Matches!$J$2:$J$25,Matches!$G$2:$G$25,$B16,Matches!$L$2:$L$25,"Complete")+SUMIFS(Matches!$I$2:$I$25,Matches!$H$2:$H$25,$B16,Matches!$L$2:$L$25,"Complete")</f>
        <v>1</v>
      </c>
      <c r="J16">
        <f t="shared" si="0"/>
        <v>-1</v>
      </c>
      <c r="K16">
        <f>SUMIFS(Matches!$M$2:$M$25,Matches!$G$2:$G$25,$B16,Matches!$L$2:$L$25,"Complete")+SUMIFS(Matches!$N$2:$N$25,Matches!$H$2:$H$25,$B16,Matches!$L$2:$L$25,"Complete")</f>
        <v>0</v>
      </c>
      <c r="L16" s="2">
        <f>0</f>
        <v>0</v>
      </c>
      <c r="M16">
        <f t="shared" si="1"/>
        <v>-100.01600000000001</v>
      </c>
    </row>
    <row r="17" spans="1:13" x14ac:dyDescent="0.3">
      <c r="A17" t="s">
        <v>32</v>
      </c>
      <c r="B17" t="s">
        <v>39</v>
      </c>
      <c r="C17">
        <f>COUNTIFS(Matches!$G$2:$G$25,$B17,Matches!$L$2:$L$25,"Complete")+COUNTIFS(Matches!$H$2:$H$25,$B17,Matches!$L$2:$L$25,"Complete")</f>
        <v>1</v>
      </c>
      <c r="D17">
        <f>COUNTIFS(Matches!$G$2:$G$25,$B17,Matches!$L$2:$L$25,"Complete",Matches!$M$2:$M$25,3)+COUNTIFS(Matches!$H$2:$H$25,$B17,Matches!$L$2:$L$25,"Complete",Matches!$N$2:$N$25,3)</f>
        <v>1</v>
      </c>
      <c r="E17">
        <f>COUNTIFS(Matches!$G$2:$G$25,$B17,Matches!$L$2:$L$25,"Complete",Matches!$M$2:$M$25,2)+COUNTIFS(Matches!$H$2:$H$25,$B17,Matches!$L$2:$L$25,"Complete",Matches!$N$2:$N$25,2)</f>
        <v>0</v>
      </c>
      <c r="F17">
        <f>COUNTIFS(Matches!$G$2:$G$25,$B17,Matches!$L$2:$L$25,"Complete",Matches!$M$2:$M$25,1)+COUNTIFS(Matches!$H$2:$H$25,$B17,Matches!$L$2:$L$25,"Complete",Matches!$N$2:$N$25,1)</f>
        <v>0</v>
      </c>
      <c r="G17">
        <f>COUNTIFS(Matches!$G$2:$G$25,$B17,Matches!$L$2:$L$25,"Complete",Matches!$M$2:$M$25,0)+COUNTIFS(Matches!$H$2:$H$25,$B17,Matches!$L$2:$L$25,"Complete",Matches!$N$2:$N$25,0)</f>
        <v>0</v>
      </c>
      <c r="H17">
        <f>SUMIFS(Matches!$I$2:$I$25,Matches!$G$2:$G$25,$B17,Matches!$L$2:$L$25,"Complete")+SUMIFS(Matches!$J$2:$J$25,Matches!$H$2:$H$25,$B17,Matches!$L$2:$L$25,"Complete")</f>
        <v>1</v>
      </c>
      <c r="I17">
        <f>SUMIFS(Matches!$J$2:$J$25,Matches!$G$2:$G$25,$B17,Matches!$L$2:$L$25,"Complete")+SUMIFS(Matches!$I$2:$I$25,Matches!$H$2:$H$25,$B17,Matches!$L$2:$L$25,"Complete")</f>
        <v>0</v>
      </c>
      <c r="J17">
        <f t="shared" si="0"/>
        <v>1</v>
      </c>
      <c r="K17">
        <f>SUMIFS(Matches!$M$2:$M$25,Matches!$G$2:$G$25,$B17,Matches!$L$2:$L$25,"Complete")+SUMIFS(Matches!$N$2:$N$25,Matches!$H$2:$H$25,$B17,Matches!$L$2:$L$25,"Complete")</f>
        <v>3</v>
      </c>
      <c r="L17" s="2">
        <f>0</f>
        <v>0</v>
      </c>
      <c r="M17">
        <f t="shared" si="1"/>
        <v>3000100.983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>
      <selection activeCell="C20" sqref="C20"/>
    </sheetView>
  </sheetViews>
  <sheetFormatPr defaultRowHeight="14.4" x14ac:dyDescent="0.3"/>
  <cols>
    <col min="1" max="2" width="12" customWidth="1"/>
    <col min="3" max="3" width="30" customWidth="1"/>
    <col min="4" max="12" width="12" customWidth="1"/>
  </cols>
  <sheetData>
    <row r="1" spans="1:26" x14ac:dyDescent="0.3">
      <c r="A1" s="5" t="s">
        <v>1</v>
      </c>
      <c r="B1" s="5" t="s">
        <v>296</v>
      </c>
      <c r="C1" s="5" t="s">
        <v>293</v>
      </c>
      <c r="D1" s="5" t="s">
        <v>307</v>
      </c>
      <c r="E1" s="5" t="s">
        <v>308</v>
      </c>
      <c r="F1" s="5" t="s">
        <v>309</v>
      </c>
      <c r="G1" s="5" t="s">
        <v>310</v>
      </c>
      <c r="H1" s="5" t="s">
        <v>311</v>
      </c>
      <c r="I1" s="5" t="s">
        <v>312</v>
      </c>
      <c r="J1" s="5" t="s">
        <v>302</v>
      </c>
      <c r="K1" s="5" t="s">
        <v>303</v>
      </c>
      <c r="L1" s="5" t="s">
        <v>304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</v>
      </c>
      <c r="B2">
        <v>1</v>
      </c>
      <c r="C2" t="str">
        <f>INDEX(StandingsData!$B$2:$B$5,MATCH(LARGE(StandingsData!$M$2:$M$5,1),StandingsData!$M$2:$M$5,0))</f>
        <v>Fatine FC</v>
      </c>
      <c r="D2">
        <f>INDEX(StandingsData!$K$2:$K$5,MATCH(LARGE(StandingsData!$M$2:$M$5,1),StandingsData!$M$2:$M$5,0))</f>
        <v>0</v>
      </c>
      <c r="E2">
        <f>INDEX(StandingsData!$C$2:$C$5,MATCH(LARGE(StandingsData!$M$2:$M$5,1),StandingsData!$M$2:$M$5,0))</f>
        <v>0</v>
      </c>
      <c r="F2">
        <f>INDEX(StandingsData!$D$2:$D$5,MATCH(LARGE(StandingsData!$M$2:$M$5,1),StandingsData!$M$2:$M$5,0))</f>
        <v>0</v>
      </c>
      <c r="G2">
        <f>INDEX(StandingsData!$E$2:$E$5,MATCH(LARGE(StandingsData!$M$2:$M$5,1),StandingsData!$M$2:$M$5,0))</f>
        <v>0</v>
      </c>
      <c r="H2">
        <f>INDEX(StandingsData!$F$2:$F$5,MATCH(LARGE(StandingsData!$M$2:$M$5,1),StandingsData!$M$2:$M$5,0))</f>
        <v>0</v>
      </c>
      <c r="I2">
        <f>INDEX(StandingsData!$G$2:$G$5,MATCH(LARGE(StandingsData!$M$2:$M$5,1),StandingsData!$M$2:$M$5,0))</f>
        <v>0</v>
      </c>
      <c r="J2">
        <f>INDEX(StandingsData!$H$2:$H$5,MATCH(LARGE(StandingsData!$M$2:$M$5,1),StandingsData!$M$2:$M$5,0))</f>
        <v>0</v>
      </c>
      <c r="K2">
        <f>INDEX(StandingsData!$I$2:$I$5,MATCH(LARGE(StandingsData!$M$2:$M$5,1),StandingsData!$M$2:$M$5,0))</f>
        <v>0</v>
      </c>
      <c r="L2">
        <f>INDEX(StandingsData!$J$2:$J$5,MATCH(LARGE(StandingsData!$M$2:$M$5,1),StandingsData!$M$2:$M$5,0))</f>
        <v>0</v>
      </c>
    </row>
    <row r="3" spans="1:26" x14ac:dyDescent="0.3">
      <c r="A3" t="s">
        <v>5</v>
      </c>
      <c r="B3">
        <v>2</v>
      </c>
      <c r="C3" t="str">
        <f>INDEX(StandingsData!$B$2:$B$5,MATCH(LARGE(StandingsData!$M$2:$M$5,2),StandingsData!$M$2:$M$5,0))</f>
        <v>FC Internazionale Rovigo</v>
      </c>
      <c r="D3">
        <f>INDEX(StandingsData!$K$2:$K$5,MATCH(LARGE(StandingsData!$M$2:$M$5,2),StandingsData!$M$2:$M$5,0))</f>
        <v>0</v>
      </c>
      <c r="E3">
        <f>INDEX(StandingsData!$C$2:$C$5,MATCH(LARGE(StandingsData!$M$2:$M$5,2),StandingsData!$M$2:$M$5,0))</f>
        <v>0</v>
      </c>
      <c r="F3">
        <f>INDEX(StandingsData!$D$2:$D$5,MATCH(LARGE(StandingsData!$M$2:$M$5,2),StandingsData!$M$2:$M$5,0))</f>
        <v>0</v>
      </c>
      <c r="G3">
        <f>INDEX(StandingsData!$E$2:$E$5,MATCH(LARGE(StandingsData!$M$2:$M$5,2),StandingsData!$M$2:$M$5,0))</f>
        <v>0</v>
      </c>
      <c r="H3">
        <f>INDEX(StandingsData!$F$2:$F$5,MATCH(LARGE(StandingsData!$M$2:$M$5,2),StandingsData!$M$2:$M$5,0))</f>
        <v>0</v>
      </c>
      <c r="I3">
        <f>INDEX(StandingsData!$G$2:$G$5,MATCH(LARGE(StandingsData!$M$2:$M$5,2),StandingsData!$M$2:$M$5,0))</f>
        <v>0</v>
      </c>
      <c r="J3">
        <f>INDEX(StandingsData!$H$2:$H$5,MATCH(LARGE(StandingsData!$M$2:$M$5,2),StandingsData!$M$2:$M$5,0))</f>
        <v>0</v>
      </c>
      <c r="K3">
        <f>INDEX(StandingsData!$I$2:$I$5,MATCH(LARGE(StandingsData!$M$2:$M$5,2),StandingsData!$M$2:$M$5,0))</f>
        <v>0</v>
      </c>
      <c r="L3">
        <f>INDEX(StandingsData!$J$2:$J$5,MATCH(LARGE(StandingsData!$M$2:$M$5,2),StandingsData!$M$2:$M$5,0))</f>
        <v>0</v>
      </c>
    </row>
    <row r="4" spans="1:26" x14ac:dyDescent="0.3">
      <c r="A4" t="s">
        <v>5</v>
      </c>
      <c r="B4">
        <v>3</v>
      </c>
      <c r="C4" t="str">
        <f>INDEX(StandingsData!$B$2:$B$5,MATCH(LARGE(StandingsData!$M$2:$M$5,3),StandingsData!$M$2:$M$5,0))</f>
        <v>Moviola Utd</v>
      </c>
      <c r="D4">
        <f>INDEX(StandingsData!$K$2:$K$5,MATCH(LARGE(StandingsData!$M$2:$M$5,3),StandingsData!$M$2:$M$5,0))</f>
        <v>0</v>
      </c>
      <c r="E4">
        <f>INDEX(StandingsData!$C$2:$C$5,MATCH(LARGE(StandingsData!$M$2:$M$5,3),StandingsData!$M$2:$M$5,0))</f>
        <v>0</v>
      </c>
      <c r="F4">
        <f>INDEX(StandingsData!$D$2:$D$5,MATCH(LARGE(StandingsData!$M$2:$M$5,3),StandingsData!$M$2:$M$5,0))</f>
        <v>0</v>
      </c>
      <c r="G4">
        <f>INDEX(StandingsData!$E$2:$E$5,MATCH(LARGE(StandingsData!$M$2:$M$5,3),StandingsData!$M$2:$M$5,0))</f>
        <v>0</v>
      </c>
      <c r="H4">
        <f>INDEX(StandingsData!$F$2:$F$5,MATCH(LARGE(StandingsData!$M$2:$M$5,3),StandingsData!$M$2:$M$5,0))</f>
        <v>0</v>
      </c>
      <c r="I4">
        <f>INDEX(StandingsData!$G$2:$G$5,MATCH(LARGE(StandingsData!$M$2:$M$5,3),StandingsData!$M$2:$M$5,0))</f>
        <v>0</v>
      </c>
      <c r="J4">
        <f>INDEX(StandingsData!$H$2:$H$5,MATCH(LARGE(StandingsData!$M$2:$M$5,3),StandingsData!$M$2:$M$5,0))</f>
        <v>0</v>
      </c>
      <c r="K4">
        <f>INDEX(StandingsData!$I$2:$I$5,MATCH(LARGE(StandingsData!$M$2:$M$5,3),StandingsData!$M$2:$M$5,0))</f>
        <v>0</v>
      </c>
      <c r="L4">
        <f>INDEX(StandingsData!$J$2:$J$5,MATCH(LARGE(StandingsData!$M$2:$M$5,3),StandingsData!$M$2:$M$5,0))</f>
        <v>0</v>
      </c>
    </row>
    <row r="5" spans="1:26" x14ac:dyDescent="0.3">
      <c r="A5" t="s">
        <v>5</v>
      </c>
      <c r="B5">
        <v>4</v>
      </c>
      <c r="C5" t="str">
        <f>INDEX(StandingsData!$B$2:$B$5,MATCH(LARGE(StandingsData!$M$2:$M$5,4),StandingsData!$M$2:$M$5,0))</f>
        <v>Astolfi Impianti Elettrici</v>
      </c>
      <c r="D5">
        <f>INDEX(StandingsData!$K$2:$K$5,MATCH(LARGE(StandingsData!$M$2:$M$5,4),StandingsData!$M$2:$M$5,0))</f>
        <v>0</v>
      </c>
      <c r="E5">
        <f>INDEX(StandingsData!$C$2:$C$5,MATCH(LARGE(StandingsData!$M$2:$M$5,4),StandingsData!$M$2:$M$5,0))</f>
        <v>0</v>
      </c>
      <c r="F5">
        <f>INDEX(StandingsData!$D$2:$D$5,MATCH(LARGE(StandingsData!$M$2:$M$5,4),StandingsData!$M$2:$M$5,0))</f>
        <v>0</v>
      </c>
      <c r="G5">
        <f>INDEX(StandingsData!$E$2:$E$5,MATCH(LARGE(StandingsData!$M$2:$M$5,4),StandingsData!$M$2:$M$5,0))</f>
        <v>0</v>
      </c>
      <c r="H5">
        <f>INDEX(StandingsData!$F$2:$F$5,MATCH(LARGE(StandingsData!$M$2:$M$5,4),StandingsData!$M$2:$M$5,0))</f>
        <v>0</v>
      </c>
      <c r="I5">
        <f>INDEX(StandingsData!$G$2:$G$5,MATCH(LARGE(StandingsData!$M$2:$M$5,4),StandingsData!$M$2:$M$5,0))</f>
        <v>0</v>
      </c>
      <c r="J5">
        <f>INDEX(StandingsData!$H$2:$H$5,MATCH(LARGE(StandingsData!$M$2:$M$5,4),StandingsData!$M$2:$M$5,0))</f>
        <v>0</v>
      </c>
      <c r="K5">
        <f>INDEX(StandingsData!$I$2:$I$5,MATCH(LARGE(StandingsData!$M$2:$M$5,4),StandingsData!$M$2:$M$5,0))</f>
        <v>0</v>
      </c>
      <c r="L5">
        <f>INDEX(StandingsData!$J$2:$J$5,MATCH(LARGE(StandingsData!$M$2:$M$5,4),StandingsData!$M$2:$M$5,0))</f>
        <v>0</v>
      </c>
    </row>
    <row r="6" spans="1:26" x14ac:dyDescent="0.3">
      <c r="A6" t="s">
        <v>14</v>
      </c>
      <c r="B6">
        <v>1</v>
      </c>
      <c r="C6" t="str">
        <f>INDEX(StandingsData!$B$6:$B$9,MATCH(LARGE(StandingsData!$M$6:$M$9,1),StandingsData!$M$6:$M$9,0))</f>
        <v>Vecchie Glorie Rovigo</v>
      </c>
      <c r="D6">
        <f>INDEX(StandingsData!$K$6:$K$9,MATCH(LARGE(StandingsData!$M$6:$M$9,1),StandingsData!$M$6:$M$9,0))</f>
        <v>3</v>
      </c>
      <c r="E6">
        <f>INDEX(StandingsData!$C$6:$C$9,MATCH(LARGE(StandingsData!$M$6:$M$9,1),StandingsData!$M$6:$M$9,0))</f>
        <v>1</v>
      </c>
      <c r="F6">
        <f>INDEX(StandingsData!$D$6:$D$9,MATCH(LARGE(StandingsData!$M$6:$M$9,1),StandingsData!$M$6:$M$9,0))</f>
        <v>1</v>
      </c>
      <c r="G6">
        <f>INDEX(StandingsData!$E$6:$E$9,MATCH(LARGE(StandingsData!$M$6:$M$9,1),StandingsData!$M$6:$M$9,0))</f>
        <v>0</v>
      </c>
      <c r="H6">
        <f>INDEX(StandingsData!$F$6:$F$9,MATCH(LARGE(StandingsData!$M$6:$M$9,1),StandingsData!$M$6:$M$9,0))</f>
        <v>0</v>
      </c>
      <c r="I6">
        <f>INDEX(StandingsData!$G$6:$G$9,MATCH(LARGE(StandingsData!$M$6:$M$9,1),StandingsData!$M$6:$M$9,0))</f>
        <v>0</v>
      </c>
      <c r="J6">
        <f>INDEX(StandingsData!$H$6:$H$9,MATCH(LARGE(StandingsData!$M$6:$M$9,1),StandingsData!$M$6:$M$9,0))</f>
        <v>10</v>
      </c>
      <c r="K6">
        <f>INDEX(StandingsData!$I$6:$I$9,MATCH(LARGE(StandingsData!$M$6:$M$9,1),StandingsData!$M$6:$M$9,0))</f>
        <v>0</v>
      </c>
      <c r="L6">
        <f>INDEX(StandingsData!$J$6:$J$9,MATCH(LARGE(StandingsData!$M$6:$M$9,1),StandingsData!$M$6:$M$9,0))</f>
        <v>10</v>
      </c>
    </row>
    <row r="7" spans="1:26" x14ac:dyDescent="0.3">
      <c r="A7" t="s">
        <v>14</v>
      </c>
      <c r="B7">
        <v>2</v>
      </c>
      <c r="C7" t="str">
        <f>INDEX(StandingsData!$B$6:$B$9,MATCH(LARGE(StandingsData!$M$6:$M$9,2),StandingsData!$M$6:$M$9,0))</f>
        <v>AS Bancatore</v>
      </c>
      <c r="D7">
        <f>INDEX(StandingsData!$K$6:$K$9,MATCH(LARGE(StandingsData!$M$6:$M$9,2),StandingsData!$M$6:$M$9,0))</f>
        <v>3</v>
      </c>
      <c r="E7">
        <f>INDEX(StandingsData!$C$6:$C$9,MATCH(LARGE(StandingsData!$M$6:$M$9,2),StandingsData!$M$6:$M$9,0))</f>
        <v>1</v>
      </c>
      <c r="F7">
        <f>INDEX(StandingsData!$D$6:$D$9,MATCH(LARGE(StandingsData!$M$6:$M$9,2),StandingsData!$M$6:$M$9,0))</f>
        <v>1</v>
      </c>
      <c r="G7">
        <f>INDEX(StandingsData!$E$6:$E$9,MATCH(LARGE(StandingsData!$M$6:$M$9,2),StandingsData!$M$6:$M$9,0))</f>
        <v>0</v>
      </c>
      <c r="H7">
        <f>INDEX(StandingsData!$F$6:$F$9,MATCH(LARGE(StandingsData!$M$6:$M$9,2),StandingsData!$M$6:$M$9,0))</f>
        <v>0</v>
      </c>
      <c r="I7">
        <f>INDEX(StandingsData!$G$6:$G$9,MATCH(LARGE(StandingsData!$M$6:$M$9,2),StandingsData!$M$6:$M$9,0))</f>
        <v>0</v>
      </c>
      <c r="J7">
        <f>INDEX(StandingsData!$H$6:$H$9,MATCH(LARGE(StandingsData!$M$6:$M$9,2),StandingsData!$M$6:$M$9,0))</f>
        <v>5</v>
      </c>
      <c r="K7">
        <f>INDEX(StandingsData!$I$6:$I$9,MATCH(LARGE(StandingsData!$M$6:$M$9,2),StandingsData!$M$6:$M$9,0))</f>
        <v>0</v>
      </c>
      <c r="L7">
        <f>INDEX(StandingsData!$J$6:$J$9,MATCH(LARGE(StandingsData!$M$6:$M$9,2),StandingsData!$M$6:$M$9,0))</f>
        <v>5</v>
      </c>
    </row>
    <row r="8" spans="1:26" x14ac:dyDescent="0.3">
      <c r="A8" t="s">
        <v>14</v>
      </c>
      <c r="B8">
        <v>3</v>
      </c>
      <c r="C8" t="str">
        <f>INDEX(StandingsData!$B$6:$B$9,MATCH(LARGE(StandingsData!$M$6:$M$9,3),StandingsData!$M$6:$M$9,0))</f>
        <v>Beverton</v>
      </c>
      <c r="D8">
        <f>INDEX(StandingsData!$K$6:$K$9,MATCH(LARGE(StandingsData!$M$6:$M$9,3),StandingsData!$M$6:$M$9,0))</f>
        <v>0</v>
      </c>
      <c r="E8">
        <f>INDEX(StandingsData!$C$6:$C$9,MATCH(LARGE(StandingsData!$M$6:$M$9,3),StandingsData!$M$6:$M$9,0))</f>
        <v>1</v>
      </c>
      <c r="F8">
        <f>INDEX(StandingsData!$D$6:$D$9,MATCH(LARGE(StandingsData!$M$6:$M$9,3),StandingsData!$M$6:$M$9,0))</f>
        <v>0</v>
      </c>
      <c r="G8">
        <f>INDEX(StandingsData!$E$6:$E$9,MATCH(LARGE(StandingsData!$M$6:$M$9,3),StandingsData!$M$6:$M$9,0))</f>
        <v>0</v>
      </c>
      <c r="H8">
        <f>INDEX(StandingsData!$F$6:$F$9,MATCH(LARGE(StandingsData!$M$6:$M$9,3),StandingsData!$M$6:$M$9,0))</f>
        <v>0</v>
      </c>
      <c r="I8">
        <f>INDEX(StandingsData!$G$6:$G$9,MATCH(LARGE(StandingsData!$M$6:$M$9,3),StandingsData!$M$6:$M$9,0))</f>
        <v>1</v>
      </c>
      <c r="J8">
        <f>INDEX(StandingsData!$H$6:$H$9,MATCH(LARGE(StandingsData!$M$6:$M$9,3),StandingsData!$M$6:$M$9,0))</f>
        <v>0</v>
      </c>
      <c r="K8">
        <f>INDEX(StandingsData!$I$6:$I$9,MATCH(LARGE(StandingsData!$M$6:$M$9,3),StandingsData!$M$6:$M$9,0))</f>
        <v>5</v>
      </c>
      <c r="L8">
        <f>INDEX(StandingsData!$J$6:$J$9,MATCH(LARGE(StandingsData!$M$6:$M$9,3),StandingsData!$M$6:$M$9,0))</f>
        <v>-5</v>
      </c>
    </row>
    <row r="9" spans="1:26" x14ac:dyDescent="0.3">
      <c r="A9" t="s">
        <v>14</v>
      </c>
      <c r="B9">
        <v>4</v>
      </c>
      <c r="C9" t="str">
        <f>INDEX(StandingsData!$B$6:$B$9,MATCH(LARGE(StandingsData!$M$6:$M$9,4),StandingsData!$M$6:$M$9,0))</f>
        <v>Totani</v>
      </c>
      <c r="D9">
        <f>INDEX(StandingsData!$K$6:$K$9,MATCH(LARGE(StandingsData!$M$6:$M$9,4),StandingsData!$M$6:$M$9,0))</f>
        <v>0</v>
      </c>
      <c r="E9">
        <f>INDEX(StandingsData!$C$6:$C$9,MATCH(LARGE(StandingsData!$M$6:$M$9,4),StandingsData!$M$6:$M$9,0))</f>
        <v>1</v>
      </c>
      <c r="F9">
        <f>INDEX(StandingsData!$D$6:$D$9,MATCH(LARGE(StandingsData!$M$6:$M$9,4),StandingsData!$M$6:$M$9,0))</f>
        <v>0</v>
      </c>
      <c r="G9">
        <f>INDEX(StandingsData!$E$6:$E$9,MATCH(LARGE(StandingsData!$M$6:$M$9,4),StandingsData!$M$6:$M$9,0))</f>
        <v>0</v>
      </c>
      <c r="H9">
        <f>INDEX(StandingsData!$F$6:$F$9,MATCH(LARGE(StandingsData!$M$6:$M$9,4),StandingsData!$M$6:$M$9,0))</f>
        <v>0</v>
      </c>
      <c r="I9">
        <f>INDEX(StandingsData!$G$6:$G$9,MATCH(LARGE(StandingsData!$M$6:$M$9,4),StandingsData!$M$6:$M$9,0))</f>
        <v>1</v>
      </c>
      <c r="J9">
        <f>INDEX(StandingsData!$H$6:$H$9,MATCH(LARGE(StandingsData!$M$6:$M$9,4),StandingsData!$M$6:$M$9,0))</f>
        <v>0</v>
      </c>
      <c r="K9">
        <f>INDEX(StandingsData!$I$6:$I$9,MATCH(LARGE(StandingsData!$M$6:$M$9,4),StandingsData!$M$6:$M$9,0))</f>
        <v>10</v>
      </c>
      <c r="L9">
        <f>INDEX(StandingsData!$J$6:$J$9,MATCH(LARGE(StandingsData!$M$6:$M$9,4),StandingsData!$M$6:$M$9,0))</f>
        <v>-10</v>
      </c>
    </row>
    <row r="10" spans="1:26" x14ac:dyDescent="0.3">
      <c r="A10" t="s">
        <v>23</v>
      </c>
      <c r="B10">
        <v>1</v>
      </c>
      <c r="C10" t="str">
        <f>INDEX(StandingsData!$B$10:$B$13,MATCH(LARGE(StandingsData!$M$10:$M$13,1),StandingsData!$M$10:$M$13,0))</f>
        <v>Leoni di Ricky</v>
      </c>
      <c r="D10">
        <f>INDEX(StandingsData!$K$10:$K$13,MATCH(LARGE(StandingsData!$M$10:$M$13,1),StandingsData!$M$10:$M$13,0))</f>
        <v>3</v>
      </c>
      <c r="E10">
        <f>INDEX(StandingsData!$C$10:$C$13,MATCH(LARGE(StandingsData!$M$10:$M$13,1),StandingsData!$M$10:$M$13,0))</f>
        <v>1</v>
      </c>
      <c r="F10">
        <f>INDEX(StandingsData!$D$10:$D$13,MATCH(LARGE(StandingsData!$M$10:$M$13,1),StandingsData!$M$10:$M$13,0))</f>
        <v>1</v>
      </c>
      <c r="G10">
        <f>INDEX(StandingsData!$E$10:$E$13,MATCH(LARGE(StandingsData!$M$10:$M$13,1),StandingsData!$M$10:$M$13,0))</f>
        <v>0</v>
      </c>
      <c r="H10">
        <f>INDEX(StandingsData!$F$10:$F$13,MATCH(LARGE(StandingsData!$M$10:$M$13,1),StandingsData!$M$10:$M$13,0))</f>
        <v>0</v>
      </c>
      <c r="I10">
        <f>INDEX(StandingsData!$G$10:$G$13,MATCH(LARGE(StandingsData!$M$10:$M$13,1),StandingsData!$M$10:$M$13,0))</f>
        <v>0</v>
      </c>
      <c r="J10">
        <f>INDEX(StandingsData!$H$10:$H$13,MATCH(LARGE(StandingsData!$M$10:$M$13,1),StandingsData!$M$10:$M$13,0))</f>
        <v>5</v>
      </c>
      <c r="K10">
        <f>INDEX(StandingsData!$I$10:$I$13,MATCH(LARGE(StandingsData!$M$10:$M$13,1),StandingsData!$M$10:$M$13,0))</f>
        <v>0</v>
      </c>
      <c r="L10">
        <f>INDEX(StandingsData!$J$10:$J$13,MATCH(LARGE(StandingsData!$M$10:$M$13,1),StandingsData!$M$10:$M$13,0))</f>
        <v>5</v>
      </c>
    </row>
    <row r="11" spans="1:26" x14ac:dyDescent="0.3">
      <c r="A11" t="s">
        <v>23</v>
      </c>
      <c r="B11">
        <v>2</v>
      </c>
      <c r="C11" t="str">
        <f>INDEX(StandingsData!$B$10:$B$13,MATCH(LARGE(StandingsData!$M$10:$M$13,2),StandingsData!$M$10:$M$13,0))</f>
        <v>Barrio Boys</v>
      </c>
      <c r="D11">
        <f>INDEX(StandingsData!$K$10:$K$13,MATCH(LARGE(StandingsData!$M$10:$M$13,2),StandingsData!$M$10:$M$13,0))</f>
        <v>3</v>
      </c>
      <c r="E11">
        <f>INDEX(StandingsData!$C$10:$C$13,MATCH(LARGE(StandingsData!$M$10:$M$13,2),StandingsData!$M$10:$M$13,0))</f>
        <v>1</v>
      </c>
      <c r="F11">
        <f>INDEX(StandingsData!$D$10:$D$13,MATCH(LARGE(StandingsData!$M$10:$M$13,2),StandingsData!$M$10:$M$13,0))</f>
        <v>1</v>
      </c>
      <c r="G11">
        <f>INDEX(StandingsData!$E$10:$E$13,MATCH(LARGE(StandingsData!$M$10:$M$13,2),StandingsData!$M$10:$M$13,0))</f>
        <v>0</v>
      </c>
      <c r="H11">
        <f>INDEX(StandingsData!$F$10:$F$13,MATCH(LARGE(StandingsData!$M$10:$M$13,2),StandingsData!$M$10:$M$13,0))</f>
        <v>0</v>
      </c>
      <c r="I11">
        <f>INDEX(StandingsData!$G$10:$G$13,MATCH(LARGE(StandingsData!$M$10:$M$13,2),StandingsData!$M$10:$M$13,0))</f>
        <v>0</v>
      </c>
      <c r="J11">
        <f>INDEX(StandingsData!$H$10:$H$13,MATCH(LARGE(StandingsData!$M$10:$M$13,2),StandingsData!$M$10:$M$13,0))</f>
        <v>2</v>
      </c>
      <c r="K11">
        <f>INDEX(StandingsData!$I$10:$I$13,MATCH(LARGE(StandingsData!$M$10:$M$13,2),StandingsData!$M$10:$M$13,0))</f>
        <v>0</v>
      </c>
      <c r="L11">
        <f>INDEX(StandingsData!$J$10:$J$13,MATCH(LARGE(StandingsData!$M$10:$M$13,2),StandingsData!$M$10:$M$13,0))</f>
        <v>2</v>
      </c>
    </row>
    <row r="12" spans="1:26" x14ac:dyDescent="0.3">
      <c r="A12" t="s">
        <v>23</v>
      </c>
      <c r="B12">
        <v>3</v>
      </c>
      <c r="C12" t="str">
        <f>INDEX(StandingsData!$B$10:$B$13,MATCH(LARGE(StandingsData!$M$10:$M$13,3),StandingsData!$M$10:$M$13,0))</f>
        <v>Cani</v>
      </c>
      <c r="D12">
        <f>INDEX(StandingsData!$K$10:$K$13,MATCH(LARGE(StandingsData!$M$10:$M$13,3),StandingsData!$M$10:$M$13,0))</f>
        <v>0</v>
      </c>
      <c r="E12">
        <f>INDEX(StandingsData!$C$10:$C$13,MATCH(LARGE(StandingsData!$M$10:$M$13,3),StandingsData!$M$10:$M$13,0))</f>
        <v>1</v>
      </c>
      <c r="F12">
        <f>INDEX(StandingsData!$D$10:$D$13,MATCH(LARGE(StandingsData!$M$10:$M$13,3),StandingsData!$M$10:$M$13,0))</f>
        <v>0</v>
      </c>
      <c r="G12">
        <f>INDEX(StandingsData!$E$10:$E$13,MATCH(LARGE(StandingsData!$M$10:$M$13,3),StandingsData!$M$10:$M$13,0))</f>
        <v>0</v>
      </c>
      <c r="H12">
        <f>INDEX(StandingsData!$F$10:$F$13,MATCH(LARGE(StandingsData!$M$10:$M$13,3),StandingsData!$M$10:$M$13,0))</f>
        <v>0</v>
      </c>
      <c r="I12">
        <f>INDEX(StandingsData!$G$10:$G$13,MATCH(LARGE(StandingsData!$M$10:$M$13,3),StandingsData!$M$10:$M$13,0))</f>
        <v>1</v>
      </c>
      <c r="J12">
        <f>INDEX(StandingsData!$H$10:$H$13,MATCH(LARGE(StandingsData!$M$10:$M$13,3),StandingsData!$M$10:$M$13,0))</f>
        <v>0</v>
      </c>
      <c r="K12">
        <f>INDEX(StandingsData!$I$10:$I$13,MATCH(LARGE(StandingsData!$M$10:$M$13,3),StandingsData!$M$10:$M$13,0))</f>
        <v>2</v>
      </c>
      <c r="L12">
        <f>INDEX(StandingsData!$J$10:$J$13,MATCH(LARGE(StandingsData!$M$10:$M$13,3),StandingsData!$M$10:$M$13,0))</f>
        <v>-2</v>
      </c>
    </row>
    <row r="13" spans="1:26" x14ac:dyDescent="0.3">
      <c r="A13" t="s">
        <v>23</v>
      </c>
      <c r="B13">
        <v>4</v>
      </c>
      <c r="C13" t="str">
        <f>INDEX(StandingsData!$B$10:$B$13,MATCH(LARGE(StandingsData!$M$10:$M$13,4),StandingsData!$M$10:$M$13,0))</f>
        <v>Pink 5ive</v>
      </c>
      <c r="D13">
        <f>INDEX(StandingsData!$K$10:$K$13,MATCH(LARGE(StandingsData!$M$10:$M$13,4),StandingsData!$M$10:$M$13,0))</f>
        <v>0</v>
      </c>
      <c r="E13">
        <f>INDEX(StandingsData!$C$10:$C$13,MATCH(LARGE(StandingsData!$M$10:$M$13,4),StandingsData!$M$10:$M$13,0))</f>
        <v>1</v>
      </c>
      <c r="F13">
        <f>INDEX(StandingsData!$D$10:$D$13,MATCH(LARGE(StandingsData!$M$10:$M$13,4),StandingsData!$M$10:$M$13,0))</f>
        <v>0</v>
      </c>
      <c r="G13">
        <f>INDEX(StandingsData!$E$10:$E$13,MATCH(LARGE(StandingsData!$M$10:$M$13,4),StandingsData!$M$10:$M$13,0))</f>
        <v>0</v>
      </c>
      <c r="H13">
        <f>INDEX(StandingsData!$F$10:$F$13,MATCH(LARGE(StandingsData!$M$10:$M$13,4),StandingsData!$M$10:$M$13,0))</f>
        <v>0</v>
      </c>
      <c r="I13">
        <f>INDEX(StandingsData!$G$10:$G$13,MATCH(LARGE(StandingsData!$M$10:$M$13,4),StandingsData!$M$10:$M$13,0))</f>
        <v>1</v>
      </c>
      <c r="J13">
        <f>INDEX(StandingsData!$H$10:$H$13,MATCH(LARGE(StandingsData!$M$10:$M$13,4),StandingsData!$M$10:$M$13,0))</f>
        <v>0</v>
      </c>
      <c r="K13">
        <f>INDEX(StandingsData!$I$10:$I$13,MATCH(LARGE(StandingsData!$M$10:$M$13,4),StandingsData!$M$10:$M$13,0))</f>
        <v>5</v>
      </c>
      <c r="L13">
        <f>INDEX(StandingsData!$J$10:$J$13,MATCH(LARGE(StandingsData!$M$10:$M$13,4),StandingsData!$M$10:$M$13,0))</f>
        <v>-5</v>
      </c>
    </row>
    <row r="14" spans="1:26" x14ac:dyDescent="0.3">
      <c r="A14" t="s">
        <v>32</v>
      </c>
      <c r="B14">
        <v>1</v>
      </c>
      <c r="C14" t="str">
        <f>INDEX(StandingsData!$B$14:$B$17,MATCH(LARGE(StandingsData!$M$14:$M$17,1),StandingsData!$M$14:$M$17,0))</f>
        <v>Boldò Glimt</v>
      </c>
      <c r="D14">
        <f>INDEX(StandingsData!$K$14:$K$17,MATCH(LARGE(StandingsData!$M$14:$M$17,1),StandingsData!$M$14:$M$17,0))</f>
        <v>3</v>
      </c>
      <c r="E14">
        <f>INDEX(StandingsData!$C$14:$C$17,MATCH(LARGE(StandingsData!$M$14:$M$17,1),StandingsData!$M$14:$M$17,0))</f>
        <v>1</v>
      </c>
      <c r="F14">
        <f>INDEX(StandingsData!$D$14:$D$17,MATCH(LARGE(StandingsData!$M$14:$M$17,1),StandingsData!$M$14:$M$17,0))</f>
        <v>1</v>
      </c>
      <c r="G14">
        <f>INDEX(StandingsData!$E$14:$E$17,MATCH(LARGE(StandingsData!$M$14:$M$17,1),StandingsData!$M$14:$M$17,0))</f>
        <v>0</v>
      </c>
      <c r="H14">
        <f>INDEX(StandingsData!$F$14:$F$17,MATCH(LARGE(StandingsData!$M$14:$M$17,1),StandingsData!$M$14:$M$17,0))</f>
        <v>0</v>
      </c>
      <c r="I14">
        <f>INDEX(StandingsData!$G$14:$G$17,MATCH(LARGE(StandingsData!$M$14:$M$17,1),StandingsData!$M$14:$M$17,0))</f>
        <v>0</v>
      </c>
      <c r="J14">
        <f>INDEX(StandingsData!$H$14:$H$17,MATCH(LARGE(StandingsData!$M$14:$M$17,1),StandingsData!$M$14:$M$17,0))</f>
        <v>2</v>
      </c>
      <c r="K14">
        <f>INDEX(StandingsData!$I$14:$I$17,MATCH(LARGE(StandingsData!$M$14:$M$17,1),StandingsData!$M$14:$M$17,0))</f>
        <v>1</v>
      </c>
      <c r="L14">
        <f>INDEX(StandingsData!$J$14:$J$17,MATCH(LARGE(StandingsData!$M$14:$M$17,1),StandingsData!$M$14:$M$17,0))</f>
        <v>1</v>
      </c>
    </row>
    <row r="15" spans="1:26" x14ac:dyDescent="0.3">
      <c r="A15" t="s">
        <v>32</v>
      </c>
      <c r="B15">
        <v>2</v>
      </c>
      <c r="C15" t="str">
        <f>INDEX(StandingsData!$B$14:$B$17,MATCH(LARGE(StandingsData!$M$14:$M$17,2),StandingsData!$M$14:$M$17,0))</f>
        <v>Piadineria la Salsiccia</v>
      </c>
      <c r="D15">
        <f>INDEX(StandingsData!$K$14:$K$17,MATCH(LARGE(StandingsData!$M$14:$M$17,2),StandingsData!$M$14:$M$17,0))</f>
        <v>3</v>
      </c>
      <c r="E15">
        <f>INDEX(StandingsData!$C$14:$C$17,MATCH(LARGE(StandingsData!$M$14:$M$17,2),StandingsData!$M$14:$M$17,0))</f>
        <v>1</v>
      </c>
      <c r="F15">
        <f>INDEX(StandingsData!$D$14:$D$17,MATCH(LARGE(StandingsData!$M$14:$M$17,2),StandingsData!$M$14:$M$17,0))</f>
        <v>1</v>
      </c>
      <c r="G15">
        <f>INDEX(StandingsData!$E$14:$E$17,MATCH(LARGE(StandingsData!$M$14:$M$17,2),StandingsData!$M$14:$M$17,0))</f>
        <v>0</v>
      </c>
      <c r="H15">
        <f>INDEX(StandingsData!$F$14:$F$17,MATCH(LARGE(StandingsData!$M$14:$M$17,2),StandingsData!$M$14:$M$17,0))</f>
        <v>0</v>
      </c>
      <c r="I15">
        <f>INDEX(StandingsData!$G$14:$G$17,MATCH(LARGE(StandingsData!$M$14:$M$17,2),StandingsData!$M$14:$M$17,0))</f>
        <v>0</v>
      </c>
      <c r="J15">
        <f>INDEX(StandingsData!$H$14:$H$17,MATCH(LARGE(StandingsData!$M$14:$M$17,2),StandingsData!$M$14:$M$17,0))</f>
        <v>1</v>
      </c>
      <c r="K15">
        <f>INDEX(StandingsData!$I$14:$I$17,MATCH(LARGE(StandingsData!$M$14:$M$17,2),StandingsData!$M$14:$M$17,0))</f>
        <v>0</v>
      </c>
      <c r="L15">
        <f>INDEX(StandingsData!$J$14:$J$17,MATCH(LARGE(StandingsData!$M$14:$M$17,2),StandingsData!$M$14:$M$17,0))</f>
        <v>1</v>
      </c>
    </row>
    <row r="16" spans="1:26" x14ac:dyDescent="0.3">
      <c r="A16" t="s">
        <v>32</v>
      </c>
      <c r="B16">
        <v>3</v>
      </c>
      <c r="C16" t="str">
        <f>INDEX(StandingsData!$B$14:$B$17,MATCH(LARGE(StandingsData!$M$14:$M$17,3),StandingsData!$M$14:$M$17,0))</f>
        <v>All Blacks</v>
      </c>
      <c r="D16">
        <f>INDEX(StandingsData!$K$14:$K$17,MATCH(LARGE(StandingsData!$M$14:$M$17,3),StandingsData!$M$14:$M$17,0))</f>
        <v>0</v>
      </c>
      <c r="E16">
        <f>INDEX(StandingsData!$C$14:$C$17,MATCH(LARGE(StandingsData!$M$14:$M$17,3),StandingsData!$M$14:$M$17,0))</f>
        <v>1</v>
      </c>
      <c r="F16">
        <f>INDEX(StandingsData!$D$14:$D$17,MATCH(LARGE(StandingsData!$M$14:$M$17,3),StandingsData!$M$14:$M$17,0))</f>
        <v>0</v>
      </c>
      <c r="G16">
        <f>INDEX(StandingsData!$E$14:$E$17,MATCH(LARGE(StandingsData!$M$14:$M$17,3),StandingsData!$M$14:$M$17,0))</f>
        <v>0</v>
      </c>
      <c r="H16">
        <f>INDEX(StandingsData!$F$14:$F$17,MATCH(LARGE(StandingsData!$M$14:$M$17,3),StandingsData!$M$14:$M$17,0))</f>
        <v>0</v>
      </c>
      <c r="I16">
        <f>INDEX(StandingsData!$G$14:$G$17,MATCH(LARGE(StandingsData!$M$14:$M$17,3),StandingsData!$M$14:$M$17,0))</f>
        <v>1</v>
      </c>
      <c r="J16">
        <f>INDEX(StandingsData!$H$14:$H$17,MATCH(LARGE(StandingsData!$M$14:$M$17,3),StandingsData!$M$14:$M$17,0))</f>
        <v>1</v>
      </c>
      <c r="K16">
        <f>INDEX(StandingsData!$I$14:$I$17,MATCH(LARGE(StandingsData!$M$14:$M$17,3),StandingsData!$M$14:$M$17,0))</f>
        <v>2</v>
      </c>
      <c r="L16">
        <f>INDEX(StandingsData!$J$14:$J$17,MATCH(LARGE(StandingsData!$M$14:$M$17,3),StandingsData!$M$14:$M$17,0))</f>
        <v>-1</v>
      </c>
    </row>
    <row r="17" spans="1:12" x14ac:dyDescent="0.3">
      <c r="A17" t="s">
        <v>32</v>
      </c>
      <c r="B17">
        <v>4</v>
      </c>
      <c r="C17" t="str">
        <f>INDEX(StandingsData!$B$14:$B$17,MATCH(LARGE(StandingsData!$M$14:$M$17,4),StandingsData!$M$14:$M$17,0))</f>
        <v>Coca Juniors</v>
      </c>
      <c r="D17">
        <f>INDEX(StandingsData!$K$14:$K$17,MATCH(LARGE(StandingsData!$M$14:$M$17,4),StandingsData!$M$14:$M$17,0))</f>
        <v>0</v>
      </c>
      <c r="E17">
        <f>INDEX(StandingsData!$C$14:$C$17,MATCH(LARGE(StandingsData!$M$14:$M$17,4),StandingsData!$M$14:$M$17,0))</f>
        <v>1</v>
      </c>
      <c r="F17">
        <f>INDEX(StandingsData!$D$14:$D$17,MATCH(LARGE(StandingsData!$M$14:$M$17,4),StandingsData!$M$14:$M$17,0))</f>
        <v>0</v>
      </c>
      <c r="G17">
        <f>INDEX(StandingsData!$E$14:$E$17,MATCH(LARGE(StandingsData!$M$14:$M$17,4),StandingsData!$M$14:$M$17,0))</f>
        <v>0</v>
      </c>
      <c r="H17">
        <f>INDEX(StandingsData!$F$14:$F$17,MATCH(LARGE(StandingsData!$M$14:$M$17,4),StandingsData!$M$14:$M$17,0))</f>
        <v>0</v>
      </c>
      <c r="I17">
        <f>INDEX(StandingsData!$G$14:$G$17,MATCH(LARGE(StandingsData!$M$14:$M$17,4),StandingsData!$M$14:$M$17,0))</f>
        <v>1</v>
      </c>
      <c r="J17">
        <f>INDEX(StandingsData!$H$14:$H$17,MATCH(LARGE(StandingsData!$M$14:$M$17,4),StandingsData!$M$14:$M$17,0))</f>
        <v>0</v>
      </c>
      <c r="K17">
        <f>INDEX(StandingsData!$I$14:$I$17,MATCH(LARGE(StandingsData!$M$14:$M$17,4),StandingsData!$M$14:$M$17,0))</f>
        <v>1</v>
      </c>
      <c r="L17">
        <f>INDEX(StandingsData!$J$14:$J$17,MATCH(LARGE(StandingsData!$M$14:$M$17,4),StandingsData!$M$14:$M$17,0))</f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8"/>
  <sheetViews>
    <sheetView topLeftCell="B1" workbookViewId="0">
      <selection activeCell="K9" sqref="K9"/>
    </sheetView>
  </sheetViews>
  <sheetFormatPr defaultRowHeight="14.4" x14ac:dyDescent="0.3"/>
  <cols>
    <col min="1" max="6" width="18" customWidth="1"/>
    <col min="7" max="8" width="28" customWidth="1"/>
    <col min="9" max="13" width="18" customWidth="1"/>
  </cols>
  <sheetData>
    <row r="1" spans="1:26" x14ac:dyDescent="0.3">
      <c r="A1" s="5" t="s">
        <v>243</v>
      </c>
      <c r="B1" s="5" t="s">
        <v>244</v>
      </c>
      <c r="C1" s="5" t="s">
        <v>1</v>
      </c>
      <c r="D1" s="5" t="s">
        <v>245</v>
      </c>
      <c r="E1" s="5" t="s">
        <v>246</v>
      </c>
      <c r="F1" s="5" t="s">
        <v>247</v>
      </c>
      <c r="G1" s="5" t="s">
        <v>248</v>
      </c>
      <c r="H1" s="5" t="s">
        <v>249</v>
      </c>
      <c r="I1" s="5" t="s">
        <v>250</v>
      </c>
      <c r="J1" s="5" t="s">
        <v>251</v>
      </c>
      <c r="K1" s="5" t="s">
        <v>56</v>
      </c>
      <c r="L1" s="5" t="s">
        <v>255</v>
      </c>
      <c r="M1" s="5" t="s">
        <v>256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313</v>
      </c>
      <c r="B2" t="s">
        <v>314</v>
      </c>
      <c r="E2" t="s">
        <v>258</v>
      </c>
      <c r="F2" s="12">
        <v>0.74027777777777781</v>
      </c>
      <c r="G2" s="2"/>
      <c r="H2" s="2"/>
      <c r="I2" s="2"/>
      <c r="J2" s="2"/>
      <c r="K2" s="2"/>
      <c r="L2" t="str">
        <f t="shared" ref="L2:L8" si="0">IF(OR(I2="",J2=""),"",IF(I2&gt;J2,G2,IF(J2&gt;I2,H2,K2)))</f>
        <v/>
      </c>
      <c r="M2" t="str">
        <f t="shared" ref="M2:M8" si="1">IF(OR(I2="",J2=""),"",G2&amp;" "&amp;I2&amp;" - "&amp;J2&amp;" "&amp;H2&amp;IF(K2&lt;&gt;""," (rigori: "&amp;K2&amp;")",""))</f>
        <v/>
      </c>
    </row>
    <row r="3" spans="1:26" x14ac:dyDescent="0.3">
      <c r="A3" t="s">
        <v>315</v>
      </c>
      <c r="B3" t="s">
        <v>314</v>
      </c>
      <c r="E3" t="s">
        <v>260</v>
      </c>
      <c r="F3" s="12" t="s">
        <v>316</v>
      </c>
      <c r="G3" s="2"/>
      <c r="H3" s="2"/>
      <c r="I3" s="2"/>
      <c r="J3" s="2"/>
      <c r="K3" s="2"/>
      <c r="L3" t="str">
        <f t="shared" si="0"/>
        <v/>
      </c>
      <c r="M3" t="str">
        <f t="shared" si="1"/>
        <v/>
      </c>
    </row>
    <row r="4" spans="1:26" x14ac:dyDescent="0.3">
      <c r="A4" t="s">
        <v>317</v>
      </c>
      <c r="B4" t="s">
        <v>314</v>
      </c>
      <c r="E4" t="s">
        <v>258</v>
      </c>
      <c r="F4" s="12" t="s">
        <v>318</v>
      </c>
      <c r="G4" s="2"/>
      <c r="H4" s="2"/>
      <c r="I4" s="2"/>
      <c r="J4" s="2"/>
      <c r="K4" s="2"/>
      <c r="L4" t="str">
        <f t="shared" si="0"/>
        <v/>
      </c>
      <c r="M4" t="str">
        <f t="shared" si="1"/>
        <v/>
      </c>
    </row>
    <row r="5" spans="1:26" x14ac:dyDescent="0.3">
      <c r="A5" t="s">
        <v>319</v>
      </c>
      <c r="B5" t="s">
        <v>314</v>
      </c>
      <c r="E5" t="s">
        <v>260</v>
      </c>
      <c r="F5" s="12" t="s">
        <v>318</v>
      </c>
      <c r="G5" s="2"/>
      <c r="H5" s="2"/>
      <c r="I5" s="2"/>
      <c r="J5" s="2"/>
      <c r="K5" s="2"/>
      <c r="L5" t="str">
        <f t="shared" si="0"/>
        <v/>
      </c>
      <c r="M5" t="str">
        <f t="shared" si="1"/>
        <v/>
      </c>
    </row>
    <row r="6" spans="1:26" x14ac:dyDescent="0.3">
      <c r="A6" t="s">
        <v>320</v>
      </c>
      <c r="B6" t="s">
        <v>321</v>
      </c>
      <c r="E6" t="s">
        <v>258</v>
      </c>
      <c r="F6" s="12" t="s">
        <v>322</v>
      </c>
      <c r="G6" s="2"/>
      <c r="H6" s="2"/>
      <c r="I6" s="2"/>
      <c r="J6" s="2"/>
      <c r="K6" s="2"/>
      <c r="L6" t="str">
        <f t="shared" si="0"/>
        <v/>
      </c>
      <c r="M6" t="str">
        <f t="shared" si="1"/>
        <v/>
      </c>
    </row>
    <row r="7" spans="1:26" x14ac:dyDescent="0.3">
      <c r="A7" t="s">
        <v>323</v>
      </c>
      <c r="B7" t="s">
        <v>321</v>
      </c>
      <c r="E7" t="s">
        <v>260</v>
      </c>
      <c r="F7" s="12" t="s">
        <v>322</v>
      </c>
      <c r="G7" s="2"/>
      <c r="H7" s="2"/>
      <c r="I7" s="2"/>
      <c r="J7" s="2"/>
      <c r="K7" s="2"/>
      <c r="L7" t="str">
        <f t="shared" si="0"/>
        <v/>
      </c>
      <c r="M7" t="str">
        <f t="shared" si="1"/>
        <v/>
      </c>
    </row>
    <row r="8" spans="1:26" x14ac:dyDescent="0.3">
      <c r="A8" t="s">
        <v>324</v>
      </c>
      <c r="B8" t="s">
        <v>325</v>
      </c>
      <c r="F8" s="12">
        <v>0.4548611111111111</v>
      </c>
      <c r="G8" s="2"/>
      <c r="H8" s="2"/>
      <c r="I8" s="2"/>
      <c r="J8" s="2"/>
      <c r="K8" s="2"/>
      <c r="L8" t="str">
        <f t="shared" si="0"/>
        <v/>
      </c>
      <c r="M8" t="str">
        <f t="shared" si="1"/>
        <v/>
      </c>
    </row>
  </sheetData>
  <dataValidations count="9">
    <dataValidation type="list" allowBlank="1" showErrorMessage="1" errorTitle="Squadra non valida" error="Seleziona una squadra presente nel foglio Teams." sqref="G2:H8" xr:uid="{00000000-0002-0000-0B00-000000000000}">
      <formula1>TeamList</formula1>
    </dataValidation>
    <dataValidation type="whole" allowBlank="1" showErrorMessage="1" error="Inserisci un numero intero da 0 a 99." sqref="I2:J8" xr:uid="{00000000-0002-0000-0B00-000001000000}">
      <formula1>0</formula1>
      <formula2>99</formula2>
    </dataValidation>
    <dataValidation type="list" allowBlank="1" showErrorMessage="1" error="Scegli una delle due squadre della partita." sqref="K2" xr:uid="{00000000-0002-0000-0B00-000002000000}">
      <formula1>$G$2:$H$2</formula1>
    </dataValidation>
    <dataValidation type="list" allowBlank="1" showErrorMessage="1" error="Scegli una delle due squadre della partita." sqref="K3" xr:uid="{00000000-0002-0000-0B00-000003000000}">
      <formula1>$G$3:$H$3</formula1>
    </dataValidation>
    <dataValidation type="list" allowBlank="1" showErrorMessage="1" error="Scegli una delle due squadre della partita." sqref="K4" xr:uid="{00000000-0002-0000-0B00-000004000000}">
      <formula1>$G$4:$H$4</formula1>
    </dataValidation>
    <dataValidation type="list" allowBlank="1" showErrorMessage="1" error="Scegli una delle due squadre della partita." sqref="K5" xr:uid="{00000000-0002-0000-0B00-000005000000}">
      <formula1>$G$5:$H$5</formula1>
    </dataValidation>
    <dataValidation type="list" allowBlank="1" showErrorMessage="1" error="Scegli una delle due squadre della partita." sqref="K6" xr:uid="{00000000-0002-0000-0B00-000006000000}">
      <formula1>$G$6:$H$6</formula1>
    </dataValidation>
    <dataValidation type="list" allowBlank="1" showErrorMessage="1" error="Scegli una delle due squadre della partita." sqref="K7" xr:uid="{00000000-0002-0000-0B00-000007000000}">
      <formula1>$G$7:$H$7</formula1>
    </dataValidation>
    <dataValidation type="list" allowBlank="1" showErrorMessage="1" error="Scegli una delle due squadre della partita." sqref="K8" xr:uid="{00000000-0002-0000-0B00-000008000000}">
      <formula1>$G$8:$H$8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7A00"/>
  </sheetPr>
  <dimension ref="A1:Z85"/>
  <sheetViews>
    <sheetView workbookViewId="0">
      <pane ySplit="1" topLeftCell="A75" activePane="bottomLeft" state="frozen"/>
      <selection pane="bottomLeft" activeCell="F84" sqref="F84"/>
    </sheetView>
  </sheetViews>
  <sheetFormatPr defaultRowHeight="14.4" x14ac:dyDescent="0.3"/>
  <cols>
    <col min="1" max="1" width="18" customWidth="1"/>
    <col min="5" max="5" width="34" customWidth="1"/>
    <col min="6" max="6" width="18" customWidth="1"/>
    <col min="11" max="11" width="42" customWidth="1"/>
  </cols>
  <sheetData>
    <row r="1" spans="1:26" ht="28.8" customHeight="1" x14ac:dyDescent="0.3">
      <c r="A1" s="5" t="s">
        <v>243</v>
      </c>
      <c r="B1" s="5" t="s">
        <v>284</v>
      </c>
      <c r="C1" s="5" t="s">
        <v>285</v>
      </c>
      <c r="D1" s="5" t="s">
        <v>58</v>
      </c>
      <c r="E1" s="5" t="s">
        <v>286</v>
      </c>
      <c r="F1" s="5" t="s">
        <v>287</v>
      </c>
      <c r="G1" s="5" t="s">
        <v>252</v>
      </c>
      <c r="H1" s="5" t="s">
        <v>288</v>
      </c>
      <c r="I1" s="5" t="s">
        <v>289</v>
      </c>
      <c r="J1" s="5" t="s">
        <v>290</v>
      </c>
      <c r="K1" s="5" t="s">
        <v>291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IF(OR(INDEX(Knockout!$I$2:$I$8,I2-1)="",INDEX(Knockout!$J$2:$J$8,I2-1)=""),"",IF(J2&lt;=INDEX(Knockout!$I$2:$I$8,I2-1)+INDEX(Knockout!$J$2:$J$8,I2-1),INDEX(Knockout!$A$2:$A$8,I2-1),""))</f>
        <v/>
      </c>
      <c r="B2" t="str">
        <f>IF(A2="","",IF(J2&lt;=INDEX(Knockout!$I$2:$I$8,I2-1),INDEX(Knockout!$G$2:$G$8,I2-1),INDEX(Knockout!$H$2:$H$8,I2-1)))</f>
        <v/>
      </c>
      <c r="C2" t="str">
        <f>IF(A2="","",COUNTIFS($A$2:A2,A2,$B$2:B2,B2))</f>
        <v/>
      </c>
      <c r="D2" s="2" t="str">
        <f t="shared" ref="D2:D33" si="0">IF(A2="","","Goal")</f>
        <v/>
      </c>
      <c r="E2" s="2"/>
      <c r="F2" t="str">
        <f t="shared" ref="F2:F33" si="1">IF(A2="","",IF(D2="Autogol","",IF(D2="Goal",B2,"")))</f>
        <v/>
      </c>
      <c r="G2" t="str">
        <f t="shared" ref="G2:G33" si="2">IF(A2="","",IF(D2="","Manca tipo",IF(D2="Goal",IF(E2="","Manca giocatore","OK"),IF(D2="Autogol",IF(E2&lt;&gt;"","Autogol: svuota Player","OK"),"Tipo non valido"))))</f>
        <v/>
      </c>
      <c r="H2" t="str">
        <f>IF(F2="","",VLOOKUP(F2,Validation!$A$2:$B$17,2,FALSE))</f>
        <v/>
      </c>
      <c r="I2">
        <f>INT((ROW()-2)/Settings!$B$6)+2</f>
        <v>2</v>
      </c>
      <c r="J2">
        <f>MOD(ROW()-2,Settings!$B$6)+1</f>
        <v>1</v>
      </c>
      <c r="K2" t="s">
        <v>326</v>
      </c>
    </row>
    <row r="3" spans="1:26" x14ac:dyDescent="0.3">
      <c r="A3" t="str">
        <f>IF(OR(INDEX(Knockout!$I$2:$I$8,I3-1)="",INDEX(Knockout!$J$2:$J$8,I3-1)=""),"",IF(J3&lt;=INDEX(Knockout!$I$2:$I$8,I3-1)+INDEX(Knockout!$J$2:$J$8,I3-1),INDEX(Knockout!$A$2:$A$8,I3-1),""))</f>
        <v/>
      </c>
      <c r="B3" t="str">
        <f>IF(A3="","",IF(J3&lt;=INDEX(Knockout!$I$2:$I$8,I3-1),INDEX(Knockout!$G$2:$G$8,I3-1),INDEX(Knockout!$H$2:$H$8,I3-1)))</f>
        <v/>
      </c>
      <c r="C3" t="str">
        <f>IF(A3="","",COUNTIFS($A$2:A3,A3,$B$2:B3,B3))</f>
        <v/>
      </c>
      <c r="D3" s="2" t="str">
        <f t="shared" si="0"/>
        <v/>
      </c>
      <c r="E3" s="2"/>
      <c r="F3" t="str">
        <f t="shared" si="1"/>
        <v/>
      </c>
      <c r="G3" t="str">
        <f t="shared" si="2"/>
        <v/>
      </c>
      <c r="H3" t="str">
        <f>IF(F3="","",VLOOKUP(F3,Validation!$A$2:$B$17,2,FALSE))</f>
        <v/>
      </c>
      <c r="I3">
        <f>INT((ROW()-2)/Settings!$B$6)+2</f>
        <v>2</v>
      </c>
      <c r="J3">
        <f>MOD(ROW()-2,Settings!$B$6)+1</f>
        <v>2</v>
      </c>
    </row>
    <row r="4" spans="1:26" x14ac:dyDescent="0.3">
      <c r="A4" t="str">
        <f>IF(OR(INDEX(Knockout!$I$2:$I$8,I4-1)="",INDEX(Knockout!$J$2:$J$8,I4-1)=""),"",IF(J4&lt;=INDEX(Knockout!$I$2:$I$8,I4-1)+INDEX(Knockout!$J$2:$J$8,I4-1),INDEX(Knockout!$A$2:$A$8,I4-1),""))</f>
        <v/>
      </c>
      <c r="B4" t="str">
        <f>IF(A4="","",IF(J4&lt;=INDEX(Knockout!$I$2:$I$8,I4-1),INDEX(Knockout!$G$2:$G$8,I4-1),INDEX(Knockout!$H$2:$H$8,I4-1)))</f>
        <v/>
      </c>
      <c r="C4" t="str">
        <f>IF(A4="","",COUNTIFS($A$2:A4,A4,$B$2:B4,B4))</f>
        <v/>
      </c>
      <c r="D4" s="2" t="str">
        <f t="shared" si="0"/>
        <v/>
      </c>
      <c r="E4" s="2"/>
      <c r="F4" t="str">
        <f t="shared" si="1"/>
        <v/>
      </c>
      <c r="G4" t="str">
        <f t="shared" si="2"/>
        <v/>
      </c>
      <c r="H4" t="str">
        <f>IF(F4="","",VLOOKUP(F4,Validation!$A$2:$B$17,2,FALSE))</f>
        <v/>
      </c>
      <c r="I4">
        <f>INT((ROW()-2)/Settings!$B$6)+2</f>
        <v>2</v>
      </c>
      <c r="J4">
        <f>MOD(ROW()-2,Settings!$B$6)+1</f>
        <v>3</v>
      </c>
    </row>
    <row r="5" spans="1:26" x14ac:dyDescent="0.3">
      <c r="A5" t="str">
        <f>IF(OR(INDEX(Knockout!$I$2:$I$8,I5-1)="",INDEX(Knockout!$J$2:$J$8,I5-1)=""),"",IF(J5&lt;=INDEX(Knockout!$I$2:$I$8,I5-1)+INDEX(Knockout!$J$2:$J$8,I5-1),INDEX(Knockout!$A$2:$A$8,I5-1),""))</f>
        <v/>
      </c>
      <c r="B5" t="str">
        <f>IF(A5="","",IF(J5&lt;=INDEX(Knockout!$I$2:$I$8,I5-1),INDEX(Knockout!$G$2:$G$8,I5-1),INDEX(Knockout!$H$2:$H$8,I5-1)))</f>
        <v/>
      </c>
      <c r="C5" t="str">
        <f>IF(A5="","",COUNTIFS($A$2:A5,A5,$B$2:B5,B5))</f>
        <v/>
      </c>
      <c r="D5" s="2" t="str">
        <f t="shared" si="0"/>
        <v/>
      </c>
      <c r="E5" s="2"/>
      <c r="F5" t="str">
        <f t="shared" si="1"/>
        <v/>
      </c>
      <c r="G5" t="str">
        <f t="shared" si="2"/>
        <v/>
      </c>
      <c r="H5" t="str">
        <f>IF(F5="","",VLOOKUP(F5,Validation!$A$2:$B$17,2,FALSE))</f>
        <v/>
      </c>
      <c r="I5">
        <f>INT((ROW()-2)/Settings!$B$6)+2</f>
        <v>2</v>
      </c>
      <c r="J5">
        <f>MOD(ROW()-2,Settings!$B$6)+1</f>
        <v>4</v>
      </c>
    </row>
    <row r="6" spans="1:26" x14ac:dyDescent="0.3">
      <c r="A6" t="str">
        <f>IF(OR(INDEX(Knockout!$I$2:$I$8,I6-1)="",INDEX(Knockout!$J$2:$J$8,I6-1)=""),"",IF(J6&lt;=INDEX(Knockout!$I$2:$I$8,I6-1)+INDEX(Knockout!$J$2:$J$8,I6-1),INDEX(Knockout!$A$2:$A$8,I6-1),""))</f>
        <v/>
      </c>
      <c r="B6" t="str">
        <f>IF(A6="","",IF(J6&lt;=INDEX(Knockout!$I$2:$I$8,I6-1),INDEX(Knockout!$G$2:$G$8,I6-1),INDEX(Knockout!$H$2:$H$8,I6-1)))</f>
        <v/>
      </c>
      <c r="C6" t="str">
        <f>IF(A6="","",COUNTIFS($A$2:A6,A6,$B$2:B6,B6))</f>
        <v/>
      </c>
      <c r="D6" s="2" t="str">
        <f t="shared" si="0"/>
        <v/>
      </c>
      <c r="E6" s="2"/>
      <c r="F6" t="str">
        <f t="shared" si="1"/>
        <v/>
      </c>
      <c r="G6" t="str">
        <f t="shared" si="2"/>
        <v/>
      </c>
      <c r="H6" t="str">
        <f>IF(F6="","",VLOOKUP(F6,Validation!$A$2:$B$17,2,FALSE))</f>
        <v/>
      </c>
      <c r="I6">
        <f>INT((ROW()-2)/Settings!$B$6)+2</f>
        <v>2</v>
      </c>
      <c r="J6">
        <f>MOD(ROW()-2,Settings!$B$6)+1</f>
        <v>5</v>
      </c>
    </row>
    <row r="7" spans="1:26" x14ac:dyDescent="0.3">
      <c r="A7" t="str">
        <f>IF(OR(INDEX(Knockout!$I$2:$I$8,I7-1)="",INDEX(Knockout!$J$2:$J$8,I7-1)=""),"",IF(J7&lt;=INDEX(Knockout!$I$2:$I$8,I7-1)+INDEX(Knockout!$J$2:$J$8,I7-1),INDEX(Knockout!$A$2:$A$8,I7-1),""))</f>
        <v/>
      </c>
      <c r="B7" t="str">
        <f>IF(A7="","",IF(J7&lt;=INDEX(Knockout!$I$2:$I$8,I7-1),INDEX(Knockout!$G$2:$G$8,I7-1),INDEX(Knockout!$H$2:$H$8,I7-1)))</f>
        <v/>
      </c>
      <c r="C7" t="str">
        <f>IF(A7="","",COUNTIFS($A$2:A7,A7,$B$2:B7,B7))</f>
        <v/>
      </c>
      <c r="D7" s="2" t="str">
        <f t="shared" si="0"/>
        <v/>
      </c>
      <c r="E7" s="2"/>
      <c r="F7" t="str">
        <f t="shared" si="1"/>
        <v/>
      </c>
      <c r="G7" t="str">
        <f t="shared" si="2"/>
        <v/>
      </c>
      <c r="H7" t="str">
        <f>IF(F7="","",VLOOKUP(F7,Validation!$A$2:$B$17,2,FALSE))</f>
        <v/>
      </c>
      <c r="I7">
        <f>INT((ROW()-2)/Settings!$B$6)+2</f>
        <v>2</v>
      </c>
      <c r="J7">
        <f>MOD(ROW()-2,Settings!$B$6)+1</f>
        <v>6</v>
      </c>
    </row>
    <row r="8" spans="1:26" x14ac:dyDescent="0.3">
      <c r="A8" t="str">
        <f>IF(OR(INDEX(Knockout!$I$2:$I$8,I8-1)="",INDEX(Knockout!$J$2:$J$8,I8-1)=""),"",IF(J8&lt;=INDEX(Knockout!$I$2:$I$8,I8-1)+INDEX(Knockout!$J$2:$J$8,I8-1),INDEX(Knockout!$A$2:$A$8,I8-1),""))</f>
        <v/>
      </c>
      <c r="B8" t="str">
        <f>IF(A8="","",IF(J8&lt;=INDEX(Knockout!$I$2:$I$8,I8-1),INDEX(Knockout!$G$2:$G$8,I8-1),INDEX(Knockout!$H$2:$H$8,I8-1)))</f>
        <v/>
      </c>
      <c r="C8" t="str">
        <f>IF(A8="","",COUNTIFS($A$2:A8,A8,$B$2:B8,B8))</f>
        <v/>
      </c>
      <c r="D8" s="2" t="str">
        <f t="shared" si="0"/>
        <v/>
      </c>
      <c r="E8" s="2"/>
      <c r="F8" t="str">
        <f t="shared" si="1"/>
        <v/>
      </c>
      <c r="G8" t="str">
        <f t="shared" si="2"/>
        <v/>
      </c>
      <c r="H8" t="str">
        <f>IF(F8="","",VLOOKUP(F8,Validation!$A$2:$B$17,2,FALSE))</f>
        <v/>
      </c>
      <c r="I8">
        <f>INT((ROW()-2)/Settings!$B$6)+2</f>
        <v>2</v>
      </c>
      <c r="J8">
        <f>MOD(ROW()-2,Settings!$B$6)+1</f>
        <v>7</v>
      </c>
    </row>
    <row r="9" spans="1:26" x14ac:dyDescent="0.3">
      <c r="A9" t="str">
        <f>IF(OR(INDEX(Knockout!$I$2:$I$8,I9-1)="",INDEX(Knockout!$J$2:$J$8,I9-1)=""),"",IF(J9&lt;=INDEX(Knockout!$I$2:$I$8,I9-1)+INDEX(Knockout!$J$2:$J$8,I9-1),INDEX(Knockout!$A$2:$A$8,I9-1),""))</f>
        <v/>
      </c>
      <c r="B9" t="str">
        <f>IF(A9="","",IF(J9&lt;=INDEX(Knockout!$I$2:$I$8,I9-1),INDEX(Knockout!$G$2:$G$8,I9-1),INDEX(Knockout!$H$2:$H$8,I9-1)))</f>
        <v/>
      </c>
      <c r="C9" t="str">
        <f>IF(A9="","",COUNTIFS($A$2:A9,A9,$B$2:B9,B9))</f>
        <v/>
      </c>
      <c r="D9" s="2" t="str">
        <f t="shared" si="0"/>
        <v/>
      </c>
      <c r="E9" s="2"/>
      <c r="F9" t="str">
        <f t="shared" si="1"/>
        <v/>
      </c>
      <c r="G9" t="str">
        <f t="shared" si="2"/>
        <v/>
      </c>
      <c r="H9" t="str">
        <f>IF(F9="","",VLOOKUP(F9,Validation!$A$2:$B$17,2,FALSE))</f>
        <v/>
      </c>
      <c r="I9">
        <f>INT((ROW()-2)/Settings!$B$6)+2</f>
        <v>2</v>
      </c>
      <c r="J9">
        <f>MOD(ROW()-2,Settings!$B$6)+1</f>
        <v>8</v>
      </c>
    </row>
    <row r="10" spans="1:26" x14ac:dyDescent="0.3">
      <c r="A10" t="str">
        <f>IF(OR(INDEX(Knockout!$I$2:$I$8,I10-1)="",INDEX(Knockout!$J$2:$J$8,I10-1)=""),"",IF(J10&lt;=INDEX(Knockout!$I$2:$I$8,I10-1)+INDEX(Knockout!$J$2:$J$8,I10-1),INDEX(Knockout!$A$2:$A$8,I10-1),""))</f>
        <v/>
      </c>
      <c r="B10" t="str">
        <f>IF(A10="","",IF(J10&lt;=INDEX(Knockout!$I$2:$I$8,I10-1),INDEX(Knockout!$G$2:$G$8,I10-1),INDEX(Knockout!$H$2:$H$8,I10-1)))</f>
        <v/>
      </c>
      <c r="C10" t="str">
        <f>IF(A10="","",COUNTIFS($A$2:A10,A10,$B$2:B10,B10))</f>
        <v/>
      </c>
      <c r="D10" s="2" t="str">
        <f t="shared" si="0"/>
        <v/>
      </c>
      <c r="E10" s="2"/>
      <c r="F10" t="str">
        <f t="shared" si="1"/>
        <v/>
      </c>
      <c r="G10" t="str">
        <f t="shared" si="2"/>
        <v/>
      </c>
      <c r="H10" t="str">
        <f>IF(F10="","",VLOOKUP(F10,Validation!$A$2:$B$17,2,FALSE))</f>
        <v/>
      </c>
      <c r="I10">
        <f>INT((ROW()-2)/Settings!$B$6)+2</f>
        <v>2</v>
      </c>
      <c r="J10">
        <f>MOD(ROW()-2,Settings!$B$6)+1</f>
        <v>9</v>
      </c>
    </row>
    <row r="11" spans="1:26" x14ac:dyDescent="0.3">
      <c r="A11" t="str">
        <f>IF(OR(INDEX(Knockout!$I$2:$I$8,I11-1)="",INDEX(Knockout!$J$2:$J$8,I11-1)=""),"",IF(J11&lt;=INDEX(Knockout!$I$2:$I$8,I11-1)+INDEX(Knockout!$J$2:$J$8,I11-1),INDEX(Knockout!$A$2:$A$8,I11-1),""))</f>
        <v/>
      </c>
      <c r="B11" t="str">
        <f>IF(A11="","",IF(J11&lt;=INDEX(Knockout!$I$2:$I$8,I11-1),INDEX(Knockout!$G$2:$G$8,I11-1),INDEX(Knockout!$H$2:$H$8,I11-1)))</f>
        <v/>
      </c>
      <c r="C11" t="str">
        <f>IF(A11="","",COUNTIFS($A$2:A11,A11,$B$2:B11,B11))</f>
        <v/>
      </c>
      <c r="D11" s="2" t="str">
        <f t="shared" si="0"/>
        <v/>
      </c>
      <c r="E11" s="2"/>
      <c r="F11" t="str">
        <f t="shared" si="1"/>
        <v/>
      </c>
      <c r="G11" t="str">
        <f t="shared" si="2"/>
        <v/>
      </c>
      <c r="H11" t="str">
        <f>IF(F11="","",VLOOKUP(F11,Validation!$A$2:$B$17,2,FALSE))</f>
        <v/>
      </c>
      <c r="I11">
        <f>INT((ROW()-2)/Settings!$B$6)+2</f>
        <v>2</v>
      </c>
      <c r="J11">
        <f>MOD(ROW()-2,Settings!$B$6)+1</f>
        <v>10</v>
      </c>
    </row>
    <row r="12" spans="1:26" x14ac:dyDescent="0.3">
      <c r="A12" t="str">
        <f>IF(OR(INDEX(Knockout!$I$2:$I$8,I12-1)="",INDEX(Knockout!$J$2:$J$8,I12-1)=""),"",IF(J12&lt;=INDEX(Knockout!$I$2:$I$8,I12-1)+INDEX(Knockout!$J$2:$J$8,I12-1),INDEX(Knockout!$A$2:$A$8,I12-1),""))</f>
        <v/>
      </c>
      <c r="B12" t="str">
        <f>IF(A12="","",IF(J12&lt;=INDEX(Knockout!$I$2:$I$8,I12-1),INDEX(Knockout!$G$2:$G$8,I12-1),INDEX(Knockout!$H$2:$H$8,I12-1)))</f>
        <v/>
      </c>
      <c r="C12" t="str">
        <f>IF(A12="","",COUNTIFS($A$2:A12,A12,$B$2:B12,B12))</f>
        <v/>
      </c>
      <c r="D12" s="2" t="str">
        <f t="shared" si="0"/>
        <v/>
      </c>
      <c r="E12" s="2"/>
      <c r="F12" t="str">
        <f t="shared" si="1"/>
        <v/>
      </c>
      <c r="G12" t="str">
        <f t="shared" si="2"/>
        <v/>
      </c>
      <c r="H12" t="str">
        <f>IF(F12="","",VLOOKUP(F12,Validation!$A$2:$B$17,2,FALSE))</f>
        <v/>
      </c>
      <c r="I12">
        <f>INT((ROW()-2)/Settings!$B$6)+2</f>
        <v>2</v>
      </c>
      <c r="J12">
        <f>MOD(ROW()-2,Settings!$B$6)+1</f>
        <v>11</v>
      </c>
    </row>
    <row r="13" spans="1:26" x14ac:dyDescent="0.3">
      <c r="A13" t="str">
        <f>IF(OR(INDEX(Knockout!$I$2:$I$8,I13-1)="",INDEX(Knockout!$J$2:$J$8,I13-1)=""),"",IF(J13&lt;=INDEX(Knockout!$I$2:$I$8,I13-1)+INDEX(Knockout!$J$2:$J$8,I13-1),INDEX(Knockout!$A$2:$A$8,I13-1),""))</f>
        <v/>
      </c>
      <c r="B13" t="str">
        <f>IF(A13="","",IF(J13&lt;=INDEX(Knockout!$I$2:$I$8,I13-1),INDEX(Knockout!$G$2:$G$8,I13-1),INDEX(Knockout!$H$2:$H$8,I13-1)))</f>
        <v/>
      </c>
      <c r="C13" t="str">
        <f>IF(A13="","",COUNTIFS($A$2:A13,A13,$B$2:B13,B13))</f>
        <v/>
      </c>
      <c r="D13" s="2" t="str">
        <f t="shared" si="0"/>
        <v/>
      </c>
      <c r="E13" s="2"/>
      <c r="F13" t="str">
        <f t="shared" si="1"/>
        <v/>
      </c>
      <c r="G13" t="str">
        <f t="shared" si="2"/>
        <v/>
      </c>
      <c r="H13" t="str">
        <f>IF(F13="","",VLOOKUP(F13,Validation!$A$2:$B$17,2,FALSE))</f>
        <v/>
      </c>
      <c r="I13">
        <f>INT((ROW()-2)/Settings!$B$6)+2</f>
        <v>2</v>
      </c>
      <c r="J13">
        <f>MOD(ROW()-2,Settings!$B$6)+1</f>
        <v>12</v>
      </c>
    </row>
    <row r="14" spans="1:26" x14ac:dyDescent="0.3">
      <c r="A14" t="str">
        <f>IF(OR(INDEX(Knockout!$I$2:$I$8,I14-1)="",INDEX(Knockout!$J$2:$J$8,I14-1)=""),"",IF(J14&lt;=INDEX(Knockout!$I$2:$I$8,I14-1)+INDEX(Knockout!$J$2:$J$8,I14-1),INDEX(Knockout!$A$2:$A$8,I14-1),""))</f>
        <v/>
      </c>
      <c r="B14" t="str">
        <f>IF(A14="","",IF(J14&lt;=INDEX(Knockout!$I$2:$I$8,I14-1),INDEX(Knockout!$G$2:$G$8,I14-1),INDEX(Knockout!$H$2:$H$8,I14-1)))</f>
        <v/>
      </c>
      <c r="C14" t="str">
        <f>IF(A14="","",COUNTIFS($A$2:A14,A14,$B$2:B14,B14))</f>
        <v/>
      </c>
      <c r="D14" s="2" t="str">
        <f t="shared" si="0"/>
        <v/>
      </c>
      <c r="E14" s="2"/>
      <c r="F14" t="str">
        <f t="shared" si="1"/>
        <v/>
      </c>
      <c r="G14" t="str">
        <f t="shared" si="2"/>
        <v/>
      </c>
      <c r="H14" t="str">
        <f>IF(F14="","",VLOOKUP(F14,Validation!$A$2:$B$17,2,FALSE))</f>
        <v/>
      </c>
      <c r="I14">
        <f>INT((ROW()-2)/Settings!$B$6)+2</f>
        <v>3</v>
      </c>
      <c r="J14">
        <f>MOD(ROW()-2,Settings!$B$6)+1</f>
        <v>1</v>
      </c>
    </row>
    <row r="15" spans="1:26" x14ac:dyDescent="0.3">
      <c r="A15" t="str">
        <f>IF(OR(INDEX(Knockout!$I$2:$I$8,I15-1)="",INDEX(Knockout!$J$2:$J$8,I15-1)=""),"",IF(J15&lt;=INDEX(Knockout!$I$2:$I$8,I15-1)+INDEX(Knockout!$J$2:$J$8,I15-1),INDEX(Knockout!$A$2:$A$8,I15-1),""))</f>
        <v/>
      </c>
      <c r="B15" t="str">
        <f>IF(A15="","",IF(J15&lt;=INDEX(Knockout!$I$2:$I$8,I15-1),INDEX(Knockout!$G$2:$G$8,I15-1),INDEX(Knockout!$H$2:$H$8,I15-1)))</f>
        <v/>
      </c>
      <c r="C15" t="str">
        <f>IF(A15="","",COUNTIFS($A$2:A15,A15,$B$2:B15,B15))</f>
        <v/>
      </c>
      <c r="D15" s="2" t="str">
        <f t="shared" si="0"/>
        <v/>
      </c>
      <c r="E15" s="2"/>
      <c r="F15" t="str">
        <f t="shared" si="1"/>
        <v/>
      </c>
      <c r="G15" t="str">
        <f t="shared" si="2"/>
        <v/>
      </c>
      <c r="H15" t="str">
        <f>IF(F15="","",VLOOKUP(F15,Validation!$A$2:$B$17,2,FALSE))</f>
        <v/>
      </c>
      <c r="I15">
        <f>INT((ROW()-2)/Settings!$B$6)+2</f>
        <v>3</v>
      </c>
      <c r="J15">
        <f>MOD(ROW()-2,Settings!$B$6)+1</f>
        <v>2</v>
      </c>
    </row>
    <row r="16" spans="1:26" x14ac:dyDescent="0.3">
      <c r="A16" t="str">
        <f>IF(OR(INDEX(Knockout!$I$2:$I$8,I16-1)="",INDEX(Knockout!$J$2:$J$8,I16-1)=""),"",IF(J16&lt;=INDEX(Knockout!$I$2:$I$8,I16-1)+INDEX(Knockout!$J$2:$J$8,I16-1),INDEX(Knockout!$A$2:$A$8,I16-1),""))</f>
        <v/>
      </c>
      <c r="B16" t="str">
        <f>IF(A16="","",IF(J16&lt;=INDEX(Knockout!$I$2:$I$8,I16-1),INDEX(Knockout!$G$2:$G$8,I16-1),INDEX(Knockout!$H$2:$H$8,I16-1)))</f>
        <v/>
      </c>
      <c r="C16" t="str">
        <f>IF(A16="","",COUNTIFS($A$2:A16,A16,$B$2:B16,B16))</f>
        <v/>
      </c>
      <c r="D16" s="2" t="str">
        <f t="shared" si="0"/>
        <v/>
      </c>
      <c r="E16" s="2"/>
      <c r="F16" t="str">
        <f t="shared" si="1"/>
        <v/>
      </c>
      <c r="G16" t="str">
        <f t="shared" si="2"/>
        <v/>
      </c>
      <c r="H16" t="str">
        <f>IF(F16="","",VLOOKUP(F16,Validation!$A$2:$B$17,2,FALSE))</f>
        <v/>
      </c>
      <c r="I16">
        <f>INT((ROW()-2)/Settings!$B$6)+2</f>
        <v>3</v>
      </c>
      <c r="J16">
        <f>MOD(ROW()-2,Settings!$B$6)+1</f>
        <v>3</v>
      </c>
    </row>
    <row r="17" spans="1:10" x14ac:dyDescent="0.3">
      <c r="A17" t="str">
        <f>IF(OR(INDEX(Knockout!$I$2:$I$8,I17-1)="",INDEX(Knockout!$J$2:$J$8,I17-1)=""),"",IF(J17&lt;=INDEX(Knockout!$I$2:$I$8,I17-1)+INDEX(Knockout!$J$2:$J$8,I17-1),INDEX(Knockout!$A$2:$A$8,I17-1),""))</f>
        <v/>
      </c>
      <c r="B17" t="str">
        <f>IF(A17="","",IF(J17&lt;=INDEX(Knockout!$I$2:$I$8,I17-1),INDEX(Knockout!$G$2:$G$8,I17-1),INDEX(Knockout!$H$2:$H$8,I17-1)))</f>
        <v/>
      </c>
      <c r="C17" t="str">
        <f>IF(A17="","",COUNTIFS($A$2:A17,A17,$B$2:B17,B17))</f>
        <v/>
      </c>
      <c r="D17" s="2" t="str">
        <f t="shared" si="0"/>
        <v/>
      </c>
      <c r="E17" s="2"/>
      <c r="F17" t="str">
        <f t="shared" si="1"/>
        <v/>
      </c>
      <c r="G17" t="str">
        <f t="shared" si="2"/>
        <v/>
      </c>
      <c r="H17" t="str">
        <f>IF(F17="","",VLOOKUP(F17,Validation!$A$2:$B$17,2,FALSE))</f>
        <v/>
      </c>
      <c r="I17">
        <f>INT((ROW()-2)/Settings!$B$6)+2</f>
        <v>3</v>
      </c>
      <c r="J17">
        <f>MOD(ROW()-2,Settings!$B$6)+1</f>
        <v>4</v>
      </c>
    </row>
    <row r="18" spans="1:10" x14ac:dyDescent="0.3">
      <c r="A18" t="str">
        <f>IF(OR(INDEX(Knockout!$I$2:$I$8,I18-1)="",INDEX(Knockout!$J$2:$J$8,I18-1)=""),"",IF(J18&lt;=INDEX(Knockout!$I$2:$I$8,I18-1)+INDEX(Knockout!$J$2:$J$8,I18-1),INDEX(Knockout!$A$2:$A$8,I18-1),""))</f>
        <v/>
      </c>
      <c r="B18" t="str">
        <f>IF(A18="","",IF(J18&lt;=INDEX(Knockout!$I$2:$I$8,I18-1),INDEX(Knockout!$G$2:$G$8,I18-1),INDEX(Knockout!$H$2:$H$8,I18-1)))</f>
        <v/>
      </c>
      <c r="C18" t="str">
        <f>IF(A18="","",COUNTIFS($A$2:A18,A18,$B$2:B18,B18))</f>
        <v/>
      </c>
      <c r="D18" s="2" t="str">
        <f t="shared" si="0"/>
        <v/>
      </c>
      <c r="E18" s="2"/>
      <c r="F18" t="str">
        <f t="shared" si="1"/>
        <v/>
      </c>
      <c r="G18" t="str">
        <f t="shared" si="2"/>
        <v/>
      </c>
      <c r="H18" t="str">
        <f>IF(F18="","",VLOOKUP(F18,Validation!$A$2:$B$17,2,FALSE))</f>
        <v/>
      </c>
      <c r="I18">
        <f>INT((ROW()-2)/Settings!$B$6)+2</f>
        <v>3</v>
      </c>
      <c r="J18">
        <f>MOD(ROW()-2,Settings!$B$6)+1</f>
        <v>5</v>
      </c>
    </row>
    <row r="19" spans="1:10" x14ac:dyDescent="0.3">
      <c r="A19" t="str">
        <f>IF(OR(INDEX(Knockout!$I$2:$I$8,I19-1)="",INDEX(Knockout!$J$2:$J$8,I19-1)=""),"",IF(J19&lt;=INDEX(Knockout!$I$2:$I$8,I19-1)+INDEX(Knockout!$J$2:$J$8,I19-1),INDEX(Knockout!$A$2:$A$8,I19-1),""))</f>
        <v/>
      </c>
      <c r="B19" t="str">
        <f>IF(A19="","",IF(J19&lt;=INDEX(Knockout!$I$2:$I$8,I19-1),INDEX(Knockout!$G$2:$G$8,I19-1),INDEX(Knockout!$H$2:$H$8,I19-1)))</f>
        <v/>
      </c>
      <c r="C19" t="str">
        <f>IF(A19="","",COUNTIFS($A$2:A19,A19,$B$2:B19,B19))</f>
        <v/>
      </c>
      <c r="D19" s="2" t="str">
        <f t="shared" si="0"/>
        <v/>
      </c>
      <c r="E19" s="2"/>
      <c r="F19" t="str">
        <f t="shared" si="1"/>
        <v/>
      </c>
      <c r="G19" t="str">
        <f t="shared" si="2"/>
        <v/>
      </c>
      <c r="H19" t="str">
        <f>IF(F19="","",VLOOKUP(F19,Validation!$A$2:$B$17,2,FALSE))</f>
        <v/>
      </c>
      <c r="I19">
        <f>INT((ROW()-2)/Settings!$B$6)+2</f>
        <v>3</v>
      </c>
      <c r="J19">
        <f>MOD(ROW()-2,Settings!$B$6)+1</f>
        <v>6</v>
      </c>
    </row>
    <row r="20" spans="1:10" x14ac:dyDescent="0.3">
      <c r="A20" t="str">
        <f>IF(OR(INDEX(Knockout!$I$2:$I$8,I20-1)="",INDEX(Knockout!$J$2:$J$8,I20-1)=""),"",IF(J20&lt;=INDEX(Knockout!$I$2:$I$8,I20-1)+INDEX(Knockout!$J$2:$J$8,I20-1),INDEX(Knockout!$A$2:$A$8,I20-1),""))</f>
        <v/>
      </c>
      <c r="B20" t="str">
        <f>IF(A20="","",IF(J20&lt;=INDEX(Knockout!$I$2:$I$8,I20-1),INDEX(Knockout!$G$2:$G$8,I20-1),INDEX(Knockout!$H$2:$H$8,I20-1)))</f>
        <v/>
      </c>
      <c r="C20" t="str">
        <f>IF(A20="","",COUNTIFS($A$2:A20,A20,$B$2:B20,B20))</f>
        <v/>
      </c>
      <c r="D20" s="2" t="str">
        <f t="shared" si="0"/>
        <v/>
      </c>
      <c r="E20" s="2"/>
      <c r="F20" t="str">
        <f t="shared" si="1"/>
        <v/>
      </c>
      <c r="G20" t="str">
        <f t="shared" si="2"/>
        <v/>
      </c>
      <c r="H20" t="str">
        <f>IF(F20="","",VLOOKUP(F20,Validation!$A$2:$B$17,2,FALSE))</f>
        <v/>
      </c>
      <c r="I20">
        <f>INT((ROW()-2)/Settings!$B$6)+2</f>
        <v>3</v>
      </c>
      <c r="J20">
        <f>MOD(ROW()-2,Settings!$B$6)+1</f>
        <v>7</v>
      </c>
    </row>
    <row r="21" spans="1:10" x14ac:dyDescent="0.3">
      <c r="A21" t="str">
        <f>IF(OR(INDEX(Knockout!$I$2:$I$8,I21-1)="",INDEX(Knockout!$J$2:$J$8,I21-1)=""),"",IF(J21&lt;=INDEX(Knockout!$I$2:$I$8,I21-1)+INDEX(Knockout!$J$2:$J$8,I21-1),INDEX(Knockout!$A$2:$A$8,I21-1),""))</f>
        <v/>
      </c>
      <c r="B21" t="str">
        <f>IF(A21="","",IF(J21&lt;=INDEX(Knockout!$I$2:$I$8,I21-1),INDEX(Knockout!$G$2:$G$8,I21-1),INDEX(Knockout!$H$2:$H$8,I21-1)))</f>
        <v/>
      </c>
      <c r="C21" t="str">
        <f>IF(A21="","",COUNTIFS($A$2:A21,A21,$B$2:B21,B21))</f>
        <v/>
      </c>
      <c r="D21" s="2" t="str">
        <f t="shared" si="0"/>
        <v/>
      </c>
      <c r="E21" s="2"/>
      <c r="F21" t="str">
        <f t="shared" si="1"/>
        <v/>
      </c>
      <c r="G21" t="str">
        <f t="shared" si="2"/>
        <v/>
      </c>
      <c r="H21" t="str">
        <f>IF(F21="","",VLOOKUP(F21,Validation!$A$2:$B$17,2,FALSE))</f>
        <v/>
      </c>
      <c r="I21">
        <f>INT((ROW()-2)/Settings!$B$6)+2</f>
        <v>3</v>
      </c>
      <c r="J21">
        <f>MOD(ROW()-2,Settings!$B$6)+1</f>
        <v>8</v>
      </c>
    </row>
    <row r="22" spans="1:10" x14ac:dyDescent="0.3">
      <c r="A22" t="str">
        <f>IF(OR(INDEX(Knockout!$I$2:$I$8,I22-1)="",INDEX(Knockout!$J$2:$J$8,I22-1)=""),"",IF(J22&lt;=INDEX(Knockout!$I$2:$I$8,I22-1)+INDEX(Knockout!$J$2:$J$8,I22-1),INDEX(Knockout!$A$2:$A$8,I22-1),""))</f>
        <v/>
      </c>
      <c r="B22" t="str">
        <f>IF(A22="","",IF(J22&lt;=INDEX(Knockout!$I$2:$I$8,I22-1),INDEX(Knockout!$G$2:$G$8,I22-1),INDEX(Knockout!$H$2:$H$8,I22-1)))</f>
        <v/>
      </c>
      <c r="C22" t="str">
        <f>IF(A22="","",COUNTIFS($A$2:A22,A22,$B$2:B22,B22))</f>
        <v/>
      </c>
      <c r="D22" s="2" t="str">
        <f t="shared" si="0"/>
        <v/>
      </c>
      <c r="E22" s="2"/>
      <c r="F22" t="str">
        <f t="shared" si="1"/>
        <v/>
      </c>
      <c r="G22" t="str">
        <f t="shared" si="2"/>
        <v/>
      </c>
      <c r="H22" t="str">
        <f>IF(F22="","",VLOOKUP(F22,Validation!$A$2:$B$17,2,FALSE))</f>
        <v/>
      </c>
      <c r="I22">
        <f>INT((ROW()-2)/Settings!$B$6)+2</f>
        <v>3</v>
      </c>
      <c r="J22">
        <f>MOD(ROW()-2,Settings!$B$6)+1</f>
        <v>9</v>
      </c>
    </row>
    <row r="23" spans="1:10" x14ac:dyDescent="0.3">
      <c r="A23" t="str">
        <f>IF(OR(INDEX(Knockout!$I$2:$I$8,I23-1)="",INDEX(Knockout!$J$2:$J$8,I23-1)=""),"",IF(J23&lt;=INDEX(Knockout!$I$2:$I$8,I23-1)+INDEX(Knockout!$J$2:$J$8,I23-1),INDEX(Knockout!$A$2:$A$8,I23-1),""))</f>
        <v/>
      </c>
      <c r="B23" t="str">
        <f>IF(A23="","",IF(J23&lt;=INDEX(Knockout!$I$2:$I$8,I23-1),INDEX(Knockout!$G$2:$G$8,I23-1),INDEX(Knockout!$H$2:$H$8,I23-1)))</f>
        <v/>
      </c>
      <c r="C23" t="str">
        <f>IF(A23="","",COUNTIFS($A$2:A23,A23,$B$2:B23,B23))</f>
        <v/>
      </c>
      <c r="D23" s="2" t="str">
        <f t="shared" si="0"/>
        <v/>
      </c>
      <c r="E23" s="2"/>
      <c r="F23" t="str">
        <f t="shared" si="1"/>
        <v/>
      </c>
      <c r="G23" t="str">
        <f t="shared" si="2"/>
        <v/>
      </c>
      <c r="H23" t="str">
        <f>IF(F23="","",VLOOKUP(F23,Validation!$A$2:$B$17,2,FALSE))</f>
        <v/>
      </c>
      <c r="I23">
        <f>INT((ROW()-2)/Settings!$B$6)+2</f>
        <v>3</v>
      </c>
      <c r="J23">
        <f>MOD(ROW()-2,Settings!$B$6)+1</f>
        <v>10</v>
      </c>
    </row>
    <row r="24" spans="1:10" x14ac:dyDescent="0.3">
      <c r="A24" t="str">
        <f>IF(OR(INDEX(Knockout!$I$2:$I$8,I24-1)="",INDEX(Knockout!$J$2:$J$8,I24-1)=""),"",IF(J24&lt;=INDEX(Knockout!$I$2:$I$8,I24-1)+INDEX(Knockout!$J$2:$J$8,I24-1),INDEX(Knockout!$A$2:$A$8,I24-1),""))</f>
        <v/>
      </c>
      <c r="B24" t="str">
        <f>IF(A24="","",IF(J24&lt;=INDEX(Knockout!$I$2:$I$8,I24-1),INDEX(Knockout!$G$2:$G$8,I24-1),INDEX(Knockout!$H$2:$H$8,I24-1)))</f>
        <v/>
      </c>
      <c r="C24" t="str">
        <f>IF(A24="","",COUNTIFS($A$2:A24,A24,$B$2:B24,B24))</f>
        <v/>
      </c>
      <c r="D24" s="2" t="str">
        <f t="shared" si="0"/>
        <v/>
      </c>
      <c r="E24" s="2"/>
      <c r="F24" t="str">
        <f t="shared" si="1"/>
        <v/>
      </c>
      <c r="G24" t="str">
        <f t="shared" si="2"/>
        <v/>
      </c>
      <c r="H24" t="str">
        <f>IF(F24="","",VLOOKUP(F24,Validation!$A$2:$B$17,2,FALSE))</f>
        <v/>
      </c>
      <c r="I24">
        <f>INT((ROW()-2)/Settings!$B$6)+2</f>
        <v>3</v>
      </c>
      <c r="J24">
        <f>MOD(ROW()-2,Settings!$B$6)+1</f>
        <v>11</v>
      </c>
    </row>
    <row r="25" spans="1:10" x14ac:dyDescent="0.3">
      <c r="A25" t="str">
        <f>IF(OR(INDEX(Knockout!$I$2:$I$8,I25-1)="",INDEX(Knockout!$J$2:$J$8,I25-1)=""),"",IF(J25&lt;=INDEX(Knockout!$I$2:$I$8,I25-1)+INDEX(Knockout!$J$2:$J$8,I25-1),INDEX(Knockout!$A$2:$A$8,I25-1),""))</f>
        <v/>
      </c>
      <c r="B25" t="str">
        <f>IF(A25="","",IF(J25&lt;=INDEX(Knockout!$I$2:$I$8,I25-1),INDEX(Knockout!$G$2:$G$8,I25-1),INDEX(Knockout!$H$2:$H$8,I25-1)))</f>
        <v/>
      </c>
      <c r="C25" t="str">
        <f>IF(A25="","",COUNTIFS($A$2:A25,A25,$B$2:B25,B25))</f>
        <v/>
      </c>
      <c r="D25" s="2" t="str">
        <f t="shared" si="0"/>
        <v/>
      </c>
      <c r="E25" s="2"/>
      <c r="F25" t="str">
        <f t="shared" si="1"/>
        <v/>
      </c>
      <c r="G25" t="str">
        <f t="shared" si="2"/>
        <v/>
      </c>
      <c r="H25" t="str">
        <f>IF(F25="","",VLOOKUP(F25,Validation!$A$2:$B$17,2,FALSE))</f>
        <v/>
      </c>
      <c r="I25">
        <f>INT((ROW()-2)/Settings!$B$6)+2</f>
        <v>3</v>
      </c>
      <c r="J25">
        <f>MOD(ROW()-2,Settings!$B$6)+1</f>
        <v>12</v>
      </c>
    </row>
    <row r="26" spans="1:10" x14ac:dyDescent="0.3">
      <c r="A26" t="str">
        <f>IF(OR(INDEX(Knockout!$I$2:$I$8,I26-1)="",INDEX(Knockout!$J$2:$J$8,I26-1)=""),"",IF(J26&lt;=INDEX(Knockout!$I$2:$I$8,I26-1)+INDEX(Knockout!$J$2:$J$8,I26-1),INDEX(Knockout!$A$2:$A$8,I26-1),""))</f>
        <v/>
      </c>
      <c r="B26" t="str">
        <f>IF(A26="","",IF(J26&lt;=INDEX(Knockout!$I$2:$I$8,I26-1),INDEX(Knockout!$G$2:$G$8,I26-1),INDEX(Knockout!$H$2:$H$8,I26-1)))</f>
        <v/>
      </c>
      <c r="C26" t="str">
        <f>IF(A26="","",COUNTIFS($A$2:A26,A26,$B$2:B26,B26))</f>
        <v/>
      </c>
      <c r="D26" s="2" t="str">
        <f t="shared" si="0"/>
        <v/>
      </c>
      <c r="E26" s="2"/>
      <c r="F26" t="str">
        <f t="shared" si="1"/>
        <v/>
      </c>
      <c r="G26" t="str">
        <f t="shared" si="2"/>
        <v/>
      </c>
      <c r="H26" t="str">
        <f>IF(F26="","",VLOOKUP(F26,Validation!$A$2:$B$17,2,FALSE))</f>
        <v/>
      </c>
      <c r="I26">
        <f>INT((ROW()-2)/Settings!$B$6)+2</f>
        <v>4</v>
      </c>
      <c r="J26">
        <f>MOD(ROW()-2,Settings!$B$6)+1</f>
        <v>1</v>
      </c>
    </row>
    <row r="27" spans="1:10" x14ac:dyDescent="0.3">
      <c r="A27" t="str">
        <f>IF(OR(INDEX(Knockout!$I$2:$I$8,I27-1)="",INDEX(Knockout!$J$2:$J$8,I27-1)=""),"",IF(J27&lt;=INDEX(Knockout!$I$2:$I$8,I27-1)+INDEX(Knockout!$J$2:$J$8,I27-1),INDEX(Knockout!$A$2:$A$8,I27-1),""))</f>
        <v/>
      </c>
      <c r="B27" t="str">
        <f>IF(A27="","",IF(J27&lt;=INDEX(Knockout!$I$2:$I$8,I27-1),INDEX(Knockout!$G$2:$G$8,I27-1),INDEX(Knockout!$H$2:$H$8,I27-1)))</f>
        <v/>
      </c>
      <c r="C27" t="str">
        <f>IF(A27="","",COUNTIFS($A$2:A27,A27,$B$2:B27,B27))</f>
        <v/>
      </c>
      <c r="D27" s="2" t="str">
        <f t="shared" si="0"/>
        <v/>
      </c>
      <c r="E27" s="2"/>
      <c r="F27" t="str">
        <f t="shared" si="1"/>
        <v/>
      </c>
      <c r="G27" t="str">
        <f t="shared" si="2"/>
        <v/>
      </c>
      <c r="H27" t="str">
        <f>IF(F27="","",VLOOKUP(F27,Validation!$A$2:$B$17,2,FALSE))</f>
        <v/>
      </c>
      <c r="I27">
        <f>INT((ROW()-2)/Settings!$B$6)+2</f>
        <v>4</v>
      </c>
      <c r="J27">
        <f>MOD(ROW()-2,Settings!$B$6)+1</f>
        <v>2</v>
      </c>
    </row>
    <row r="28" spans="1:10" x14ac:dyDescent="0.3">
      <c r="A28" t="str">
        <f>IF(OR(INDEX(Knockout!$I$2:$I$8,I28-1)="",INDEX(Knockout!$J$2:$J$8,I28-1)=""),"",IF(J28&lt;=INDEX(Knockout!$I$2:$I$8,I28-1)+INDEX(Knockout!$J$2:$J$8,I28-1),INDEX(Knockout!$A$2:$A$8,I28-1),""))</f>
        <v/>
      </c>
      <c r="B28" t="str">
        <f>IF(A28="","",IF(J28&lt;=INDEX(Knockout!$I$2:$I$8,I28-1),INDEX(Knockout!$G$2:$G$8,I28-1),INDEX(Knockout!$H$2:$H$8,I28-1)))</f>
        <v/>
      </c>
      <c r="C28" t="str">
        <f>IF(A28="","",COUNTIFS($A$2:A28,A28,$B$2:B28,B28))</f>
        <v/>
      </c>
      <c r="D28" s="2" t="str">
        <f t="shared" si="0"/>
        <v/>
      </c>
      <c r="E28" s="2"/>
      <c r="F28" t="str">
        <f t="shared" si="1"/>
        <v/>
      </c>
      <c r="G28" t="str">
        <f t="shared" si="2"/>
        <v/>
      </c>
      <c r="H28" t="str">
        <f>IF(F28="","",VLOOKUP(F28,Validation!$A$2:$B$17,2,FALSE))</f>
        <v/>
      </c>
      <c r="I28">
        <f>INT((ROW()-2)/Settings!$B$6)+2</f>
        <v>4</v>
      </c>
      <c r="J28">
        <f>MOD(ROW()-2,Settings!$B$6)+1</f>
        <v>3</v>
      </c>
    </row>
    <row r="29" spans="1:10" x14ac:dyDescent="0.3">
      <c r="A29" t="str">
        <f>IF(OR(INDEX(Knockout!$I$2:$I$8,I29-1)="",INDEX(Knockout!$J$2:$J$8,I29-1)=""),"",IF(J29&lt;=INDEX(Knockout!$I$2:$I$8,I29-1)+INDEX(Knockout!$J$2:$J$8,I29-1),INDEX(Knockout!$A$2:$A$8,I29-1),""))</f>
        <v/>
      </c>
      <c r="B29" t="str">
        <f>IF(A29="","",IF(J29&lt;=INDEX(Knockout!$I$2:$I$8,I29-1),INDEX(Knockout!$G$2:$G$8,I29-1),INDEX(Knockout!$H$2:$H$8,I29-1)))</f>
        <v/>
      </c>
      <c r="C29" t="str">
        <f>IF(A29="","",COUNTIFS($A$2:A29,A29,$B$2:B29,B29))</f>
        <v/>
      </c>
      <c r="D29" s="2" t="str">
        <f t="shared" si="0"/>
        <v/>
      </c>
      <c r="E29" s="2"/>
      <c r="F29" t="str">
        <f t="shared" si="1"/>
        <v/>
      </c>
      <c r="G29" t="str">
        <f t="shared" si="2"/>
        <v/>
      </c>
      <c r="H29" t="str">
        <f>IF(F29="","",VLOOKUP(F29,Validation!$A$2:$B$17,2,FALSE))</f>
        <v/>
      </c>
      <c r="I29">
        <f>INT((ROW()-2)/Settings!$B$6)+2</f>
        <v>4</v>
      </c>
      <c r="J29">
        <f>MOD(ROW()-2,Settings!$B$6)+1</f>
        <v>4</v>
      </c>
    </row>
    <row r="30" spans="1:10" x14ac:dyDescent="0.3">
      <c r="A30" t="str">
        <f>IF(OR(INDEX(Knockout!$I$2:$I$8,I30-1)="",INDEX(Knockout!$J$2:$J$8,I30-1)=""),"",IF(J30&lt;=INDEX(Knockout!$I$2:$I$8,I30-1)+INDEX(Knockout!$J$2:$J$8,I30-1),INDEX(Knockout!$A$2:$A$8,I30-1),""))</f>
        <v/>
      </c>
      <c r="B30" t="str">
        <f>IF(A30="","",IF(J30&lt;=INDEX(Knockout!$I$2:$I$8,I30-1),INDEX(Knockout!$G$2:$G$8,I30-1),INDEX(Knockout!$H$2:$H$8,I30-1)))</f>
        <v/>
      </c>
      <c r="C30" t="str">
        <f>IF(A30="","",COUNTIFS($A$2:A30,A30,$B$2:B30,B30))</f>
        <v/>
      </c>
      <c r="D30" s="2" t="str">
        <f t="shared" si="0"/>
        <v/>
      </c>
      <c r="E30" s="2"/>
      <c r="F30" t="str">
        <f t="shared" si="1"/>
        <v/>
      </c>
      <c r="G30" t="str">
        <f t="shared" si="2"/>
        <v/>
      </c>
      <c r="H30" t="str">
        <f>IF(F30="","",VLOOKUP(F30,Validation!$A$2:$B$17,2,FALSE))</f>
        <v/>
      </c>
      <c r="I30">
        <f>INT((ROW()-2)/Settings!$B$6)+2</f>
        <v>4</v>
      </c>
      <c r="J30">
        <f>MOD(ROW()-2,Settings!$B$6)+1</f>
        <v>5</v>
      </c>
    </row>
    <row r="31" spans="1:10" x14ac:dyDescent="0.3">
      <c r="A31" t="str">
        <f>IF(OR(INDEX(Knockout!$I$2:$I$8,I31-1)="",INDEX(Knockout!$J$2:$J$8,I31-1)=""),"",IF(J31&lt;=INDEX(Knockout!$I$2:$I$8,I31-1)+INDEX(Knockout!$J$2:$J$8,I31-1),INDEX(Knockout!$A$2:$A$8,I31-1),""))</f>
        <v/>
      </c>
      <c r="B31" t="str">
        <f>IF(A31="","",IF(J31&lt;=INDEX(Knockout!$I$2:$I$8,I31-1),INDEX(Knockout!$G$2:$G$8,I31-1),INDEX(Knockout!$H$2:$H$8,I31-1)))</f>
        <v/>
      </c>
      <c r="C31" t="str">
        <f>IF(A31="","",COUNTIFS($A$2:A31,A31,$B$2:B31,B31))</f>
        <v/>
      </c>
      <c r="D31" s="2" t="str">
        <f t="shared" si="0"/>
        <v/>
      </c>
      <c r="E31" s="2"/>
      <c r="F31" t="str">
        <f t="shared" si="1"/>
        <v/>
      </c>
      <c r="G31" t="str">
        <f t="shared" si="2"/>
        <v/>
      </c>
      <c r="H31" t="str">
        <f>IF(F31="","",VLOOKUP(F31,Validation!$A$2:$B$17,2,FALSE))</f>
        <v/>
      </c>
      <c r="I31">
        <f>INT((ROW()-2)/Settings!$B$6)+2</f>
        <v>4</v>
      </c>
      <c r="J31">
        <f>MOD(ROW()-2,Settings!$B$6)+1</f>
        <v>6</v>
      </c>
    </row>
    <row r="32" spans="1:10" x14ac:dyDescent="0.3">
      <c r="A32" t="str">
        <f>IF(OR(INDEX(Knockout!$I$2:$I$8,I32-1)="",INDEX(Knockout!$J$2:$J$8,I32-1)=""),"",IF(J32&lt;=INDEX(Knockout!$I$2:$I$8,I32-1)+INDEX(Knockout!$J$2:$J$8,I32-1),INDEX(Knockout!$A$2:$A$8,I32-1),""))</f>
        <v/>
      </c>
      <c r="B32" t="str">
        <f>IF(A32="","",IF(J32&lt;=INDEX(Knockout!$I$2:$I$8,I32-1),INDEX(Knockout!$G$2:$G$8,I32-1),INDEX(Knockout!$H$2:$H$8,I32-1)))</f>
        <v/>
      </c>
      <c r="C32" t="str">
        <f>IF(A32="","",COUNTIFS($A$2:A32,A32,$B$2:B32,B32))</f>
        <v/>
      </c>
      <c r="D32" s="2" t="str">
        <f t="shared" si="0"/>
        <v/>
      </c>
      <c r="E32" s="2"/>
      <c r="F32" t="str">
        <f t="shared" si="1"/>
        <v/>
      </c>
      <c r="G32" t="str">
        <f t="shared" si="2"/>
        <v/>
      </c>
      <c r="H32" t="str">
        <f>IF(F32="","",VLOOKUP(F32,Validation!$A$2:$B$17,2,FALSE))</f>
        <v/>
      </c>
      <c r="I32">
        <f>INT((ROW()-2)/Settings!$B$6)+2</f>
        <v>4</v>
      </c>
      <c r="J32">
        <f>MOD(ROW()-2,Settings!$B$6)+1</f>
        <v>7</v>
      </c>
    </row>
    <row r="33" spans="1:10" x14ac:dyDescent="0.3">
      <c r="A33" t="str">
        <f>IF(OR(INDEX(Knockout!$I$2:$I$8,I33-1)="",INDEX(Knockout!$J$2:$J$8,I33-1)=""),"",IF(J33&lt;=INDEX(Knockout!$I$2:$I$8,I33-1)+INDEX(Knockout!$J$2:$J$8,I33-1),INDEX(Knockout!$A$2:$A$8,I33-1),""))</f>
        <v/>
      </c>
      <c r="B33" t="str">
        <f>IF(A33="","",IF(J33&lt;=INDEX(Knockout!$I$2:$I$8,I33-1),INDEX(Knockout!$G$2:$G$8,I33-1),INDEX(Knockout!$H$2:$H$8,I33-1)))</f>
        <v/>
      </c>
      <c r="C33" t="str">
        <f>IF(A33="","",COUNTIFS($A$2:A33,A33,$B$2:B33,B33))</f>
        <v/>
      </c>
      <c r="D33" s="2" t="str">
        <f t="shared" si="0"/>
        <v/>
      </c>
      <c r="E33" s="2"/>
      <c r="F33" t="str">
        <f t="shared" si="1"/>
        <v/>
      </c>
      <c r="G33" t="str">
        <f t="shared" si="2"/>
        <v/>
      </c>
      <c r="H33" t="str">
        <f>IF(F33="","",VLOOKUP(F33,Validation!$A$2:$B$17,2,FALSE))</f>
        <v/>
      </c>
      <c r="I33">
        <f>INT((ROW()-2)/Settings!$B$6)+2</f>
        <v>4</v>
      </c>
      <c r="J33">
        <f>MOD(ROW()-2,Settings!$B$6)+1</f>
        <v>8</v>
      </c>
    </row>
    <row r="34" spans="1:10" x14ac:dyDescent="0.3">
      <c r="A34" t="str">
        <f>IF(OR(INDEX(Knockout!$I$2:$I$8,I34-1)="",INDEX(Knockout!$J$2:$J$8,I34-1)=""),"",IF(J34&lt;=INDEX(Knockout!$I$2:$I$8,I34-1)+INDEX(Knockout!$J$2:$J$8,I34-1),INDEX(Knockout!$A$2:$A$8,I34-1),""))</f>
        <v/>
      </c>
      <c r="B34" t="str">
        <f>IF(A34="","",IF(J34&lt;=INDEX(Knockout!$I$2:$I$8,I34-1),INDEX(Knockout!$G$2:$G$8,I34-1),INDEX(Knockout!$H$2:$H$8,I34-1)))</f>
        <v/>
      </c>
      <c r="C34" t="str">
        <f>IF(A34="","",COUNTIFS($A$2:A34,A34,$B$2:B34,B34))</f>
        <v/>
      </c>
      <c r="D34" s="2" t="str">
        <f t="shared" ref="D34:D65" si="3">IF(A34="","","Goal")</f>
        <v/>
      </c>
      <c r="E34" s="2"/>
      <c r="F34" t="str">
        <f t="shared" ref="F34:F65" si="4">IF(A34="","",IF(D34="Autogol","",IF(D34="Goal",B34,"")))</f>
        <v/>
      </c>
      <c r="G34" t="str">
        <f t="shared" ref="G34:G65" si="5">IF(A34="","",IF(D34="","Manca tipo",IF(D34="Goal",IF(E34="","Manca giocatore","OK"),IF(D34="Autogol",IF(E34&lt;&gt;"","Autogol: svuota Player","OK"),"Tipo non valido"))))</f>
        <v/>
      </c>
      <c r="H34" t="str">
        <f>IF(F34="","",VLOOKUP(F34,Validation!$A$2:$B$17,2,FALSE))</f>
        <v/>
      </c>
      <c r="I34">
        <f>INT((ROW()-2)/Settings!$B$6)+2</f>
        <v>4</v>
      </c>
      <c r="J34">
        <f>MOD(ROW()-2,Settings!$B$6)+1</f>
        <v>9</v>
      </c>
    </row>
    <row r="35" spans="1:10" x14ac:dyDescent="0.3">
      <c r="A35" t="str">
        <f>IF(OR(INDEX(Knockout!$I$2:$I$8,I35-1)="",INDEX(Knockout!$J$2:$J$8,I35-1)=""),"",IF(J35&lt;=INDEX(Knockout!$I$2:$I$8,I35-1)+INDEX(Knockout!$J$2:$J$8,I35-1),INDEX(Knockout!$A$2:$A$8,I35-1),""))</f>
        <v/>
      </c>
      <c r="B35" t="str">
        <f>IF(A35="","",IF(J35&lt;=INDEX(Knockout!$I$2:$I$8,I35-1),INDEX(Knockout!$G$2:$G$8,I35-1),INDEX(Knockout!$H$2:$H$8,I35-1)))</f>
        <v/>
      </c>
      <c r="C35" t="str">
        <f>IF(A35="","",COUNTIFS($A$2:A35,A35,$B$2:B35,B35))</f>
        <v/>
      </c>
      <c r="D35" s="2" t="str">
        <f t="shared" si="3"/>
        <v/>
      </c>
      <c r="E35" s="2"/>
      <c r="F35" t="str">
        <f t="shared" si="4"/>
        <v/>
      </c>
      <c r="G35" t="str">
        <f t="shared" si="5"/>
        <v/>
      </c>
      <c r="H35" t="str">
        <f>IF(F35="","",VLOOKUP(F35,Validation!$A$2:$B$17,2,FALSE))</f>
        <v/>
      </c>
      <c r="I35">
        <f>INT((ROW()-2)/Settings!$B$6)+2</f>
        <v>4</v>
      </c>
      <c r="J35">
        <f>MOD(ROW()-2,Settings!$B$6)+1</f>
        <v>10</v>
      </c>
    </row>
    <row r="36" spans="1:10" x14ac:dyDescent="0.3">
      <c r="A36" t="str">
        <f>IF(OR(INDEX(Knockout!$I$2:$I$8,I36-1)="",INDEX(Knockout!$J$2:$J$8,I36-1)=""),"",IF(J36&lt;=INDEX(Knockout!$I$2:$I$8,I36-1)+INDEX(Knockout!$J$2:$J$8,I36-1),INDEX(Knockout!$A$2:$A$8,I36-1),""))</f>
        <v/>
      </c>
      <c r="B36" t="str">
        <f>IF(A36="","",IF(J36&lt;=INDEX(Knockout!$I$2:$I$8,I36-1),INDEX(Knockout!$G$2:$G$8,I36-1),INDEX(Knockout!$H$2:$H$8,I36-1)))</f>
        <v/>
      </c>
      <c r="C36" t="str">
        <f>IF(A36="","",COUNTIFS($A$2:A36,A36,$B$2:B36,B36))</f>
        <v/>
      </c>
      <c r="D36" s="2" t="str">
        <f t="shared" si="3"/>
        <v/>
      </c>
      <c r="E36" s="2"/>
      <c r="F36" t="str">
        <f t="shared" si="4"/>
        <v/>
      </c>
      <c r="G36" t="str">
        <f t="shared" si="5"/>
        <v/>
      </c>
      <c r="H36" t="str">
        <f>IF(F36="","",VLOOKUP(F36,Validation!$A$2:$B$17,2,FALSE))</f>
        <v/>
      </c>
      <c r="I36">
        <f>INT((ROW()-2)/Settings!$B$6)+2</f>
        <v>4</v>
      </c>
      <c r="J36">
        <f>MOD(ROW()-2,Settings!$B$6)+1</f>
        <v>11</v>
      </c>
    </row>
    <row r="37" spans="1:10" x14ac:dyDescent="0.3">
      <c r="A37" t="str">
        <f>IF(OR(INDEX(Knockout!$I$2:$I$8,I37-1)="",INDEX(Knockout!$J$2:$J$8,I37-1)=""),"",IF(J37&lt;=INDEX(Knockout!$I$2:$I$8,I37-1)+INDEX(Knockout!$J$2:$J$8,I37-1),INDEX(Knockout!$A$2:$A$8,I37-1),""))</f>
        <v/>
      </c>
      <c r="B37" t="str">
        <f>IF(A37="","",IF(J37&lt;=INDEX(Knockout!$I$2:$I$8,I37-1),INDEX(Knockout!$G$2:$G$8,I37-1),INDEX(Knockout!$H$2:$H$8,I37-1)))</f>
        <v/>
      </c>
      <c r="C37" t="str">
        <f>IF(A37="","",COUNTIFS($A$2:A37,A37,$B$2:B37,B37))</f>
        <v/>
      </c>
      <c r="D37" s="2" t="str">
        <f t="shared" si="3"/>
        <v/>
      </c>
      <c r="E37" s="2"/>
      <c r="F37" t="str">
        <f t="shared" si="4"/>
        <v/>
      </c>
      <c r="G37" t="str">
        <f t="shared" si="5"/>
        <v/>
      </c>
      <c r="H37" t="str">
        <f>IF(F37="","",VLOOKUP(F37,Validation!$A$2:$B$17,2,FALSE))</f>
        <v/>
      </c>
      <c r="I37">
        <f>INT((ROW()-2)/Settings!$B$6)+2</f>
        <v>4</v>
      </c>
      <c r="J37">
        <f>MOD(ROW()-2,Settings!$B$6)+1</f>
        <v>12</v>
      </c>
    </row>
    <row r="38" spans="1:10" x14ac:dyDescent="0.3">
      <c r="A38" t="str">
        <f>IF(OR(INDEX(Knockout!$I$2:$I$8,I38-1)="",INDEX(Knockout!$J$2:$J$8,I38-1)=""),"",IF(J38&lt;=INDEX(Knockout!$I$2:$I$8,I38-1)+INDEX(Knockout!$J$2:$J$8,I38-1),INDEX(Knockout!$A$2:$A$8,I38-1),""))</f>
        <v/>
      </c>
      <c r="B38" t="str">
        <f>IF(A38="","",IF(J38&lt;=INDEX(Knockout!$I$2:$I$8,I38-1),INDEX(Knockout!$G$2:$G$8,I38-1),INDEX(Knockout!$H$2:$H$8,I38-1)))</f>
        <v/>
      </c>
      <c r="C38" t="str">
        <f>IF(A38="","",COUNTIFS($A$2:A38,A38,$B$2:B38,B38))</f>
        <v/>
      </c>
      <c r="D38" s="2" t="str">
        <f t="shared" si="3"/>
        <v/>
      </c>
      <c r="E38" s="2"/>
      <c r="F38" t="str">
        <f t="shared" si="4"/>
        <v/>
      </c>
      <c r="G38" t="str">
        <f t="shared" si="5"/>
        <v/>
      </c>
      <c r="H38" t="str">
        <f>IF(F38="","",VLOOKUP(F38,Validation!$A$2:$B$17,2,FALSE))</f>
        <v/>
      </c>
      <c r="I38">
        <f>INT((ROW()-2)/Settings!$B$6)+2</f>
        <v>5</v>
      </c>
      <c r="J38">
        <f>MOD(ROW()-2,Settings!$B$6)+1</f>
        <v>1</v>
      </c>
    </row>
    <row r="39" spans="1:10" x14ac:dyDescent="0.3">
      <c r="A39" t="str">
        <f>IF(OR(INDEX(Knockout!$I$2:$I$8,I39-1)="",INDEX(Knockout!$J$2:$J$8,I39-1)=""),"",IF(J39&lt;=INDEX(Knockout!$I$2:$I$8,I39-1)+INDEX(Knockout!$J$2:$J$8,I39-1),INDEX(Knockout!$A$2:$A$8,I39-1),""))</f>
        <v/>
      </c>
      <c r="B39" t="str">
        <f>IF(A39="","",IF(J39&lt;=INDEX(Knockout!$I$2:$I$8,I39-1),INDEX(Knockout!$G$2:$G$8,I39-1),INDEX(Knockout!$H$2:$H$8,I39-1)))</f>
        <v/>
      </c>
      <c r="C39" t="str">
        <f>IF(A39="","",COUNTIFS($A$2:A39,A39,$B$2:B39,B39))</f>
        <v/>
      </c>
      <c r="D39" s="2" t="str">
        <f t="shared" si="3"/>
        <v/>
      </c>
      <c r="E39" s="2"/>
      <c r="F39" t="str">
        <f t="shared" si="4"/>
        <v/>
      </c>
      <c r="G39" t="str">
        <f t="shared" si="5"/>
        <v/>
      </c>
      <c r="H39" t="str">
        <f>IF(F39="","",VLOOKUP(F39,Validation!$A$2:$B$17,2,FALSE))</f>
        <v/>
      </c>
      <c r="I39">
        <f>INT((ROW()-2)/Settings!$B$6)+2</f>
        <v>5</v>
      </c>
      <c r="J39">
        <f>MOD(ROW()-2,Settings!$B$6)+1</f>
        <v>2</v>
      </c>
    </row>
    <row r="40" spans="1:10" x14ac:dyDescent="0.3">
      <c r="A40" t="str">
        <f>IF(OR(INDEX(Knockout!$I$2:$I$8,I40-1)="",INDEX(Knockout!$J$2:$J$8,I40-1)=""),"",IF(J40&lt;=INDEX(Knockout!$I$2:$I$8,I40-1)+INDEX(Knockout!$J$2:$J$8,I40-1),INDEX(Knockout!$A$2:$A$8,I40-1),""))</f>
        <v/>
      </c>
      <c r="B40" t="str">
        <f>IF(A40="","",IF(J40&lt;=INDEX(Knockout!$I$2:$I$8,I40-1),INDEX(Knockout!$G$2:$G$8,I40-1),INDEX(Knockout!$H$2:$H$8,I40-1)))</f>
        <v/>
      </c>
      <c r="C40" t="str">
        <f>IF(A40="","",COUNTIFS($A$2:A40,A40,$B$2:B40,B40))</f>
        <v/>
      </c>
      <c r="D40" s="2" t="str">
        <f t="shared" si="3"/>
        <v/>
      </c>
      <c r="E40" s="2"/>
      <c r="F40" t="str">
        <f t="shared" si="4"/>
        <v/>
      </c>
      <c r="G40" t="str">
        <f t="shared" si="5"/>
        <v/>
      </c>
      <c r="H40" t="str">
        <f>IF(F40="","",VLOOKUP(F40,Validation!$A$2:$B$17,2,FALSE))</f>
        <v/>
      </c>
      <c r="I40">
        <f>INT((ROW()-2)/Settings!$B$6)+2</f>
        <v>5</v>
      </c>
      <c r="J40">
        <f>MOD(ROW()-2,Settings!$B$6)+1</f>
        <v>3</v>
      </c>
    </row>
    <row r="41" spans="1:10" x14ac:dyDescent="0.3">
      <c r="A41" t="str">
        <f>IF(OR(INDEX(Knockout!$I$2:$I$8,I41-1)="",INDEX(Knockout!$J$2:$J$8,I41-1)=""),"",IF(J41&lt;=INDEX(Knockout!$I$2:$I$8,I41-1)+INDEX(Knockout!$J$2:$J$8,I41-1),INDEX(Knockout!$A$2:$A$8,I41-1),""))</f>
        <v/>
      </c>
      <c r="B41" t="str">
        <f>IF(A41="","",IF(J41&lt;=INDEX(Knockout!$I$2:$I$8,I41-1),INDEX(Knockout!$G$2:$G$8,I41-1),INDEX(Knockout!$H$2:$H$8,I41-1)))</f>
        <v/>
      </c>
      <c r="C41" t="str">
        <f>IF(A41="","",COUNTIFS($A$2:A41,A41,$B$2:B41,B41))</f>
        <v/>
      </c>
      <c r="D41" s="2" t="str">
        <f t="shared" si="3"/>
        <v/>
      </c>
      <c r="E41" s="2"/>
      <c r="F41" t="str">
        <f t="shared" si="4"/>
        <v/>
      </c>
      <c r="G41" t="str">
        <f t="shared" si="5"/>
        <v/>
      </c>
      <c r="H41" t="str">
        <f>IF(F41="","",VLOOKUP(F41,Validation!$A$2:$B$17,2,FALSE))</f>
        <v/>
      </c>
      <c r="I41">
        <f>INT((ROW()-2)/Settings!$B$6)+2</f>
        <v>5</v>
      </c>
      <c r="J41">
        <f>MOD(ROW()-2,Settings!$B$6)+1</f>
        <v>4</v>
      </c>
    </row>
    <row r="42" spans="1:10" x14ac:dyDescent="0.3">
      <c r="A42" t="str">
        <f>IF(OR(INDEX(Knockout!$I$2:$I$8,I42-1)="",INDEX(Knockout!$J$2:$J$8,I42-1)=""),"",IF(J42&lt;=INDEX(Knockout!$I$2:$I$8,I42-1)+INDEX(Knockout!$J$2:$J$8,I42-1),INDEX(Knockout!$A$2:$A$8,I42-1),""))</f>
        <v/>
      </c>
      <c r="B42" t="str">
        <f>IF(A42="","",IF(J42&lt;=INDEX(Knockout!$I$2:$I$8,I42-1),INDEX(Knockout!$G$2:$G$8,I42-1),INDEX(Knockout!$H$2:$H$8,I42-1)))</f>
        <v/>
      </c>
      <c r="C42" t="str">
        <f>IF(A42="","",COUNTIFS($A$2:A42,A42,$B$2:B42,B42))</f>
        <v/>
      </c>
      <c r="D42" s="2" t="str">
        <f t="shared" si="3"/>
        <v/>
      </c>
      <c r="E42" s="2"/>
      <c r="F42" t="str">
        <f t="shared" si="4"/>
        <v/>
      </c>
      <c r="G42" t="str">
        <f t="shared" si="5"/>
        <v/>
      </c>
      <c r="H42" t="str">
        <f>IF(F42="","",VLOOKUP(F42,Validation!$A$2:$B$17,2,FALSE))</f>
        <v/>
      </c>
      <c r="I42">
        <f>INT((ROW()-2)/Settings!$B$6)+2</f>
        <v>5</v>
      </c>
      <c r="J42">
        <f>MOD(ROW()-2,Settings!$B$6)+1</f>
        <v>5</v>
      </c>
    </row>
    <row r="43" spans="1:10" x14ac:dyDescent="0.3">
      <c r="A43" t="str">
        <f>IF(OR(INDEX(Knockout!$I$2:$I$8,I43-1)="",INDEX(Knockout!$J$2:$J$8,I43-1)=""),"",IF(J43&lt;=INDEX(Knockout!$I$2:$I$8,I43-1)+INDEX(Knockout!$J$2:$J$8,I43-1),INDEX(Knockout!$A$2:$A$8,I43-1),""))</f>
        <v/>
      </c>
      <c r="B43" t="str">
        <f>IF(A43="","",IF(J43&lt;=INDEX(Knockout!$I$2:$I$8,I43-1),INDEX(Knockout!$G$2:$G$8,I43-1),INDEX(Knockout!$H$2:$H$8,I43-1)))</f>
        <v/>
      </c>
      <c r="C43" t="str">
        <f>IF(A43="","",COUNTIFS($A$2:A43,A43,$B$2:B43,B43))</f>
        <v/>
      </c>
      <c r="D43" s="2" t="str">
        <f t="shared" si="3"/>
        <v/>
      </c>
      <c r="E43" s="2"/>
      <c r="F43" t="str">
        <f t="shared" si="4"/>
        <v/>
      </c>
      <c r="G43" t="str">
        <f t="shared" si="5"/>
        <v/>
      </c>
      <c r="H43" t="str">
        <f>IF(F43="","",VLOOKUP(F43,Validation!$A$2:$B$17,2,FALSE))</f>
        <v/>
      </c>
      <c r="I43">
        <f>INT((ROW()-2)/Settings!$B$6)+2</f>
        <v>5</v>
      </c>
      <c r="J43">
        <f>MOD(ROW()-2,Settings!$B$6)+1</f>
        <v>6</v>
      </c>
    </row>
    <row r="44" spans="1:10" x14ac:dyDescent="0.3">
      <c r="A44" t="str">
        <f>IF(OR(INDEX(Knockout!$I$2:$I$8,I44-1)="",INDEX(Knockout!$J$2:$J$8,I44-1)=""),"",IF(J44&lt;=INDEX(Knockout!$I$2:$I$8,I44-1)+INDEX(Knockout!$J$2:$J$8,I44-1),INDEX(Knockout!$A$2:$A$8,I44-1),""))</f>
        <v/>
      </c>
      <c r="B44" t="str">
        <f>IF(A44="","",IF(J44&lt;=INDEX(Knockout!$I$2:$I$8,I44-1),INDEX(Knockout!$G$2:$G$8,I44-1),INDEX(Knockout!$H$2:$H$8,I44-1)))</f>
        <v/>
      </c>
      <c r="C44" t="str">
        <f>IF(A44="","",COUNTIFS($A$2:A44,A44,$B$2:B44,B44))</f>
        <v/>
      </c>
      <c r="D44" s="2" t="str">
        <f t="shared" si="3"/>
        <v/>
      </c>
      <c r="E44" s="2"/>
      <c r="F44" t="str">
        <f t="shared" si="4"/>
        <v/>
      </c>
      <c r="G44" t="str">
        <f t="shared" si="5"/>
        <v/>
      </c>
      <c r="H44" t="str">
        <f>IF(F44="","",VLOOKUP(F44,Validation!$A$2:$B$17,2,FALSE))</f>
        <v/>
      </c>
      <c r="I44">
        <f>INT((ROW()-2)/Settings!$B$6)+2</f>
        <v>5</v>
      </c>
      <c r="J44">
        <f>MOD(ROW()-2,Settings!$B$6)+1</f>
        <v>7</v>
      </c>
    </row>
    <row r="45" spans="1:10" x14ac:dyDescent="0.3">
      <c r="A45" t="str">
        <f>IF(OR(INDEX(Knockout!$I$2:$I$8,I45-1)="",INDEX(Knockout!$J$2:$J$8,I45-1)=""),"",IF(J45&lt;=INDEX(Knockout!$I$2:$I$8,I45-1)+INDEX(Knockout!$J$2:$J$8,I45-1),INDEX(Knockout!$A$2:$A$8,I45-1),""))</f>
        <v/>
      </c>
      <c r="B45" t="str">
        <f>IF(A45="","",IF(J45&lt;=INDEX(Knockout!$I$2:$I$8,I45-1),INDEX(Knockout!$G$2:$G$8,I45-1),INDEX(Knockout!$H$2:$H$8,I45-1)))</f>
        <v/>
      </c>
      <c r="C45" t="str">
        <f>IF(A45="","",COUNTIFS($A$2:A45,A45,$B$2:B45,B45))</f>
        <v/>
      </c>
      <c r="D45" s="2" t="str">
        <f t="shared" si="3"/>
        <v/>
      </c>
      <c r="E45" s="2"/>
      <c r="F45" t="str">
        <f t="shared" si="4"/>
        <v/>
      </c>
      <c r="G45" t="str">
        <f t="shared" si="5"/>
        <v/>
      </c>
      <c r="H45" t="str">
        <f>IF(F45="","",VLOOKUP(F45,Validation!$A$2:$B$17,2,FALSE))</f>
        <v/>
      </c>
      <c r="I45">
        <f>INT((ROW()-2)/Settings!$B$6)+2</f>
        <v>5</v>
      </c>
      <c r="J45">
        <f>MOD(ROW()-2,Settings!$B$6)+1</f>
        <v>8</v>
      </c>
    </row>
    <row r="46" spans="1:10" x14ac:dyDescent="0.3">
      <c r="A46" t="str">
        <f>IF(OR(INDEX(Knockout!$I$2:$I$8,I46-1)="",INDEX(Knockout!$J$2:$J$8,I46-1)=""),"",IF(J46&lt;=INDEX(Knockout!$I$2:$I$8,I46-1)+INDEX(Knockout!$J$2:$J$8,I46-1),INDEX(Knockout!$A$2:$A$8,I46-1),""))</f>
        <v/>
      </c>
      <c r="B46" t="str">
        <f>IF(A46="","",IF(J46&lt;=INDEX(Knockout!$I$2:$I$8,I46-1),INDEX(Knockout!$G$2:$G$8,I46-1),INDEX(Knockout!$H$2:$H$8,I46-1)))</f>
        <v/>
      </c>
      <c r="C46" t="str">
        <f>IF(A46="","",COUNTIFS($A$2:A46,A46,$B$2:B46,B46))</f>
        <v/>
      </c>
      <c r="D46" s="2" t="str">
        <f t="shared" si="3"/>
        <v/>
      </c>
      <c r="E46" s="2"/>
      <c r="F46" t="str">
        <f t="shared" si="4"/>
        <v/>
      </c>
      <c r="G46" t="str">
        <f t="shared" si="5"/>
        <v/>
      </c>
      <c r="H46" t="str">
        <f>IF(F46="","",VLOOKUP(F46,Validation!$A$2:$B$17,2,FALSE))</f>
        <v/>
      </c>
      <c r="I46">
        <f>INT((ROW()-2)/Settings!$B$6)+2</f>
        <v>5</v>
      </c>
      <c r="J46">
        <f>MOD(ROW()-2,Settings!$B$6)+1</f>
        <v>9</v>
      </c>
    </row>
    <row r="47" spans="1:10" x14ac:dyDescent="0.3">
      <c r="A47" t="str">
        <f>IF(OR(INDEX(Knockout!$I$2:$I$8,I47-1)="",INDEX(Knockout!$J$2:$J$8,I47-1)=""),"",IF(J47&lt;=INDEX(Knockout!$I$2:$I$8,I47-1)+INDEX(Knockout!$J$2:$J$8,I47-1),INDEX(Knockout!$A$2:$A$8,I47-1),""))</f>
        <v/>
      </c>
      <c r="B47" t="str">
        <f>IF(A47="","",IF(J47&lt;=INDEX(Knockout!$I$2:$I$8,I47-1),INDEX(Knockout!$G$2:$G$8,I47-1),INDEX(Knockout!$H$2:$H$8,I47-1)))</f>
        <v/>
      </c>
      <c r="C47" t="str">
        <f>IF(A47="","",COUNTIFS($A$2:A47,A47,$B$2:B47,B47))</f>
        <v/>
      </c>
      <c r="D47" s="2" t="str">
        <f t="shared" si="3"/>
        <v/>
      </c>
      <c r="E47" s="2"/>
      <c r="F47" t="str">
        <f t="shared" si="4"/>
        <v/>
      </c>
      <c r="G47" t="str">
        <f t="shared" si="5"/>
        <v/>
      </c>
      <c r="H47" t="str">
        <f>IF(F47="","",VLOOKUP(F47,Validation!$A$2:$B$17,2,FALSE))</f>
        <v/>
      </c>
      <c r="I47">
        <f>INT((ROW()-2)/Settings!$B$6)+2</f>
        <v>5</v>
      </c>
      <c r="J47">
        <f>MOD(ROW()-2,Settings!$B$6)+1</f>
        <v>10</v>
      </c>
    </row>
    <row r="48" spans="1:10" x14ac:dyDescent="0.3">
      <c r="A48" t="str">
        <f>IF(OR(INDEX(Knockout!$I$2:$I$8,I48-1)="",INDEX(Knockout!$J$2:$J$8,I48-1)=""),"",IF(J48&lt;=INDEX(Knockout!$I$2:$I$8,I48-1)+INDEX(Knockout!$J$2:$J$8,I48-1),INDEX(Knockout!$A$2:$A$8,I48-1),""))</f>
        <v/>
      </c>
      <c r="B48" t="str">
        <f>IF(A48="","",IF(J48&lt;=INDEX(Knockout!$I$2:$I$8,I48-1),INDEX(Knockout!$G$2:$G$8,I48-1),INDEX(Knockout!$H$2:$H$8,I48-1)))</f>
        <v/>
      </c>
      <c r="C48" t="str">
        <f>IF(A48="","",COUNTIFS($A$2:A48,A48,$B$2:B48,B48))</f>
        <v/>
      </c>
      <c r="D48" s="2" t="str">
        <f t="shared" si="3"/>
        <v/>
      </c>
      <c r="E48" s="2"/>
      <c r="F48" t="str">
        <f t="shared" si="4"/>
        <v/>
      </c>
      <c r="G48" t="str">
        <f t="shared" si="5"/>
        <v/>
      </c>
      <c r="H48" t="str">
        <f>IF(F48="","",VLOOKUP(F48,Validation!$A$2:$B$17,2,FALSE))</f>
        <v/>
      </c>
      <c r="I48">
        <f>INT((ROW()-2)/Settings!$B$6)+2</f>
        <v>5</v>
      </c>
      <c r="J48">
        <f>MOD(ROW()-2,Settings!$B$6)+1</f>
        <v>11</v>
      </c>
    </row>
    <row r="49" spans="1:10" x14ac:dyDescent="0.3">
      <c r="A49" t="str">
        <f>IF(OR(INDEX(Knockout!$I$2:$I$8,I49-1)="",INDEX(Knockout!$J$2:$J$8,I49-1)=""),"",IF(J49&lt;=INDEX(Knockout!$I$2:$I$8,I49-1)+INDEX(Knockout!$J$2:$J$8,I49-1),INDEX(Knockout!$A$2:$A$8,I49-1),""))</f>
        <v/>
      </c>
      <c r="B49" t="str">
        <f>IF(A49="","",IF(J49&lt;=INDEX(Knockout!$I$2:$I$8,I49-1),INDEX(Knockout!$G$2:$G$8,I49-1),INDEX(Knockout!$H$2:$H$8,I49-1)))</f>
        <v/>
      </c>
      <c r="C49" t="str">
        <f>IF(A49="","",COUNTIFS($A$2:A49,A49,$B$2:B49,B49))</f>
        <v/>
      </c>
      <c r="D49" s="2" t="str">
        <f t="shared" si="3"/>
        <v/>
      </c>
      <c r="E49" s="2"/>
      <c r="F49" t="str">
        <f t="shared" si="4"/>
        <v/>
      </c>
      <c r="G49" t="str">
        <f t="shared" si="5"/>
        <v/>
      </c>
      <c r="H49" t="str">
        <f>IF(F49="","",VLOOKUP(F49,Validation!$A$2:$B$17,2,FALSE))</f>
        <v/>
      </c>
      <c r="I49">
        <f>INT((ROW()-2)/Settings!$B$6)+2</f>
        <v>5</v>
      </c>
      <c r="J49">
        <f>MOD(ROW()-2,Settings!$B$6)+1</f>
        <v>12</v>
      </c>
    </row>
    <row r="50" spans="1:10" x14ac:dyDescent="0.3">
      <c r="A50" t="str">
        <f>IF(OR(INDEX(Knockout!$I$2:$I$8,I50-1)="",INDEX(Knockout!$J$2:$J$8,I50-1)=""),"",IF(J50&lt;=INDEX(Knockout!$I$2:$I$8,I50-1)+INDEX(Knockout!$J$2:$J$8,I50-1),INDEX(Knockout!$A$2:$A$8,I50-1),""))</f>
        <v/>
      </c>
      <c r="B50" t="str">
        <f>IF(A50="","",IF(J50&lt;=INDEX(Knockout!$I$2:$I$8,I50-1),INDEX(Knockout!$G$2:$G$8,I50-1),INDEX(Knockout!$H$2:$H$8,I50-1)))</f>
        <v/>
      </c>
      <c r="C50" t="str">
        <f>IF(A50="","",COUNTIFS($A$2:A50,A50,$B$2:B50,B50))</f>
        <v/>
      </c>
      <c r="D50" s="2" t="str">
        <f t="shared" si="3"/>
        <v/>
      </c>
      <c r="E50" s="2"/>
      <c r="F50" t="str">
        <f t="shared" si="4"/>
        <v/>
      </c>
      <c r="G50" t="str">
        <f t="shared" si="5"/>
        <v/>
      </c>
      <c r="H50" t="str">
        <f>IF(F50="","",VLOOKUP(F50,Validation!$A$2:$B$17,2,FALSE))</f>
        <v/>
      </c>
      <c r="I50">
        <f>INT((ROW()-2)/Settings!$B$6)+2</f>
        <v>6</v>
      </c>
      <c r="J50">
        <f>MOD(ROW()-2,Settings!$B$6)+1</f>
        <v>1</v>
      </c>
    </row>
    <row r="51" spans="1:10" x14ac:dyDescent="0.3">
      <c r="A51" t="str">
        <f>IF(OR(INDEX(Knockout!$I$2:$I$8,I51-1)="",INDEX(Knockout!$J$2:$J$8,I51-1)=""),"",IF(J51&lt;=INDEX(Knockout!$I$2:$I$8,I51-1)+INDEX(Knockout!$J$2:$J$8,I51-1),INDEX(Knockout!$A$2:$A$8,I51-1),""))</f>
        <v/>
      </c>
      <c r="B51" t="str">
        <f>IF(A51="","",IF(J51&lt;=INDEX(Knockout!$I$2:$I$8,I51-1),INDEX(Knockout!$G$2:$G$8,I51-1),INDEX(Knockout!$H$2:$H$8,I51-1)))</f>
        <v/>
      </c>
      <c r="C51" t="str">
        <f>IF(A51="","",COUNTIFS($A$2:A51,A51,$B$2:B51,B51))</f>
        <v/>
      </c>
      <c r="D51" s="2" t="str">
        <f t="shared" si="3"/>
        <v/>
      </c>
      <c r="E51" s="2"/>
      <c r="F51" t="str">
        <f t="shared" si="4"/>
        <v/>
      </c>
      <c r="G51" t="str">
        <f t="shared" si="5"/>
        <v/>
      </c>
      <c r="H51" t="str">
        <f>IF(F51="","",VLOOKUP(F51,Validation!$A$2:$B$17,2,FALSE))</f>
        <v/>
      </c>
      <c r="I51">
        <f>INT((ROW()-2)/Settings!$B$6)+2</f>
        <v>6</v>
      </c>
      <c r="J51">
        <f>MOD(ROW()-2,Settings!$B$6)+1</f>
        <v>2</v>
      </c>
    </row>
    <row r="52" spans="1:10" x14ac:dyDescent="0.3">
      <c r="A52" t="str">
        <f>IF(OR(INDEX(Knockout!$I$2:$I$8,I52-1)="",INDEX(Knockout!$J$2:$J$8,I52-1)=""),"",IF(J52&lt;=INDEX(Knockout!$I$2:$I$8,I52-1)+INDEX(Knockout!$J$2:$J$8,I52-1),INDEX(Knockout!$A$2:$A$8,I52-1),""))</f>
        <v/>
      </c>
      <c r="B52" t="str">
        <f>IF(A52="","",IF(J52&lt;=INDEX(Knockout!$I$2:$I$8,I52-1),INDEX(Knockout!$G$2:$G$8,I52-1),INDEX(Knockout!$H$2:$H$8,I52-1)))</f>
        <v/>
      </c>
      <c r="C52" t="str">
        <f>IF(A52="","",COUNTIFS($A$2:A52,A52,$B$2:B52,B52))</f>
        <v/>
      </c>
      <c r="D52" s="2" t="str">
        <f t="shared" si="3"/>
        <v/>
      </c>
      <c r="E52" s="2"/>
      <c r="F52" t="str">
        <f t="shared" si="4"/>
        <v/>
      </c>
      <c r="G52" t="str">
        <f t="shared" si="5"/>
        <v/>
      </c>
      <c r="H52" t="str">
        <f>IF(F52="","",VLOOKUP(F52,Validation!$A$2:$B$17,2,FALSE))</f>
        <v/>
      </c>
      <c r="I52">
        <f>INT((ROW()-2)/Settings!$B$6)+2</f>
        <v>6</v>
      </c>
      <c r="J52">
        <f>MOD(ROW()-2,Settings!$B$6)+1</f>
        <v>3</v>
      </c>
    </row>
    <row r="53" spans="1:10" x14ac:dyDescent="0.3">
      <c r="A53" t="str">
        <f>IF(OR(INDEX(Knockout!$I$2:$I$8,I53-1)="",INDEX(Knockout!$J$2:$J$8,I53-1)=""),"",IF(J53&lt;=INDEX(Knockout!$I$2:$I$8,I53-1)+INDEX(Knockout!$J$2:$J$8,I53-1),INDEX(Knockout!$A$2:$A$8,I53-1),""))</f>
        <v/>
      </c>
      <c r="B53" t="str">
        <f>IF(A53="","",IF(J53&lt;=INDEX(Knockout!$I$2:$I$8,I53-1),INDEX(Knockout!$G$2:$G$8,I53-1),INDEX(Knockout!$H$2:$H$8,I53-1)))</f>
        <v/>
      </c>
      <c r="C53" t="str">
        <f>IF(A53="","",COUNTIFS($A$2:A53,A53,$B$2:B53,B53))</f>
        <v/>
      </c>
      <c r="D53" s="2" t="str">
        <f t="shared" si="3"/>
        <v/>
      </c>
      <c r="E53" s="2"/>
      <c r="F53" t="str">
        <f t="shared" si="4"/>
        <v/>
      </c>
      <c r="G53" t="str">
        <f t="shared" si="5"/>
        <v/>
      </c>
      <c r="H53" t="str">
        <f>IF(F53="","",VLOOKUP(F53,Validation!$A$2:$B$17,2,FALSE))</f>
        <v/>
      </c>
      <c r="I53">
        <f>INT((ROW()-2)/Settings!$B$6)+2</f>
        <v>6</v>
      </c>
      <c r="J53">
        <f>MOD(ROW()-2,Settings!$B$6)+1</f>
        <v>4</v>
      </c>
    </row>
    <row r="54" spans="1:10" x14ac:dyDescent="0.3">
      <c r="A54" t="str">
        <f>IF(OR(INDEX(Knockout!$I$2:$I$8,I54-1)="",INDEX(Knockout!$J$2:$J$8,I54-1)=""),"",IF(J54&lt;=INDEX(Knockout!$I$2:$I$8,I54-1)+INDEX(Knockout!$J$2:$J$8,I54-1),INDEX(Knockout!$A$2:$A$8,I54-1),""))</f>
        <v/>
      </c>
      <c r="B54" t="str">
        <f>IF(A54="","",IF(J54&lt;=INDEX(Knockout!$I$2:$I$8,I54-1),INDEX(Knockout!$G$2:$G$8,I54-1),INDEX(Knockout!$H$2:$H$8,I54-1)))</f>
        <v/>
      </c>
      <c r="C54" t="str">
        <f>IF(A54="","",COUNTIFS($A$2:A54,A54,$B$2:B54,B54))</f>
        <v/>
      </c>
      <c r="D54" s="2" t="str">
        <f t="shared" si="3"/>
        <v/>
      </c>
      <c r="E54" s="2"/>
      <c r="F54" t="str">
        <f t="shared" si="4"/>
        <v/>
      </c>
      <c r="G54" t="str">
        <f t="shared" si="5"/>
        <v/>
      </c>
      <c r="H54" t="str">
        <f>IF(F54="","",VLOOKUP(F54,Validation!$A$2:$B$17,2,FALSE))</f>
        <v/>
      </c>
      <c r="I54">
        <f>INT((ROW()-2)/Settings!$B$6)+2</f>
        <v>6</v>
      </c>
      <c r="J54">
        <f>MOD(ROW()-2,Settings!$B$6)+1</f>
        <v>5</v>
      </c>
    </row>
    <row r="55" spans="1:10" x14ac:dyDescent="0.3">
      <c r="A55" t="str">
        <f>IF(OR(INDEX(Knockout!$I$2:$I$8,I55-1)="",INDEX(Knockout!$J$2:$J$8,I55-1)=""),"",IF(J55&lt;=INDEX(Knockout!$I$2:$I$8,I55-1)+INDEX(Knockout!$J$2:$J$8,I55-1),INDEX(Knockout!$A$2:$A$8,I55-1),""))</f>
        <v/>
      </c>
      <c r="B55" t="str">
        <f>IF(A55="","",IF(J55&lt;=INDEX(Knockout!$I$2:$I$8,I55-1),INDEX(Knockout!$G$2:$G$8,I55-1),INDEX(Knockout!$H$2:$H$8,I55-1)))</f>
        <v/>
      </c>
      <c r="C55" t="str">
        <f>IF(A55="","",COUNTIFS($A$2:A55,A55,$B$2:B55,B55))</f>
        <v/>
      </c>
      <c r="D55" s="2" t="str">
        <f t="shared" si="3"/>
        <v/>
      </c>
      <c r="E55" s="2"/>
      <c r="F55" t="str">
        <f t="shared" si="4"/>
        <v/>
      </c>
      <c r="G55" t="str">
        <f t="shared" si="5"/>
        <v/>
      </c>
      <c r="H55" t="str">
        <f>IF(F55="","",VLOOKUP(F55,Validation!$A$2:$B$17,2,FALSE))</f>
        <v/>
      </c>
      <c r="I55">
        <f>INT((ROW()-2)/Settings!$B$6)+2</f>
        <v>6</v>
      </c>
      <c r="J55">
        <f>MOD(ROW()-2,Settings!$B$6)+1</f>
        <v>6</v>
      </c>
    </row>
    <row r="56" spans="1:10" x14ac:dyDescent="0.3">
      <c r="A56" t="str">
        <f>IF(OR(INDEX(Knockout!$I$2:$I$8,I56-1)="",INDEX(Knockout!$J$2:$J$8,I56-1)=""),"",IF(J56&lt;=INDEX(Knockout!$I$2:$I$8,I56-1)+INDEX(Knockout!$J$2:$J$8,I56-1),INDEX(Knockout!$A$2:$A$8,I56-1),""))</f>
        <v/>
      </c>
      <c r="B56" t="str">
        <f>IF(A56="","",IF(J56&lt;=INDEX(Knockout!$I$2:$I$8,I56-1),INDEX(Knockout!$G$2:$G$8,I56-1),INDEX(Knockout!$H$2:$H$8,I56-1)))</f>
        <v/>
      </c>
      <c r="C56" t="str">
        <f>IF(A56="","",COUNTIFS($A$2:A56,A56,$B$2:B56,B56))</f>
        <v/>
      </c>
      <c r="D56" s="2" t="str">
        <f t="shared" si="3"/>
        <v/>
      </c>
      <c r="E56" s="2"/>
      <c r="F56" t="str">
        <f t="shared" si="4"/>
        <v/>
      </c>
      <c r="G56" t="str">
        <f t="shared" si="5"/>
        <v/>
      </c>
      <c r="H56" t="str">
        <f>IF(F56="","",VLOOKUP(F56,Validation!$A$2:$B$17,2,FALSE))</f>
        <v/>
      </c>
      <c r="I56">
        <f>INT((ROW()-2)/Settings!$B$6)+2</f>
        <v>6</v>
      </c>
      <c r="J56">
        <f>MOD(ROW()-2,Settings!$B$6)+1</f>
        <v>7</v>
      </c>
    </row>
    <row r="57" spans="1:10" x14ac:dyDescent="0.3">
      <c r="A57" t="str">
        <f>IF(OR(INDEX(Knockout!$I$2:$I$8,I57-1)="",INDEX(Knockout!$J$2:$J$8,I57-1)=""),"",IF(J57&lt;=INDEX(Knockout!$I$2:$I$8,I57-1)+INDEX(Knockout!$J$2:$J$8,I57-1),INDEX(Knockout!$A$2:$A$8,I57-1),""))</f>
        <v/>
      </c>
      <c r="B57" t="str">
        <f>IF(A57="","",IF(J57&lt;=INDEX(Knockout!$I$2:$I$8,I57-1),INDEX(Knockout!$G$2:$G$8,I57-1),INDEX(Knockout!$H$2:$H$8,I57-1)))</f>
        <v/>
      </c>
      <c r="C57" t="str">
        <f>IF(A57="","",COUNTIFS($A$2:A57,A57,$B$2:B57,B57))</f>
        <v/>
      </c>
      <c r="D57" s="2" t="str">
        <f t="shared" si="3"/>
        <v/>
      </c>
      <c r="E57" s="2"/>
      <c r="F57" t="str">
        <f t="shared" si="4"/>
        <v/>
      </c>
      <c r="G57" t="str">
        <f t="shared" si="5"/>
        <v/>
      </c>
      <c r="H57" t="str">
        <f>IF(F57="","",VLOOKUP(F57,Validation!$A$2:$B$17,2,FALSE))</f>
        <v/>
      </c>
      <c r="I57">
        <f>INT((ROW()-2)/Settings!$B$6)+2</f>
        <v>6</v>
      </c>
      <c r="J57">
        <f>MOD(ROW()-2,Settings!$B$6)+1</f>
        <v>8</v>
      </c>
    </row>
    <row r="58" spans="1:10" x14ac:dyDescent="0.3">
      <c r="A58" t="str">
        <f>IF(OR(INDEX(Knockout!$I$2:$I$8,I58-1)="",INDEX(Knockout!$J$2:$J$8,I58-1)=""),"",IF(J58&lt;=INDEX(Knockout!$I$2:$I$8,I58-1)+INDEX(Knockout!$J$2:$J$8,I58-1),INDEX(Knockout!$A$2:$A$8,I58-1),""))</f>
        <v/>
      </c>
      <c r="B58" t="str">
        <f>IF(A58="","",IF(J58&lt;=INDEX(Knockout!$I$2:$I$8,I58-1),INDEX(Knockout!$G$2:$G$8,I58-1),INDEX(Knockout!$H$2:$H$8,I58-1)))</f>
        <v/>
      </c>
      <c r="C58" t="str">
        <f>IF(A58="","",COUNTIFS($A$2:A58,A58,$B$2:B58,B58))</f>
        <v/>
      </c>
      <c r="D58" s="2" t="str">
        <f t="shared" si="3"/>
        <v/>
      </c>
      <c r="E58" s="2"/>
      <c r="F58" t="str">
        <f t="shared" si="4"/>
        <v/>
      </c>
      <c r="G58" t="str">
        <f t="shared" si="5"/>
        <v/>
      </c>
      <c r="H58" t="str">
        <f>IF(F58="","",VLOOKUP(F58,Validation!$A$2:$B$17,2,FALSE))</f>
        <v/>
      </c>
      <c r="I58">
        <f>INT((ROW()-2)/Settings!$B$6)+2</f>
        <v>6</v>
      </c>
      <c r="J58">
        <f>MOD(ROW()-2,Settings!$B$6)+1</f>
        <v>9</v>
      </c>
    </row>
    <row r="59" spans="1:10" x14ac:dyDescent="0.3">
      <c r="A59" t="str">
        <f>IF(OR(INDEX(Knockout!$I$2:$I$8,I59-1)="",INDEX(Knockout!$J$2:$J$8,I59-1)=""),"",IF(J59&lt;=INDEX(Knockout!$I$2:$I$8,I59-1)+INDEX(Knockout!$J$2:$J$8,I59-1),INDEX(Knockout!$A$2:$A$8,I59-1),""))</f>
        <v/>
      </c>
      <c r="B59" t="str">
        <f>IF(A59="","",IF(J59&lt;=INDEX(Knockout!$I$2:$I$8,I59-1),INDEX(Knockout!$G$2:$G$8,I59-1),INDEX(Knockout!$H$2:$H$8,I59-1)))</f>
        <v/>
      </c>
      <c r="C59" t="str">
        <f>IF(A59="","",COUNTIFS($A$2:A59,A59,$B$2:B59,B59))</f>
        <v/>
      </c>
      <c r="D59" s="2" t="str">
        <f t="shared" si="3"/>
        <v/>
      </c>
      <c r="E59" s="2"/>
      <c r="F59" t="str">
        <f t="shared" si="4"/>
        <v/>
      </c>
      <c r="G59" t="str">
        <f t="shared" si="5"/>
        <v/>
      </c>
      <c r="H59" t="str">
        <f>IF(F59="","",VLOOKUP(F59,Validation!$A$2:$B$17,2,FALSE))</f>
        <v/>
      </c>
      <c r="I59">
        <f>INT((ROW()-2)/Settings!$B$6)+2</f>
        <v>6</v>
      </c>
      <c r="J59">
        <f>MOD(ROW()-2,Settings!$B$6)+1</f>
        <v>10</v>
      </c>
    </row>
    <row r="60" spans="1:10" x14ac:dyDescent="0.3">
      <c r="A60" t="str">
        <f>IF(OR(INDEX(Knockout!$I$2:$I$8,I60-1)="",INDEX(Knockout!$J$2:$J$8,I60-1)=""),"",IF(J60&lt;=INDEX(Knockout!$I$2:$I$8,I60-1)+INDEX(Knockout!$J$2:$J$8,I60-1),INDEX(Knockout!$A$2:$A$8,I60-1),""))</f>
        <v/>
      </c>
      <c r="B60" t="str">
        <f>IF(A60="","",IF(J60&lt;=INDEX(Knockout!$I$2:$I$8,I60-1),INDEX(Knockout!$G$2:$G$8,I60-1),INDEX(Knockout!$H$2:$H$8,I60-1)))</f>
        <v/>
      </c>
      <c r="C60" t="str">
        <f>IF(A60="","",COUNTIFS($A$2:A60,A60,$B$2:B60,B60))</f>
        <v/>
      </c>
      <c r="D60" s="2" t="str">
        <f t="shared" si="3"/>
        <v/>
      </c>
      <c r="E60" s="2"/>
      <c r="F60" t="str">
        <f t="shared" si="4"/>
        <v/>
      </c>
      <c r="G60" t="str">
        <f t="shared" si="5"/>
        <v/>
      </c>
      <c r="H60" t="str">
        <f>IF(F60="","",VLOOKUP(F60,Validation!$A$2:$B$17,2,FALSE))</f>
        <v/>
      </c>
      <c r="I60">
        <f>INT((ROW()-2)/Settings!$B$6)+2</f>
        <v>6</v>
      </c>
      <c r="J60">
        <f>MOD(ROW()-2,Settings!$B$6)+1</f>
        <v>11</v>
      </c>
    </row>
    <row r="61" spans="1:10" x14ac:dyDescent="0.3">
      <c r="A61" t="str">
        <f>IF(OR(INDEX(Knockout!$I$2:$I$8,I61-1)="",INDEX(Knockout!$J$2:$J$8,I61-1)=""),"",IF(J61&lt;=INDEX(Knockout!$I$2:$I$8,I61-1)+INDEX(Knockout!$J$2:$J$8,I61-1),INDEX(Knockout!$A$2:$A$8,I61-1),""))</f>
        <v/>
      </c>
      <c r="B61" t="str">
        <f>IF(A61="","",IF(J61&lt;=INDEX(Knockout!$I$2:$I$8,I61-1),INDEX(Knockout!$G$2:$G$8,I61-1),INDEX(Knockout!$H$2:$H$8,I61-1)))</f>
        <v/>
      </c>
      <c r="C61" t="str">
        <f>IF(A61="","",COUNTIFS($A$2:A61,A61,$B$2:B61,B61))</f>
        <v/>
      </c>
      <c r="D61" s="2" t="str">
        <f t="shared" si="3"/>
        <v/>
      </c>
      <c r="E61" s="2"/>
      <c r="F61" t="str">
        <f t="shared" si="4"/>
        <v/>
      </c>
      <c r="G61" t="str">
        <f t="shared" si="5"/>
        <v/>
      </c>
      <c r="H61" t="str">
        <f>IF(F61="","",VLOOKUP(F61,Validation!$A$2:$B$17,2,FALSE))</f>
        <v/>
      </c>
      <c r="I61">
        <f>INT((ROW()-2)/Settings!$B$6)+2</f>
        <v>6</v>
      </c>
      <c r="J61">
        <f>MOD(ROW()-2,Settings!$B$6)+1</f>
        <v>12</v>
      </c>
    </row>
    <row r="62" spans="1:10" x14ac:dyDescent="0.3">
      <c r="A62" t="str">
        <f>IF(OR(INDEX(Knockout!$I$2:$I$8,I62-1)="",INDEX(Knockout!$J$2:$J$8,I62-1)=""),"",IF(J62&lt;=INDEX(Knockout!$I$2:$I$8,I62-1)+INDEX(Knockout!$J$2:$J$8,I62-1),INDEX(Knockout!$A$2:$A$8,I62-1),""))</f>
        <v/>
      </c>
      <c r="B62" t="str">
        <f>IF(A62="","",IF(J62&lt;=INDEX(Knockout!$I$2:$I$8,I62-1),INDEX(Knockout!$G$2:$G$8,I62-1),INDEX(Knockout!$H$2:$H$8,I62-1)))</f>
        <v/>
      </c>
      <c r="C62" t="str">
        <f>IF(A62="","",COUNTIFS($A$2:A62,A62,$B$2:B62,B62))</f>
        <v/>
      </c>
      <c r="D62" s="2" t="str">
        <f t="shared" si="3"/>
        <v/>
      </c>
      <c r="E62" s="2"/>
      <c r="F62" t="str">
        <f t="shared" si="4"/>
        <v/>
      </c>
      <c r="G62" t="str">
        <f t="shared" si="5"/>
        <v/>
      </c>
      <c r="H62" t="str">
        <f>IF(F62="","",VLOOKUP(F62,Validation!$A$2:$B$17,2,FALSE))</f>
        <v/>
      </c>
      <c r="I62">
        <f>INT((ROW()-2)/Settings!$B$6)+2</f>
        <v>7</v>
      </c>
      <c r="J62">
        <f>MOD(ROW()-2,Settings!$B$6)+1</f>
        <v>1</v>
      </c>
    </row>
    <row r="63" spans="1:10" x14ac:dyDescent="0.3">
      <c r="A63" t="str">
        <f>IF(OR(INDEX(Knockout!$I$2:$I$8,I63-1)="",INDEX(Knockout!$J$2:$J$8,I63-1)=""),"",IF(J63&lt;=INDEX(Knockout!$I$2:$I$8,I63-1)+INDEX(Knockout!$J$2:$J$8,I63-1),INDEX(Knockout!$A$2:$A$8,I63-1),""))</f>
        <v/>
      </c>
      <c r="B63" t="str">
        <f>IF(A63="","",IF(J63&lt;=INDEX(Knockout!$I$2:$I$8,I63-1),INDEX(Knockout!$G$2:$G$8,I63-1),INDEX(Knockout!$H$2:$H$8,I63-1)))</f>
        <v/>
      </c>
      <c r="C63" t="str">
        <f>IF(A63="","",COUNTIFS($A$2:A63,A63,$B$2:B63,B63))</f>
        <v/>
      </c>
      <c r="D63" s="2" t="str">
        <f t="shared" si="3"/>
        <v/>
      </c>
      <c r="E63" s="2"/>
      <c r="F63" t="str">
        <f t="shared" si="4"/>
        <v/>
      </c>
      <c r="G63" t="str">
        <f t="shared" si="5"/>
        <v/>
      </c>
      <c r="H63" t="str">
        <f>IF(F63="","",VLOOKUP(F63,Validation!$A$2:$B$17,2,FALSE))</f>
        <v/>
      </c>
      <c r="I63">
        <f>INT((ROW()-2)/Settings!$B$6)+2</f>
        <v>7</v>
      </c>
      <c r="J63">
        <f>MOD(ROW()-2,Settings!$B$6)+1</f>
        <v>2</v>
      </c>
    </row>
    <row r="64" spans="1:10" x14ac:dyDescent="0.3">
      <c r="A64" t="str">
        <f>IF(OR(INDEX(Knockout!$I$2:$I$8,I64-1)="",INDEX(Knockout!$J$2:$J$8,I64-1)=""),"",IF(J64&lt;=INDEX(Knockout!$I$2:$I$8,I64-1)+INDEX(Knockout!$J$2:$J$8,I64-1),INDEX(Knockout!$A$2:$A$8,I64-1),""))</f>
        <v/>
      </c>
      <c r="B64" t="str">
        <f>IF(A64="","",IF(J64&lt;=INDEX(Knockout!$I$2:$I$8,I64-1),INDEX(Knockout!$G$2:$G$8,I64-1),INDEX(Knockout!$H$2:$H$8,I64-1)))</f>
        <v/>
      </c>
      <c r="C64" t="str">
        <f>IF(A64="","",COUNTIFS($A$2:A64,A64,$B$2:B64,B64))</f>
        <v/>
      </c>
      <c r="D64" s="2" t="str">
        <f t="shared" si="3"/>
        <v/>
      </c>
      <c r="E64" s="2"/>
      <c r="F64" t="str">
        <f t="shared" si="4"/>
        <v/>
      </c>
      <c r="G64" t="str">
        <f t="shared" si="5"/>
        <v/>
      </c>
      <c r="H64" t="str">
        <f>IF(F64="","",VLOOKUP(F64,Validation!$A$2:$B$17,2,FALSE))</f>
        <v/>
      </c>
      <c r="I64">
        <f>INT((ROW()-2)/Settings!$B$6)+2</f>
        <v>7</v>
      </c>
      <c r="J64">
        <f>MOD(ROW()-2,Settings!$B$6)+1</f>
        <v>3</v>
      </c>
    </row>
    <row r="65" spans="1:10" x14ac:dyDescent="0.3">
      <c r="A65" t="str">
        <f>IF(OR(INDEX(Knockout!$I$2:$I$8,I65-1)="",INDEX(Knockout!$J$2:$J$8,I65-1)=""),"",IF(J65&lt;=INDEX(Knockout!$I$2:$I$8,I65-1)+INDEX(Knockout!$J$2:$J$8,I65-1),INDEX(Knockout!$A$2:$A$8,I65-1),""))</f>
        <v/>
      </c>
      <c r="B65" t="str">
        <f>IF(A65="","",IF(J65&lt;=INDEX(Knockout!$I$2:$I$8,I65-1),INDEX(Knockout!$G$2:$G$8,I65-1),INDEX(Knockout!$H$2:$H$8,I65-1)))</f>
        <v/>
      </c>
      <c r="C65" t="str">
        <f>IF(A65="","",COUNTIFS($A$2:A65,A65,$B$2:B65,B65))</f>
        <v/>
      </c>
      <c r="D65" s="2" t="str">
        <f t="shared" si="3"/>
        <v/>
      </c>
      <c r="E65" s="2"/>
      <c r="F65" t="str">
        <f t="shared" si="4"/>
        <v/>
      </c>
      <c r="G65" t="str">
        <f t="shared" si="5"/>
        <v/>
      </c>
      <c r="H65" t="str">
        <f>IF(F65="","",VLOOKUP(F65,Validation!$A$2:$B$17,2,FALSE))</f>
        <v/>
      </c>
      <c r="I65">
        <f>INT((ROW()-2)/Settings!$B$6)+2</f>
        <v>7</v>
      </c>
      <c r="J65">
        <f>MOD(ROW()-2,Settings!$B$6)+1</f>
        <v>4</v>
      </c>
    </row>
    <row r="66" spans="1:10" x14ac:dyDescent="0.3">
      <c r="A66" t="str">
        <f>IF(OR(INDEX(Knockout!$I$2:$I$8,I66-1)="",INDEX(Knockout!$J$2:$J$8,I66-1)=""),"",IF(J66&lt;=INDEX(Knockout!$I$2:$I$8,I66-1)+INDEX(Knockout!$J$2:$J$8,I66-1),INDEX(Knockout!$A$2:$A$8,I66-1),""))</f>
        <v/>
      </c>
      <c r="B66" t="str">
        <f>IF(A66="","",IF(J66&lt;=INDEX(Knockout!$I$2:$I$8,I66-1),INDEX(Knockout!$G$2:$G$8,I66-1),INDEX(Knockout!$H$2:$H$8,I66-1)))</f>
        <v/>
      </c>
      <c r="C66" t="str">
        <f>IF(A66="","",COUNTIFS($A$2:A66,A66,$B$2:B66,B66))</f>
        <v/>
      </c>
      <c r="D66" s="2" t="str">
        <f t="shared" ref="D66:D85" si="6">IF(A66="","","Goal")</f>
        <v/>
      </c>
      <c r="E66" s="2"/>
      <c r="F66" t="str">
        <f t="shared" ref="F66:F85" si="7">IF(A66="","",IF(D66="Autogol","",IF(D66="Goal",B66,"")))</f>
        <v/>
      </c>
      <c r="G66" t="str">
        <f t="shared" ref="G66:G85" si="8">IF(A66="","",IF(D66="","Manca tipo",IF(D66="Goal",IF(E66="","Manca giocatore","OK"),IF(D66="Autogol",IF(E66&lt;&gt;"","Autogol: svuota Player","OK"),"Tipo non valido"))))</f>
        <v/>
      </c>
      <c r="H66" t="str">
        <f>IF(F66="","",VLOOKUP(F66,Validation!$A$2:$B$17,2,FALSE))</f>
        <v/>
      </c>
      <c r="I66">
        <f>INT((ROW()-2)/Settings!$B$6)+2</f>
        <v>7</v>
      </c>
      <c r="J66">
        <f>MOD(ROW()-2,Settings!$B$6)+1</f>
        <v>5</v>
      </c>
    </row>
    <row r="67" spans="1:10" x14ac:dyDescent="0.3">
      <c r="A67" t="str">
        <f>IF(OR(INDEX(Knockout!$I$2:$I$8,I67-1)="",INDEX(Knockout!$J$2:$J$8,I67-1)=""),"",IF(J67&lt;=INDEX(Knockout!$I$2:$I$8,I67-1)+INDEX(Knockout!$J$2:$J$8,I67-1),INDEX(Knockout!$A$2:$A$8,I67-1),""))</f>
        <v/>
      </c>
      <c r="B67" t="str">
        <f>IF(A67="","",IF(J67&lt;=INDEX(Knockout!$I$2:$I$8,I67-1),INDEX(Knockout!$G$2:$G$8,I67-1),INDEX(Knockout!$H$2:$H$8,I67-1)))</f>
        <v/>
      </c>
      <c r="C67" t="str">
        <f>IF(A67="","",COUNTIFS($A$2:A67,A67,$B$2:B67,B67))</f>
        <v/>
      </c>
      <c r="D67" s="2" t="str">
        <f t="shared" si="6"/>
        <v/>
      </c>
      <c r="E67" s="2"/>
      <c r="F67" t="str">
        <f t="shared" si="7"/>
        <v/>
      </c>
      <c r="G67" t="str">
        <f t="shared" si="8"/>
        <v/>
      </c>
      <c r="H67" t="str">
        <f>IF(F67="","",VLOOKUP(F67,Validation!$A$2:$B$17,2,FALSE))</f>
        <v/>
      </c>
      <c r="I67">
        <f>INT((ROW()-2)/Settings!$B$6)+2</f>
        <v>7</v>
      </c>
      <c r="J67">
        <f>MOD(ROW()-2,Settings!$B$6)+1</f>
        <v>6</v>
      </c>
    </row>
    <row r="68" spans="1:10" x14ac:dyDescent="0.3">
      <c r="A68" t="str">
        <f>IF(OR(INDEX(Knockout!$I$2:$I$8,I68-1)="",INDEX(Knockout!$J$2:$J$8,I68-1)=""),"",IF(J68&lt;=INDEX(Knockout!$I$2:$I$8,I68-1)+INDEX(Knockout!$J$2:$J$8,I68-1),INDEX(Knockout!$A$2:$A$8,I68-1),""))</f>
        <v/>
      </c>
      <c r="B68" t="str">
        <f>IF(A68="","",IF(J68&lt;=INDEX(Knockout!$I$2:$I$8,I68-1),INDEX(Knockout!$G$2:$G$8,I68-1),INDEX(Knockout!$H$2:$H$8,I68-1)))</f>
        <v/>
      </c>
      <c r="C68" t="str">
        <f>IF(A68="","",COUNTIFS($A$2:A68,A68,$B$2:B68,B68))</f>
        <v/>
      </c>
      <c r="D68" s="2" t="str">
        <f t="shared" si="6"/>
        <v/>
      </c>
      <c r="E68" s="2"/>
      <c r="F68" t="str">
        <f t="shared" si="7"/>
        <v/>
      </c>
      <c r="G68" t="str">
        <f t="shared" si="8"/>
        <v/>
      </c>
      <c r="H68" t="str">
        <f>IF(F68="","",VLOOKUP(F68,Validation!$A$2:$B$17,2,FALSE))</f>
        <v/>
      </c>
      <c r="I68">
        <f>INT((ROW()-2)/Settings!$B$6)+2</f>
        <v>7</v>
      </c>
      <c r="J68">
        <f>MOD(ROW()-2,Settings!$B$6)+1</f>
        <v>7</v>
      </c>
    </row>
    <row r="69" spans="1:10" x14ac:dyDescent="0.3">
      <c r="A69" t="str">
        <f>IF(OR(INDEX(Knockout!$I$2:$I$8,I69-1)="",INDEX(Knockout!$J$2:$J$8,I69-1)=""),"",IF(J69&lt;=INDEX(Knockout!$I$2:$I$8,I69-1)+INDEX(Knockout!$J$2:$J$8,I69-1),INDEX(Knockout!$A$2:$A$8,I69-1),""))</f>
        <v/>
      </c>
      <c r="B69" t="str">
        <f>IF(A69="","",IF(J69&lt;=INDEX(Knockout!$I$2:$I$8,I69-1),INDEX(Knockout!$G$2:$G$8,I69-1),INDEX(Knockout!$H$2:$H$8,I69-1)))</f>
        <v/>
      </c>
      <c r="C69" t="str">
        <f>IF(A69="","",COUNTIFS($A$2:A69,A69,$B$2:B69,B69))</f>
        <v/>
      </c>
      <c r="D69" s="2" t="str">
        <f t="shared" si="6"/>
        <v/>
      </c>
      <c r="E69" s="2"/>
      <c r="F69" t="str">
        <f t="shared" si="7"/>
        <v/>
      </c>
      <c r="G69" t="str">
        <f t="shared" si="8"/>
        <v/>
      </c>
      <c r="H69" t="str">
        <f>IF(F69="","",VLOOKUP(F69,Validation!$A$2:$B$17,2,FALSE))</f>
        <v/>
      </c>
      <c r="I69">
        <f>INT((ROW()-2)/Settings!$B$6)+2</f>
        <v>7</v>
      </c>
      <c r="J69">
        <f>MOD(ROW()-2,Settings!$B$6)+1</f>
        <v>8</v>
      </c>
    </row>
    <row r="70" spans="1:10" x14ac:dyDescent="0.3">
      <c r="A70" t="str">
        <f>IF(OR(INDEX(Knockout!$I$2:$I$8,I70-1)="",INDEX(Knockout!$J$2:$J$8,I70-1)=""),"",IF(J70&lt;=INDEX(Knockout!$I$2:$I$8,I70-1)+INDEX(Knockout!$J$2:$J$8,I70-1),INDEX(Knockout!$A$2:$A$8,I70-1),""))</f>
        <v/>
      </c>
      <c r="B70" t="str">
        <f>IF(A70="","",IF(J70&lt;=INDEX(Knockout!$I$2:$I$8,I70-1),INDEX(Knockout!$G$2:$G$8,I70-1),INDEX(Knockout!$H$2:$H$8,I70-1)))</f>
        <v/>
      </c>
      <c r="C70" t="str">
        <f>IF(A70="","",COUNTIFS($A$2:A70,A70,$B$2:B70,B70))</f>
        <v/>
      </c>
      <c r="D70" s="2" t="str">
        <f t="shared" si="6"/>
        <v/>
      </c>
      <c r="E70" s="2"/>
      <c r="F70" t="str">
        <f t="shared" si="7"/>
        <v/>
      </c>
      <c r="G70" t="str">
        <f t="shared" si="8"/>
        <v/>
      </c>
      <c r="H70" t="str">
        <f>IF(F70="","",VLOOKUP(F70,Validation!$A$2:$B$17,2,FALSE))</f>
        <v/>
      </c>
      <c r="I70">
        <f>INT((ROW()-2)/Settings!$B$6)+2</f>
        <v>7</v>
      </c>
      <c r="J70">
        <f>MOD(ROW()-2,Settings!$B$6)+1</f>
        <v>9</v>
      </c>
    </row>
    <row r="71" spans="1:10" x14ac:dyDescent="0.3">
      <c r="A71" t="str">
        <f>IF(OR(INDEX(Knockout!$I$2:$I$8,I71-1)="",INDEX(Knockout!$J$2:$J$8,I71-1)=""),"",IF(J71&lt;=INDEX(Knockout!$I$2:$I$8,I71-1)+INDEX(Knockout!$J$2:$J$8,I71-1),INDEX(Knockout!$A$2:$A$8,I71-1),""))</f>
        <v/>
      </c>
      <c r="B71" t="str">
        <f>IF(A71="","",IF(J71&lt;=INDEX(Knockout!$I$2:$I$8,I71-1),INDEX(Knockout!$G$2:$G$8,I71-1),INDEX(Knockout!$H$2:$H$8,I71-1)))</f>
        <v/>
      </c>
      <c r="C71" t="str">
        <f>IF(A71="","",COUNTIFS($A$2:A71,A71,$B$2:B71,B71))</f>
        <v/>
      </c>
      <c r="D71" s="2" t="str">
        <f t="shared" si="6"/>
        <v/>
      </c>
      <c r="E71" s="2"/>
      <c r="F71" t="str">
        <f t="shared" si="7"/>
        <v/>
      </c>
      <c r="G71" t="str">
        <f t="shared" si="8"/>
        <v/>
      </c>
      <c r="H71" t="str">
        <f>IF(F71="","",VLOOKUP(F71,Validation!$A$2:$B$17,2,FALSE))</f>
        <v/>
      </c>
      <c r="I71">
        <f>INT((ROW()-2)/Settings!$B$6)+2</f>
        <v>7</v>
      </c>
      <c r="J71">
        <f>MOD(ROW()-2,Settings!$B$6)+1</f>
        <v>10</v>
      </c>
    </row>
    <row r="72" spans="1:10" x14ac:dyDescent="0.3">
      <c r="A72" t="str">
        <f>IF(OR(INDEX(Knockout!$I$2:$I$8,I72-1)="",INDEX(Knockout!$J$2:$J$8,I72-1)=""),"",IF(J72&lt;=INDEX(Knockout!$I$2:$I$8,I72-1)+INDEX(Knockout!$J$2:$J$8,I72-1),INDEX(Knockout!$A$2:$A$8,I72-1),""))</f>
        <v/>
      </c>
      <c r="B72" t="str">
        <f>IF(A72="","",IF(J72&lt;=INDEX(Knockout!$I$2:$I$8,I72-1),INDEX(Knockout!$G$2:$G$8,I72-1),INDEX(Knockout!$H$2:$H$8,I72-1)))</f>
        <v/>
      </c>
      <c r="C72" t="str">
        <f>IF(A72="","",COUNTIFS($A$2:A72,A72,$B$2:B72,B72))</f>
        <v/>
      </c>
      <c r="D72" s="2" t="str">
        <f t="shared" si="6"/>
        <v/>
      </c>
      <c r="E72" s="2"/>
      <c r="F72" t="str">
        <f t="shared" si="7"/>
        <v/>
      </c>
      <c r="G72" t="str">
        <f t="shared" si="8"/>
        <v/>
      </c>
      <c r="H72" t="str">
        <f>IF(F72="","",VLOOKUP(F72,Validation!$A$2:$B$17,2,FALSE))</f>
        <v/>
      </c>
      <c r="I72">
        <f>INT((ROW()-2)/Settings!$B$6)+2</f>
        <v>7</v>
      </c>
      <c r="J72">
        <f>MOD(ROW()-2,Settings!$B$6)+1</f>
        <v>11</v>
      </c>
    </row>
    <row r="73" spans="1:10" x14ac:dyDescent="0.3">
      <c r="A73" t="str">
        <f>IF(OR(INDEX(Knockout!$I$2:$I$8,I73-1)="",INDEX(Knockout!$J$2:$J$8,I73-1)=""),"",IF(J73&lt;=INDEX(Knockout!$I$2:$I$8,I73-1)+INDEX(Knockout!$J$2:$J$8,I73-1),INDEX(Knockout!$A$2:$A$8,I73-1),""))</f>
        <v/>
      </c>
      <c r="B73" t="str">
        <f>IF(A73="","",IF(J73&lt;=INDEX(Knockout!$I$2:$I$8,I73-1),INDEX(Knockout!$G$2:$G$8,I73-1),INDEX(Knockout!$H$2:$H$8,I73-1)))</f>
        <v/>
      </c>
      <c r="C73" t="str">
        <f>IF(A73="","",COUNTIFS($A$2:A73,A73,$B$2:B73,B73))</f>
        <v/>
      </c>
      <c r="D73" s="2" t="str">
        <f t="shared" si="6"/>
        <v/>
      </c>
      <c r="E73" s="2"/>
      <c r="F73" t="str">
        <f t="shared" si="7"/>
        <v/>
      </c>
      <c r="G73" t="str">
        <f t="shared" si="8"/>
        <v/>
      </c>
      <c r="H73" t="str">
        <f>IF(F73="","",VLOOKUP(F73,Validation!$A$2:$B$17,2,FALSE))</f>
        <v/>
      </c>
      <c r="I73">
        <f>INT((ROW()-2)/Settings!$B$6)+2</f>
        <v>7</v>
      </c>
      <c r="J73">
        <f>MOD(ROW()-2,Settings!$B$6)+1</f>
        <v>12</v>
      </c>
    </row>
    <row r="74" spans="1:10" x14ac:dyDescent="0.3">
      <c r="A74" t="str">
        <f>IF(OR(INDEX(Knockout!$I$2:$I$8,I74-1)="",INDEX(Knockout!$J$2:$J$8,I74-1)=""),"",IF(J74&lt;=INDEX(Knockout!$I$2:$I$8,I74-1)+INDEX(Knockout!$J$2:$J$8,I74-1),INDEX(Knockout!$A$2:$A$8,I74-1),""))</f>
        <v/>
      </c>
      <c r="B74" t="str">
        <f>IF(A74="","",IF(J74&lt;=INDEX(Knockout!$I$2:$I$8,I74-1),INDEX(Knockout!$G$2:$G$8,I74-1),INDEX(Knockout!$H$2:$H$8,I74-1)))</f>
        <v/>
      </c>
      <c r="C74" t="str">
        <f>IF(A74="","",COUNTIFS($A$2:A74,A74,$B$2:B74,B74))</f>
        <v/>
      </c>
      <c r="D74" s="2" t="str">
        <f t="shared" si="6"/>
        <v/>
      </c>
      <c r="E74" s="2"/>
      <c r="F74" t="str">
        <f t="shared" si="7"/>
        <v/>
      </c>
      <c r="G74" t="str">
        <f t="shared" si="8"/>
        <v/>
      </c>
      <c r="H74" t="str">
        <f>IF(F74="","",VLOOKUP(F74,Validation!$A$2:$B$17,2,FALSE))</f>
        <v/>
      </c>
      <c r="I74">
        <f>INT((ROW()-2)/Settings!$B$6)+2</f>
        <v>8</v>
      </c>
      <c r="J74">
        <f>MOD(ROW()-2,Settings!$B$6)+1</f>
        <v>1</v>
      </c>
    </row>
    <row r="75" spans="1:10" x14ac:dyDescent="0.3">
      <c r="A75" t="str">
        <f>IF(OR(INDEX(Knockout!$I$2:$I$8,I75-1)="",INDEX(Knockout!$J$2:$J$8,I75-1)=""),"",IF(J75&lt;=INDEX(Knockout!$I$2:$I$8,I75-1)+INDEX(Knockout!$J$2:$J$8,I75-1),INDEX(Knockout!$A$2:$A$8,I75-1),""))</f>
        <v/>
      </c>
      <c r="B75" t="str">
        <f>IF(A75="","",IF(J75&lt;=INDEX(Knockout!$I$2:$I$8,I75-1),INDEX(Knockout!$G$2:$G$8,I75-1),INDEX(Knockout!$H$2:$H$8,I75-1)))</f>
        <v/>
      </c>
      <c r="C75" t="str">
        <f>IF(A75="","",COUNTIFS($A$2:A75,A75,$B$2:B75,B75))</f>
        <v/>
      </c>
      <c r="D75" s="2" t="str">
        <f t="shared" si="6"/>
        <v/>
      </c>
      <c r="E75" s="2"/>
      <c r="F75" t="str">
        <f t="shared" si="7"/>
        <v/>
      </c>
      <c r="G75" t="str">
        <f t="shared" si="8"/>
        <v/>
      </c>
      <c r="H75" t="str">
        <f>IF(F75="","",VLOOKUP(F75,Validation!$A$2:$B$17,2,FALSE))</f>
        <v/>
      </c>
      <c r="I75">
        <f>INT((ROW()-2)/Settings!$B$6)+2</f>
        <v>8</v>
      </c>
      <c r="J75">
        <f>MOD(ROW()-2,Settings!$B$6)+1</f>
        <v>2</v>
      </c>
    </row>
    <row r="76" spans="1:10" x14ac:dyDescent="0.3">
      <c r="A76" t="str">
        <f>IF(OR(INDEX(Knockout!$I$2:$I$8,I76-1)="",INDEX(Knockout!$J$2:$J$8,I76-1)=""),"",IF(J76&lt;=INDEX(Knockout!$I$2:$I$8,I76-1)+INDEX(Knockout!$J$2:$J$8,I76-1),INDEX(Knockout!$A$2:$A$8,I76-1),""))</f>
        <v/>
      </c>
      <c r="B76" t="str">
        <f>IF(A76="","",IF(J76&lt;=INDEX(Knockout!$I$2:$I$8,I76-1),INDEX(Knockout!$G$2:$G$8,I76-1),INDEX(Knockout!$H$2:$H$8,I76-1)))</f>
        <v/>
      </c>
      <c r="C76" t="str">
        <f>IF(A76="","",COUNTIFS($A$2:A76,A76,$B$2:B76,B76))</f>
        <v/>
      </c>
      <c r="D76" s="2" t="str">
        <f t="shared" si="6"/>
        <v/>
      </c>
      <c r="E76" s="2"/>
      <c r="F76" t="str">
        <f t="shared" si="7"/>
        <v/>
      </c>
      <c r="G76" t="str">
        <f t="shared" si="8"/>
        <v/>
      </c>
      <c r="H76" t="str">
        <f>IF(F76="","",VLOOKUP(F76,Validation!$A$2:$B$17,2,FALSE))</f>
        <v/>
      </c>
      <c r="I76">
        <f>INT((ROW()-2)/Settings!$B$6)+2</f>
        <v>8</v>
      </c>
      <c r="J76">
        <f>MOD(ROW()-2,Settings!$B$6)+1</f>
        <v>3</v>
      </c>
    </row>
    <row r="77" spans="1:10" x14ac:dyDescent="0.3">
      <c r="A77" t="str">
        <f>IF(OR(INDEX(Knockout!$I$2:$I$8,I77-1)="",INDEX(Knockout!$J$2:$J$8,I77-1)=""),"",IF(J77&lt;=INDEX(Knockout!$I$2:$I$8,I77-1)+INDEX(Knockout!$J$2:$J$8,I77-1),INDEX(Knockout!$A$2:$A$8,I77-1),""))</f>
        <v/>
      </c>
      <c r="B77" t="str">
        <f>IF(A77="","",IF(J77&lt;=INDEX(Knockout!$I$2:$I$8,I77-1),INDEX(Knockout!$G$2:$G$8,I77-1),INDEX(Knockout!$H$2:$H$8,I77-1)))</f>
        <v/>
      </c>
      <c r="C77" t="str">
        <f>IF(A77="","",COUNTIFS($A$2:A77,A77,$B$2:B77,B77))</f>
        <v/>
      </c>
      <c r="D77" s="2" t="str">
        <f t="shared" si="6"/>
        <v/>
      </c>
      <c r="E77" s="2"/>
      <c r="F77" t="str">
        <f t="shared" si="7"/>
        <v/>
      </c>
      <c r="G77" t="str">
        <f t="shared" si="8"/>
        <v/>
      </c>
      <c r="H77" t="str">
        <f>IF(F77="","",VLOOKUP(F77,Validation!$A$2:$B$17,2,FALSE))</f>
        <v/>
      </c>
      <c r="I77">
        <f>INT((ROW()-2)/Settings!$B$6)+2</f>
        <v>8</v>
      </c>
      <c r="J77">
        <f>MOD(ROW()-2,Settings!$B$6)+1</f>
        <v>4</v>
      </c>
    </row>
    <row r="78" spans="1:10" x14ac:dyDescent="0.3">
      <c r="A78" t="str">
        <f>IF(OR(INDEX(Knockout!$I$2:$I$8,I78-1)="",INDEX(Knockout!$J$2:$J$8,I78-1)=""),"",IF(J78&lt;=INDEX(Knockout!$I$2:$I$8,I78-1)+INDEX(Knockout!$J$2:$J$8,I78-1),INDEX(Knockout!$A$2:$A$8,I78-1),""))</f>
        <v/>
      </c>
      <c r="B78" t="str">
        <f>IF(A78="","",IF(J78&lt;=INDEX(Knockout!$I$2:$I$8,I78-1),INDEX(Knockout!$G$2:$G$8,I78-1),INDEX(Knockout!$H$2:$H$8,I78-1)))</f>
        <v/>
      </c>
      <c r="C78" t="str">
        <f>IF(A78="","",COUNTIFS($A$2:A78,A78,$B$2:B78,B78))</f>
        <v/>
      </c>
      <c r="D78" s="2" t="str">
        <f t="shared" si="6"/>
        <v/>
      </c>
      <c r="E78" s="2"/>
      <c r="F78" t="str">
        <f t="shared" si="7"/>
        <v/>
      </c>
      <c r="G78" t="str">
        <f t="shared" si="8"/>
        <v/>
      </c>
      <c r="H78" t="str">
        <f>IF(F78="","",VLOOKUP(F78,Validation!$A$2:$B$17,2,FALSE))</f>
        <v/>
      </c>
      <c r="I78">
        <f>INT((ROW()-2)/Settings!$B$6)+2</f>
        <v>8</v>
      </c>
      <c r="J78">
        <f>MOD(ROW()-2,Settings!$B$6)+1</f>
        <v>5</v>
      </c>
    </row>
    <row r="79" spans="1:10" x14ac:dyDescent="0.3">
      <c r="A79" t="str">
        <f>IF(OR(INDEX(Knockout!$I$2:$I$8,I79-1)="",INDEX(Knockout!$J$2:$J$8,I79-1)=""),"",IF(J79&lt;=INDEX(Knockout!$I$2:$I$8,I79-1)+INDEX(Knockout!$J$2:$J$8,I79-1),INDEX(Knockout!$A$2:$A$8,I79-1),""))</f>
        <v/>
      </c>
      <c r="B79" t="str">
        <f>IF(A79="","",IF(J79&lt;=INDEX(Knockout!$I$2:$I$8,I79-1),INDEX(Knockout!$G$2:$G$8,I79-1),INDEX(Knockout!$H$2:$H$8,I79-1)))</f>
        <v/>
      </c>
      <c r="C79" t="str">
        <f>IF(A79="","",COUNTIFS($A$2:A79,A79,$B$2:B79,B79))</f>
        <v/>
      </c>
      <c r="D79" s="2" t="str">
        <f t="shared" si="6"/>
        <v/>
      </c>
      <c r="E79" s="2"/>
      <c r="F79" t="str">
        <f t="shared" si="7"/>
        <v/>
      </c>
      <c r="G79" t="str">
        <f t="shared" si="8"/>
        <v/>
      </c>
      <c r="H79" t="str">
        <f>IF(F79="","",VLOOKUP(F79,Validation!$A$2:$B$17,2,FALSE))</f>
        <v/>
      </c>
      <c r="I79">
        <f>INT((ROW()-2)/Settings!$B$6)+2</f>
        <v>8</v>
      </c>
      <c r="J79">
        <f>MOD(ROW()-2,Settings!$B$6)+1</f>
        <v>6</v>
      </c>
    </row>
    <row r="80" spans="1:10" x14ac:dyDescent="0.3">
      <c r="A80" t="str">
        <f>IF(OR(INDEX(Knockout!$I$2:$I$8,I80-1)="",INDEX(Knockout!$J$2:$J$8,I80-1)=""),"",IF(J80&lt;=INDEX(Knockout!$I$2:$I$8,I80-1)+INDEX(Knockout!$J$2:$J$8,I80-1),INDEX(Knockout!$A$2:$A$8,I80-1),""))</f>
        <v/>
      </c>
      <c r="B80" t="str">
        <f>IF(A80="","",IF(J80&lt;=INDEX(Knockout!$I$2:$I$8,I80-1),INDEX(Knockout!$G$2:$G$8,I80-1),INDEX(Knockout!$H$2:$H$8,I80-1)))</f>
        <v/>
      </c>
      <c r="C80" t="str">
        <f>IF(A80="","",COUNTIFS($A$2:A80,A80,$B$2:B80,B80))</f>
        <v/>
      </c>
      <c r="D80" s="2" t="str">
        <f t="shared" si="6"/>
        <v/>
      </c>
      <c r="E80" s="2"/>
      <c r="F80" t="str">
        <f t="shared" si="7"/>
        <v/>
      </c>
      <c r="G80" t="str">
        <f t="shared" si="8"/>
        <v/>
      </c>
      <c r="H80" t="str">
        <f>IF(F80="","",VLOOKUP(F80,Validation!$A$2:$B$17,2,FALSE))</f>
        <v/>
      </c>
      <c r="I80">
        <f>INT((ROW()-2)/Settings!$B$6)+2</f>
        <v>8</v>
      </c>
      <c r="J80">
        <f>MOD(ROW()-2,Settings!$B$6)+1</f>
        <v>7</v>
      </c>
    </row>
    <row r="81" spans="1:10" x14ac:dyDescent="0.3">
      <c r="A81" t="str">
        <f>IF(OR(INDEX(Knockout!$I$2:$I$8,I81-1)="",INDEX(Knockout!$J$2:$J$8,I81-1)=""),"",IF(J81&lt;=INDEX(Knockout!$I$2:$I$8,I81-1)+INDEX(Knockout!$J$2:$J$8,I81-1),INDEX(Knockout!$A$2:$A$8,I81-1),""))</f>
        <v/>
      </c>
      <c r="B81" t="str">
        <f>IF(A81="","",IF(J81&lt;=INDEX(Knockout!$I$2:$I$8,I81-1),INDEX(Knockout!$G$2:$G$8,I81-1),INDEX(Knockout!$H$2:$H$8,I81-1)))</f>
        <v/>
      </c>
      <c r="C81" t="str">
        <f>IF(A81="","",COUNTIFS($A$2:A81,A81,$B$2:B81,B81))</f>
        <v/>
      </c>
      <c r="D81" s="2" t="str">
        <f t="shared" si="6"/>
        <v/>
      </c>
      <c r="E81" s="2"/>
      <c r="F81" t="str">
        <f t="shared" si="7"/>
        <v/>
      </c>
      <c r="G81" t="str">
        <f t="shared" si="8"/>
        <v/>
      </c>
      <c r="H81" t="str">
        <f>IF(F81="","",VLOOKUP(F81,Validation!$A$2:$B$17,2,FALSE))</f>
        <v/>
      </c>
      <c r="I81">
        <f>INT((ROW()-2)/Settings!$B$6)+2</f>
        <v>8</v>
      </c>
      <c r="J81">
        <f>MOD(ROW()-2,Settings!$B$6)+1</f>
        <v>8</v>
      </c>
    </row>
    <row r="82" spans="1:10" x14ac:dyDescent="0.3">
      <c r="A82" t="str">
        <f>IF(OR(INDEX(Knockout!$I$2:$I$8,I82-1)="",INDEX(Knockout!$J$2:$J$8,I82-1)=""),"",IF(J82&lt;=INDEX(Knockout!$I$2:$I$8,I82-1)+INDEX(Knockout!$J$2:$J$8,I82-1),INDEX(Knockout!$A$2:$A$8,I82-1),""))</f>
        <v/>
      </c>
      <c r="B82" t="str">
        <f>IF(A82="","",IF(J82&lt;=INDEX(Knockout!$I$2:$I$8,I82-1),INDEX(Knockout!$G$2:$G$8,I82-1),INDEX(Knockout!$H$2:$H$8,I82-1)))</f>
        <v/>
      </c>
      <c r="C82" t="str">
        <f>IF(A82="","",COUNTIFS($A$2:A82,A82,$B$2:B82,B82))</f>
        <v/>
      </c>
      <c r="D82" s="2" t="str">
        <f t="shared" si="6"/>
        <v/>
      </c>
      <c r="E82" s="2"/>
      <c r="F82" t="str">
        <f t="shared" si="7"/>
        <v/>
      </c>
      <c r="G82" t="str">
        <f t="shared" si="8"/>
        <v/>
      </c>
      <c r="H82" t="str">
        <f>IF(F82="","",VLOOKUP(F82,Validation!$A$2:$B$17,2,FALSE))</f>
        <v/>
      </c>
      <c r="I82">
        <f>INT((ROW()-2)/Settings!$B$6)+2</f>
        <v>8</v>
      </c>
      <c r="J82">
        <f>MOD(ROW()-2,Settings!$B$6)+1</f>
        <v>9</v>
      </c>
    </row>
    <row r="83" spans="1:10" x14ac:dyDescent="0.3">
      <c r="A83" t="str">
        <f>IF(OR(INDEX(Knockout!$I$2:$I$8,I83-1)="",INDEX(Knockout!$J$2:$J$8,I83-1)=""),"",IF(J83&lt;=INDEX(Knockout!$I$2:$I$8,I83-1)+INDEX(Knockout!$J$2:$J$8,I83-1),INDEX(Knockout!$A$2:$A$8,I83-1),""))</f>
        <v/>
      </c>
      <c r="B83" t="str">
        <f>IF(A83="","",IF(J83&lt;=INDEX(Knockout!$I$2:$I$8,I83-1),INDEX(Knockout!$G$2:$G$8,I83-1),INDEX(Knockout!$H$2:$H$8,I83-1)))</f>
        <v/>
      </c>
      <c r="C83" t="str">
        <f>IF(A83="","",COUNTIFS($A$2:A83,A83,$B$2:B83,B83))</f>
        <v/>
      </c>
      <c r="D83" s="2" t="str">
        <f t="shared" si="6"/>
        <v/>
      </c>
      <c r="E83" s="2"/>
      <c r="F83" t="str">
        <f t="shared" si="7"/>
        <v/>
      </c>
      <c r="G83" t="str">
        <f t="shared" si="8"/>
        <v/>
      </c>
      <c r="H83" t="str">
        <f>IF(F83="","",VLOOKUP(F83,Validation!$A$2:$B$17,2,FALSE))</f>
        <v/>
      </c>
      <c r="I83">
        <f>INT((ROW()-2)/Settings!$B$6)+2</f>
        <v>8</v>
      </c>
      <c r="J83">
        <f>MOD(ROW()-2,Settings!$B$6)+1</f>
        <v>10</v>
      </c>
    </row>
    <row r="84" spans="1:10" x14ac:dyDescent="0.3">
      <c r="A84" t="str">
        <f>IF(OR(INDEX(Knockout!$I$2:$I$8,I84-1)="",INDEX(Knockout!$J$2:$J$8,I84-1)=""),"",IF(J84&lt;=INDEX(Knockout!$I$2:$I$8,I84-1)+INDEX(Knockout!$J$2:$J$8,I84-1),INDEX(Knockout!$A$2:$A$8,I84-1),""))</f>
        <v/>
      </c>
      <c r="B84" t="str">
        <f>IF(A84="","",IF(J84&lt;=INDEX(Knockout!$I$2:$I$8,I84-1),INDEX(Knockout!$G$2:$G$8,I84-1),INDEX(Knockout!$H$2:$H$8,I84-1)))</f>
        <v/>
      </c>
      <c r="C84" t="str">
        <f>IF(A84="","",COUNTIFS($A$2:A84,A84,$B$2:B84,B84))</f>
        <v/>
      </c>
      <c r="D84" s="2" t="str">
        <f t="shared" si="6"/>
        <v/>
      </c>
      <c r="E84" s="2"/>
      <c r="F84" t="str">
        <f t="shared" si="7"/>
        <v/>
      </c>
      <c r="G84" t="str">
        <f t="shared" si="8"/>
        <v/>
      </c>
      <c r="H84" t="str">
        <f>IF(F84="","",VLOOKUP(F84,Validation!$A$2:$B$17,2,FALSE))</f>
        <v/>
      </c>
      <c r="I84">
        <f>INT((ROW()-2)/Settings!$B$6)+2</f>
        <v>8</v>
      </c>
      <c r="J84">
        <f>MOD(ROW()-2,Settings!$B$6)+1</f>
        <v>11</v>
      </c>
    </row>
    <row r="85" spans="1:10" x14ac:dyDescent="0.3">
      <c r="A85" t="str">
        <f>IF(OR(INDEX(Knockout!$I$2:$I$8,I85-1)="",INDEX(Knockout!$J$2:$J$8,I85-1)=""),"",IF(J85&lt;=INDEX(Knockout!$I$2:$I$8,I85-1)+INDEX(Knockout!$J$2:$J$8,I85-1),INDEX(Knockout!$A$2:$A$8,I85-1),""))</f>
        <v/>
      </c>
      <c r="B85" t="str">
        <f>IF(A85="","",IF(J85&lt;=INDEX(Knockout!$I$2:$I$8,I85-1),INDEX(Knockout!$G$2:$G$8,I85-1),INDEX(Knockout!$H$2:$H$8,I85-1)))</f>
        <v/>
      </c>
      <c r="C85" t="str">
        <f>IF(A85="","",COUNTIFS($A$2:A85,A85,$B$2:B85,B85))</f>
        <v/>
      </c>
      <c r="D85" s="2" t="str">
        <f t="shared" si="6"/>
        <v/>
      </c>
      <c r="E85" s="2"/>
      <c r="F85" t="str">
        <f t="shared" si="7"/>
        <v/>
      </c>
      <c r="G85" t="str">
        <f t="shared" si="8"/>
        <v/>
      </c>
      <c r="H85" t="str">
        <f>IF(F85="","",VLOOKUP(F85,Validation!$A$2:$B$17,2,FALSE))</f>
        <v/>
      </c>
      <c r="I85">
        <f>INT((ROW()-2)/Settings!$B$6)+2</f>
        <v>8</v>
      </c>
      <c r="J85">
        <f>MOD(ROW()-2,Settings!$B$6)+1</f>
        <v>12</v>
      </c>
    </row>
  </sheetData>
  <autoFilter ref="A1:K85" xr:uid="{00000000-0009-0000-0000-00000C000000}"/>
  <conditionalFormatting sqref="A2:K85">
    <cfRule type="expression" dxfId="1" priority="1">
      <formula>AND($A2&lt;&gt;"",$G2&lt;&gt;"OK")</formula>
    </cfRule>
    <cfRule type="expression" dxfId="0" priority="2">
      <formula>AND($A2&lt;&gt;"",$G2="OK")</formula>
    </cfRule>
  </conditionalFormatting>
  <dataValidations count="2">
    <dataValidation type="list" allowBlank="1" sqref="D2:D85" xr:uid="{00000000-0002-0000-0C00-000000000000}">
      <formula1>"Goal,Autogol"</formula1>
    </dataValidation>
    <dataValidation type="list" allowBlank="1" showErrorMessage="1" errorTitle="Marcatore non valido" error="Seleziona un giocatore della squadra indicata." sqref="E2:E85" xr:uid="{00000000-0002-0000-0C00-000001000000}">
      <formula1>INDIRECT($H2)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DD91-BEDC-4021-839F-34CAAE8DEC38}">
  <sheetPr>
    <tabColor rgb="FFFFFF00"/>
  </sheetPr>
  <dimension ref="A1:C101"/>
  <sheetViews>
    <sheetView workbookViewId="0">
      <selection activeCell="A2" sqref="A2:C6"/>
    </sheetView>
  </sheetViews>
  <sheetFormatPr defaultRowHeight="14.4" x14ac:dyDescent="0.3"/>
  <cols>
    <col min="1" max="1" width="24.77734375" customWidth="1"/>
    <col min="2" max="2" width="28.77734375" customWidth="1"/>
    <col min="3" max="3" width="12.77734375" customWidth="1"/>
  </cols>
  <sheetData>
    <row r="1" spans="1:3" ht="25.05" customHeight="1" x14ac:dyDescent="0.3">
      <c r="A1" s="17" t="s">
        <v>388</v>
      </c>
      <c r="B1" s="17" t="s">
        <v>389</v>
      </c>
      <c r="C1" s="17" t="s">
        <v>390</v>
      </c>
    </row>
    <row r="2" spans="1:3" x14ac:dyDescent="0.3">
      <c r="A2" s="18"/>
      <c r="B2" s="18"/>
      <c r="C2" s="19"/>
    </row>
    <row r="3" spans="1:3" x14ac:dyDescent="0.3">
      <c r="A3" s="18"/>
      <c r="B3" s="18"/>
      <c r="C3" s="19"/>
    </row>
    <row r="4" spans="1:3" x14ac:dyDescent="0.3">
      <c r="A4" s="18"/>
      <c r="B4" s="18"/>
      <c r="C4" s="19"/>
    </row>
    <row r="5" spans="1:3" x14ac:dyDescent="0.3">
      <c r="A5" s="18"/>
      <c r="B5" s="18"/>
      <c r="C5" s="19"/>
    </row>
    <row r="6" spans="1:3" x14ac:dyDescent="0.3">
      <c r="A6" s="18"/>
      <c r="B6" s="18"/>
      <c r="C6" s="19"/>
    </row>
    <row r="7" spans="1:3" x14ac:dyDescent="0.3">
      <c r="A7" s="18"/>
      <c r="B7" s="18"/>
      <c r="C7" s="19"/>
    </row>
    <row r="8" spans="1:3" x14ac:dyDescent="0.3">
      <c r="A8" s="18"/>
      <c r="B8" s="18"/>
      <c r="C8" s="19"/>
    </row>
    <row r="9" spans="1:3" x14ac:dyDescent="0.3">
      <c r="A9" s="18"/>
      <c r="B9" s="18"/>
      <c r="C9" s="19"/>
    </row>
    <row r="10" spans="1:3" x14ac:dyDescent="0.3">
      <c r="A10" s="18"/>
      <c r="B10" s="18"/>
      <c r="C10" s="19"/>
    </row>
    <row r="11" spans="1:3" x14ac:dyDescent="0.3">
      <c r="A11" s="18"/>
      <c r="B11" s="18"/>
      <c r="C11" s="19"/>
    </row>
    <row r="12" spans="1:3" x14ac:dyDescent="0.3">
      <c r="A12" s="18"/>
      <c r="B12" s="18"/>
      <c r="C12" s="19"/>
    </row>
    <row r="13" spans="1:3" x14ac:dyDescent="0.3">
      <c r="A13" s="18"/>
      <c r="B13" s="18"/>
      <c r="C13" s="19"/>
    </row>
    <row r="14" spans="1:3" x14ac:dyDescent="0.3">
      <c r="A14" s="18"/>
      <c r="B14" s="18"/>
      <c r="C14" s="19"/>
    </row>
    <row r="15" spans="1:3" x14ac:dyDescent="0.3">
      <c r="A15" s="18"/>
      <c r="B15" s="18"/>
      <c r="C15" s="19"/>
    </row>
    <row r="16" spans="1:3" x14ac:dyDescent="0.3">
      <c r="A16" s="18"/>
      <c r="B16" s="18"/>
      <c r="C16" s="19"/>
    </row>
    <row r="17" spans="1:3" x14ac:dyDescent="0.3">
      <c r="A17" s="18"/>
      <c r="B17" s="18"/>
      <c r="C17" s="19"/>
    </row>
    <row r="18" spans="1:3" x14ac:dyDescent="0.3">
      <c r="A18" s="18"/>
      <c r="B18" s="18"/>
      <c r="C18" s="19"/>
    </row>
    <row r="19" spans="1:3" x14ac:dyDescent="0.3">
      <c r="A19" s="18"/>
      <c r="B19" s="18"/>
      <c r="C19" s="19"/>
    </row>
    <row r="20" spans="1:3" x14ac:dyDescent="0.3">
      <c r="A20" s="18"/>
      <c r="B20" s="18"/>
      <c r="C20" s="19"/>
    </row>
    <row r="21" spans="1:3" x14ac:dyDescent="0.3">
      <c r="A21" s="18"/>
      <c r="B21" s="18"/>
      <c r="C21" s="19"/>
    </row>
    <row r="22" spans="1:3" x14ac:dyDescent="0.3">
      <c r="A22" s="18"/>
      <c r="B22" s="18"/>
      <c r="C22" s="19"/>
    </row>
    <row r="23" spans="1:3" x14ac:dyDescent="0.3">
      <c r="A23" s="18"/>
      <c r="B23" s="18"/>
      <c r="C23" s="19"/>
    </row>
    <row r="24" spans="1:3" x14ac:dyDescent="0.3">
      <c r="A24" s="18"/>
      <c r="B24" s="18"/>
      <c r="C24" s="19"/>
    </row>
    <row r="25" spans="1:3" x14ac:dyDescent="0.3">
      <c r="A25" s="18"/>
      <c r="B25" s="18"/>
      <c r="C25" s="19"/>
    </row>
    <row r="26" spans="1:3" x14ac:dyDescent="0.3">
      <c r="A26" s="18"/>
      <c r="B26" s="18"/>
      <c r="C26" s="19"/>
    </row>
    <row r="27" spans="1:3" x14ac:dyDescent="0.3">
      <c r="A27" s="18"/>
      <c r="B27" s="18"/>
      <c r="C27" s="19"/>
    </row>
    <row r="28" spans="1:3" x14ac:dyDescent="0.3">
      <c r="A28" s="18"/>
      <c r="B28" s="18"/>
      <c r="C28" s="19"/>
    </row>
    <row r="29" spans="1:3" x14ac:dyDescent="0.3">
      <c r="A29" s="18"/>
      <c r="B29" s="18"/>
      <c r="C29" s="19"/>
    </row>
    <row r="30" spans="1:3" x14ac:dyDescent="0.3">
      <c r="A30" s="18"/>
      <c r="B30" s="18"/>
      <c r="C30" s="19"/>
    </row>
    <row r="31" spans="1:3" x14ac:dyDescent="0.3">
      <c r="A31" s="18"/>
      <c r="B31" s="18"/>
      <c r="C31" s="19"/>
    </row>
    <row r="32" spans="1:3" x14ac:dyDescent="0.3">
      <c r="A32" s="18"/>
      <c r="B32" s="18"/>
      <c r="C32" s="19"/>
    </row>
    <row r="33" spans="1:3" x14ac:dyDescent="0.3">
      <c r="A33" s="18"/>
      <c r="B33" s="18"/>
      <c r="C33" s="19"/>
    </row>
    <row r="34" spans="1:3" x14ac:dyDescent="0.3">
      <c r="A34" s="18"/>
      <c r="B34" s="18"/>
      <c r="C34" s="19"/>
    </row>
    <row r="35" spans="1:3" x14ac:dyDescent="0.3">
      <c r="A35" s="18"/>
      <c r="B35" s="18"/>
      <c r="C35" s="19"/>
    </row>
    <row r="36" spans="1:3" x14ac:dyDescent="0.3">
      <c r="A36" s="18"/>
      <c r="B36" s="18"/>
      <c r="C36" s="19"/>
    </row>
    <row r="37" spans="1:3" x14ac:dyDescent="0.3">
      <c r="A37" s="18"/>
      <c r="B37" s="18"/>
      <c r="C37" s="19"/>
    </row>
    <row r="38" spans="1:3" x14ac:dyDescent="0.3">
      <c r="A38" s="18"/>
      <c r="B38" s="18"/>
      <c r="C38" s="19"/>
    </row>
    <row r="39" spans="1:3" x14ac:dyDescent="0.3">
      <c r="A39" s="18"/>
      <c r="B39" s="18"/>
      <c r="C39" s="19"/>
    </row>
    <row r="40" spans="1:3" x14ac:dyDescent="0.3">
      <c r="A40" s="18"/>
      <c r="B40" s="18"/>
      <c r="C40" s="19"/>
    </row>
    <row r="41" spans="1:3" x14ac:dyDescent="0.3">
      <c r="A41" s="18"/>
      <c r="B41" s="18"/>
      <c r="C41" s="19"/>
    </row>
    <row r="42" spans="1:3" x14ac:dyDescent="0.3">
      <c r="A42" s="18"/>
      <c r="B42" s="18"/>
      <c r="C42" s="19"/>
    </row>
    <row r="43" spans="1:3" x14ac:dyDescent="0.3">
      <c r="A43" s="18"/>
      <c r="B43" s="18"/>
      <c r="C43" s="19"/>
    </row>
    <row r="44" spans="1:3" x14ac:dyDescent="0.3">
      <c r="A44" s="18"/>
      <c r="B44" s="18"/>
      <c r="C44" s="19"/>
    </row>
    <row r="45" spans="1:3" x14ac:dyDescent="0.3">
      <c r="A45" s="18"/>
      <c r="B45" s="18"/>
      <c r="C45" s="19"/>
    </row>
    <row r="46" spans="1:3" x14ac:dyDescent="0.3">
      <c r="A46" s="18"/>
      <c r="B46" s="18"/>
      <c r="C46" s="19"/>
    </row>
    <row r="47" spans="1:3" x14ac:dyDescent="0.3">
      <c r="A47" s="18"/>
      <c r="B47" s="18"/>
      <c r="C47" s="19"/>
    </row>
    <row r="48" spans="1:3" x14ac:dyDescent="0.3">
      <c r="A48" s="18"/>
      <c r="B48" s="18"/>
      <c r="C48" s="19"/>
    </row>
    <row r="49" spans="1:3" x14ac:dyDescent="0.3">
      <c r="A49" s="18"/>
      <c r="B49" s="18"/>
      <c r="C49" s="19"/>
    </row>
    <row r="50" spans="1:3" x14ac:dyDescent="0.3">
      <c r="A50" s="18"/>
      <c r="B50" s="18"/>
      <c r="C50" s="19"/>
    </row>
    <row r="51" spans="1:3" x14ac:dyDescent="0.3">
      <c r="A51" s="18"/>
      <c r="B51" s="18"/>
      <c r="C51" s="19"/>
    </row>
    <row r="52" spans="1:3" x14ac:dyDescent="0.3">
      <c r="A52" s="18"/>
      <c r="B52" s="18"/>
      <c r="C52" s="19"/>
    </row>
    <row r="53" spans="1:3" x14ac:dyDescent="0.3">
      <c r="A53" s="18"/>
      <c r="B53" s="18"/>
      <c r="C53" s="19"/>
    </row>
    <row r="54" spans="1:3" x14ac:dyDescent="0.3">
      <c r="A54" s="18"/>
      <c r="B54" s="18"/>
      <c r="C54" s="19"/>
    </row>
    <row r="55" spans="1:3" x14ac:dyDescent="0.3">
      <c r="A55" s="18"/>
      <c r="B55" s="18"/>
      <c r="C55" s="19"/>
    </row>
    <row r="56" spans="1:3" x14ac:dyDescent="0.3">
      <c r="A56" s="18"/>
      <c r="B56" s="18"/>
      <c r="C56" s="19"/>
    </row>
    <row r="57" spans="1:3" x14ac:dyDescent="0.3">
      <c r="A57" s="18"/>
      <c r="B57" s="18"/>
      <c r="C57" s="19"/>
    </row>
    <row r="58" spans="1:3" x14ac:dyDescent="0.3">
      <c r="A58" s="18"/>
      <c r="B58" s="18"/>
      <c r="C58" s="19"/>
    </row>
    <row r="59" spans="1:3" x14ac:dyDescent="0.3">
      <c r="A59" s="18"/>
      <c r="B59" s="18"/>
      <c r="C59" s="19"/>
    </row>
    <row r="60" spans="1:3" x14ac:dyDescent="0.3">
      <c r="A60" s="18"/>
      <c r="B60" s="18"/>
      <c r="C60" s="19"/>
    </row>
    <row r="61" spans="1:3" x14ac:dyDescent="0.3">
      <c r="A61" s="18"/>
      <c r="B61" s="18"/>
      <c r="C61" s="19"/>
    </row>
    <row r="62" spans="1:3" x14ac:dyDescent="0.3">
      <c r="A62" s="18"/>
      <c r="B62" s="18"/>
      <c r="C62" s="19"/>
    </row>
    <row r="63" spans="1:3" x14ac:dyDescent="0.3">
      <c r="A63" s="18"/>
      <c r="B63" s="18"/>
      <c r="C63" s="19"/>
    </row>
    <row r="64" spans="1:3" x14ac:dyDescent="0.3">
      <c r="A64" s="18"/>
      <c r="B64" s="18"/>
      <c r="C64" s="19"/>
    </row>
    <row r="65" spans="1:3" x14ac:dyDescent="0.3">
      <c r="A65" s="18"/>
      <c r="B65" s="18"/>
      <c r="C65" s="19"/>
    </row>
    <row r="66" spans="1:3" x14ac:dyDescent="0.3">
      <c r="A66" s="18"/>
      <c r="B66" s="18"/>
      <c r="C66" s="19"/>
    </row>
    <row r="67" spans="1:3" x14ac:dyDescent="0.3">
      <c r="A67" s="18"/>
      <c r="B67" s="18"/>
      <c r="C67" s="19"/>
    </row>
    <row r="68" spans="1:3" x14ac:dyDescent="0.3">
      <c r="A68" s="18"/>
      <c r="B68" s="18"/>
      <c r="C68" s="19"/>
    </row>
    <row r="69" spans="1:3" x14ac:dyDescent="0.3">
      <c r="A69" s="18"/>
      <c r="B69" s="18"/>
      <c r="C69" s="19"/>
    </row>
    <row r="70" spans="1:3" x14ac:dyDescent="0.3">
      <c r="A70" s="18"/>
      <c r="B70" s="18"/>
      <c r="C70" s="19"/>
    </row>
    <row r="71" spans="1:3" x14ac:dyDescent="0.3">
      <c r="A71" s="18"/>
      <c r="B71" s="18"/>
      <c r="C71" s="19"/>
    </row>
    <row r="72" spans="1:3" x14ac:dyDescent="0.3">
      <c r="A72" s="18"/>
      <c r="B72" s="18"/>
      <c r="C72" s="19"/>
    </row>
    <row r="73" spans="1:3" x14ac:dyDescent="0.3">
      <c r="A73" s="18"/>
      <c r="B73" s="18"/>
      <c r="C73" s="19"/>
    </row>
    <row r="74" spans="1:3" x14ac:dyDescent="0.3">
      <c r="A74" s="18"/>
      <c r="B74" s="18"/>
      <c r="C74" s="19"/>
    </row>
    <row r="75" spans="1:3" x14ac:dyDescent="0.3">
      <c r="A75" s="18"/>
      <c r="B75" s="18"/>
      <c r="C75" s="19"/>
    </row>
    <row r="76" spans="1:3" x14ac:dyDescent="0.3">
      <c r="A76" s="18"/>
      <c r="B76" s="18"/>
      <c r="C76" s="19"/>
    </row>
    <row r="77" spans="1:3" x14ac:dyDescent="0.3">
      <c r="A77" s="18"/>
      <c r="B77" s="18"/>
      <c r="C77" s="19"/>
    </row>
    <row r="78" spans="1:3" x14ac:dyDescent="0.3">
      <c r="A78" s="18"/>
      <c r="B78" s="18"/>
      <c r="C78" s="19"/>
    </row>
    <row r="79" spans="1:3" x14ac:dyDescent="0.3">
      <c r="A79" s="18"/>
      <c r="B79" s="18"/>
      <c r="C79" s="19"/>
    </row>
    <row r="80" spans="1:3" x14ac:dyDescent="0.3">
      <c r="A80" s="18"/>
      <c r="B80" s="18"/>
      <c r="C80" s="19"/>
    </row>
    <row r="81" spans="1:3" x14ac:dyDescent="0.3">
      <c r="A81" s="18"/>
      <c r="B81" s="18"/>
      <c r="C81" s="19"/>
    </row>
    <row r="82" spans="1:3" x14ac:dyDescent="0.3">
      <c r="A82" s="18"/>
      <c r="B82" s="18"/>
      <c r="C82" s="19"/>
    </row>
    <row r="83" spans="1:3" x14ac:dyDescent="0.3">
      <c r="A83" s="18"/>
      <c r="B83" s="18"/>
      <c r="C83" s="19"/>
    </row>
    <row r="84" spans="1:3" x14ac:dyDescent="0.3">
      <c r="A84" s="18"/>
      <c r="B84" s="18"/>
      <c r="C84" s="19"/>
    </row>
    <row r="85" spans="1:3" x14ac:dyDescent="0.3">
      <c r="A85" s="18"/>
      <c r="B85" s="18"/>
      <c r="C85" s="19"/>
    </row>
    <row r="86" spans="1:3" x14ac:dyDescent="0.3">
      <c r="A86" s="18"/>
      <c r="B86" s="18"/>
      <c r="C86" s="19"/>
    </row>
    <row r="87" spans="1:3" x14ac:dyDescent="0.3">
      <c r="A87" s="18"/>
      <c r="B87" s="18"/>
      <c r="C87" s="19"/>
    </row>
    <row r="88" spans="1:3" x14ac:dyDescent="0.3">
      <c r="A88" s="18"/>
      <c r="B88" s="18"/>
      <c r="C88" s="19"/>
    </row>
    <row r="89" spans="1:3" x14ac:dyDescent="0.3">
      <c r="A89" s="18"/>
      <c r="B89" s="18"/>
      <c r="C89" s="19"/>
    </row>
    <row r="90" spans="1:3" x14ac:dyDescent="0.3">
      <c r="A90" s="18"/>
      <c r="B90" s="18"/>
      <c r="C90" s="19"/>
    </row>
    <row r="91" spans="1:3" x14ac:dyDescent="0.3">
      <c r="A91" s="18"/>
      <c r="B91" s="18"/>
      <c r="C91" s="19"/>
    </row>
    <row r="92" spans="1:3" x14ac:dyDescent="0.3">
      <c r="A92" s="18"/>
      <c r="B92" s="18"/>
      <c r="C92" s="19"/>
    </row>
    <row r="93" spans="1:3" x14ac:dyDescent="0.3">
      <c r="A93" s="18"/>
      <c r="B93" s="18"/>
      <c r="C93" s="19"/>
    </row>
    <row r="94" spans="1:3" x14ac:dyDescent="0.3">
      <c r="A94" s="18"/>
      <c r="B94" s="18"/>
      <c r="C94" s="19"/>
    </row>
    <row r="95" spans="1:3" x14ac:dyDescent="0.3">
      <c r="A95" s="18"/>
      <c r="B95" s="18"/>
      <c r="C95" s="19"/>
    </row>
    <row r="96" spans="1:3" x14ac:dyDescent="0.3">
      <c r="A96" s="18"/>
      <c r="B96" s="18"/>
      <c r="C96" s="19"/>
    </row>
    <row r="97" spans="1:3" x14ac:dyDescent="0.3">
      <c r="A97" s="18"/>
      <c r="B97" s="18"/>
      <c r="C97" s="19"/>
    </row>
    <row r="98" spans="1:3" x14ac:dyDescent="0.3">
      <c r="A98" s="18"/>
      <c r="B98" s="18"/>
      <c r="C98" s="19"/>
    </row>
    <row r="99" spans="1:3" x14ac:dyDescent="0.3">
      <c r="A99" s="18"/>
      <c r="B99" s="18"/>
      <c r="C99" s="19"/>
    </row>
    <row r="100" spans="1:3" x14ac:dyDescent="0.3">
      <c r="A100" s="18"/>
      <c r="B100" s="18"/>
      <c r="C100" s="19"/>
    </row>
    <row r="101" spans="1:3" x14ac:dyDescent="0.3">
      <c r="A101" s="18"/>
      <c r="B101" s="18"/>
      <c r="C101" s="19"/>
    </row>
  </sheetData>
  <autoFilter ref="A1:C101" xr:uid="{77FBDD91-BEDC-4021-839F-34CAAE8DEC38}"/>
  <dataValidations count="1">
    <dataValidation type="whole" allowBlank="1" showInputMessage="1" showErrorMessage="1" errorTitle="Valore non valido" error="I punti devono essere un numero intero da 0 a 999." promptTitle="Punti No Bounce" prompt="Inserisci un numero intero da 0 a 999." sqref="C2:C101" xr:uid="{87CF629D-AF64-4405-B7D7-8CB451F4386C}">
      <formula1>0</formula1>
      <formula2>999</formula2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1"/>
  <sheetViews>
    <sheetView topLeftCell="N1" workbookViewId="0"/>
  </sheetViews>
  <sheetFormatPr defaultRowHeight="14.4" x14ac:dyDescent="0.3"/>
  <cols>
    <col min="1" max="18" width="28" customWidth="1"/>
  </cols>
  <sheetData>
    <row r="1" spans="1:26" x14ac:dyDescent="0.3">
      <c r="A1" s="5" t="s">
        <v>2</v>
      </c>
      <c r="B1" s="5" t="s">
        <v>327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15</v>
      </c>
      <c r="H1" s="5" t="s">
        <v>17</v>
      </c>
      <c r="I1" s="5" t="s">
        <v>19</v>
      </c>
      <c r="J1" s="5" t="s">
        <v>21</v>
      </c>
      <c r="K1" s="5" t="s">
        <v>24</v>
      </c>
      <c r="L1" s="5" t="s">
        <v>26</v>
      </c>
      <c r="M1" s="5" t="s">
        <v>28</v>
      </c>
      <c r="N1" s="5" t="s">
        <v>30</v>
      </c>
      <c r="O1" s="5" t="s">
        <v>33</v>
      </c>
      <c r="P1" s="5" t="s">
        <v>35</v>
      </c>
      <c r="Q1" s="5" t="s">
        <v>37</v>
      </c>
      <c r="R1" s="5" t="s">
        <v>39</v>
      </c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6</v>
      </c>
      <c r="B2" t="s">
        <v>328</v>
      </c>
      <c r="C2" t="str">
        <f>IF(Rosters!B3="","",IF(Rosters!A3="","",Rosters!A3&amp;" - ")&amp;Rosters!B3&amp;IF(Rosters!C3="Yes"," (C)",""))</f>
        <v>1 - PIETRO SEGATO</v>
      </c>
      <c r="D2" t="str">
        <f>IF(Rosters!E3="","",IF(Rosters!D3="","",Rosters!D3&amp;" - ")&amp;Rosters!E3&amp;IF(Rosters!F3="Yes"," (C)",""))</f>
        <v>BOGDAN ATAMANYUK</v>
      </c>
      <c r="E2" t="str">
        <f>IF(Rosters!H3="","",IF(Rosters!G3="","",Rosters!G3&amp;" - ")&amp;Rosters!H3&amp;IF(Rosters!I3="Yes"," (C)",""))</f>
        <v>MATTIA MERLO</v>
      </c>
      <c r="F2" t="str">
        <f>IF(Rosters!K3="","",IF(Rosters!J3="","",Rosters!J3&amp;" - ")&amp;Rosters!K3&amp;IF(Rosters!L3="Yes"," (C)",""))</f>
        <v>1 - NICOLAS ANDRIOTTO</v>
      </c>
      <c r="G2" t="str">
        <f>IF(Rosters!N3="","",IF(Rosters!M3="","",Rosters!M3&amp;" - ")&amp;Rosters!N3&amp;IF(Rosters!O3="Yes"," (C)",""))</f>
        <v>5 - DANIEL TARGA</v>
      </c>
      <c r="H2" t="str">
        <f>IF(Rosters!Q3="","",IF(Rosters!P3="","",Rosters!P3&amp;" - ")&amp;Rosters!Q3&amp;IF(Rosters!R3="Yes"," (C)",""))</f>
        <v>10 - DAVIDE ZAGHI (C)</v>
      </c>
      <c r="I2" t="str">
        <f>IF(Rosters!T3="","",IF(Rosters!S3="","",Rosters!S3&amp;" - ")&amp;Rosters!T3&amp;IF(Rosters!U3="Yes"," (C)",""))</f>
        <v>1 - RICCARDO BROGLIO</v>
      </c>
      <c r="J2" t="str">
        <f>IF(Rosters!W3="","",IF(Rosters!V3="","",Rosters!V3&amp;" - ")&amp;Rosters!W3&amp;IF(Rosters!X3="Yes"," (C)",""))</f>
        <v>4 - SAMUEL MATTIELLO</v>
      </c>
      <c r="K2" t="str">
        <f>IF(Rosters!Z3="","",IF(Rosters!Y3="","",Rosters!Y3&amp;" - ")&amp;Rosters!Z3&amp;IF(Rosters!AA3="Yes"," (C)",""))</f>
        <v>1 - ANDREA DEGAN</v>
      </c>
      <c r="L2" t="str">
        <f>IF(Rosters!AC3="","",IF(Rosters!AB3="","",Rosters!AB3&amp;" - ")&amp;Rosters!AC3&amp;IF(Rosters!AD3="Yes"," (C)",""))</f>
        <v>4 - LORENZO BOSCOLO</v>
      </c>
      <c r="M2" t="str">
        <f>IF(Rosters!AF3="","",IF(Rosters!AE3="","",Rosters!AE3&amp;" - ")&amp;Rosters!AF3&amp;IF(Rosters!AG3="Yes"," (C)",""))</f>
        <v>1 - NICCOLÒ LIMAJ</v>
      </c>
      <c r="N2" t="str">
        <f>IF(Rosters!AI3="","",IF(Rosters!AH3="","",Rosters!AH3&amp;" - ")&amp;Rosters!AI3&amp;IF(Rosters!AJ3="Yes"," (C)",""))</f>
        <v>4 - MANUEL IMPELLICCIERI</v>
      </c>
      <c r="O2" t="str">
        <f>IF(Rosters!AL3="","",IF(Rosters!AK3="","",Rosters!AK3&amp;" - ")&amp;Rosters!AL3&amp;IF(Rosters!AM3="Yes"," (C)",""))</f>
        <v>1 - GIACOMO DE SIMONE</v>
      </c>
      <c r="P2" t="str">
        <f>IF(Rosters!AO3="","",IF(Rosters!AN3="","",Rosters!AN3&amp;" - ")&amp;Rosters!AO3&amp;IF(Rosters!AP3="Yes"," (C)",""))</f>
        <v>1 - MATTIA BELLUCCO</v>
      </c>
      <c r="Q2" t="str">
        <f>IF(Rosters!AR3="","",IF(Rosters!AQ3="","",Rosters!AQ3&amp;" - ")&amp;Rosters!AR3&amp;IF(Rosters!AS3="Yes"," (C)",""))</f>
        <v>1 - LUCA CAVALLARO</v>
      </c>
      <c r="R2" t="str">
        <f>IF(Rosters!AU3="","",IF(Rosters!AT3="","",Rosters!AT3&amp;" - ")&amp;Rosters!AU3&amp;IF(Rosters!AV3="Yes"," (C)",""))</f>
        <v>1 - KEVIN CASTELLAN</v>
      </c>
    </row>
    <row r="3" spans="1:26" x14ac:dyDescent="0.3">
      <c r="A3" t="s">
        <v>8</v>
      </c>
      <c r="B3" t="s">
        <v>329</v>
      </c>
      <c r="C3" t="str">
        <f>IF(Rosters!B4="","",IF(Rosters!A4="","",Rosters!A4&amp;" - ")&amp;Rosters!B4&amp;IF(Rosters!C4="Yes"," (C)",""))</f>
        <v>99 - GIOVANNI BALLO</v>
      </c>
      <c r="D3" t="str">
        <f>IF(Rosters!E4="","",IF(Rosters!D4="","",Rosters!D4&amp;" - ")&amp;Rosters!E4&amp;IF(Rosters!F4="Yes"," (C)",""))</f>
        <v>IVAN DENIS SHEVERAK</v>
      </c>
      <c r="E3" t="str">
        <f>IF(Rosters!H4="","",IF(Rosters!G4="","",Rosters!G4&amp;" - ")&amp;Rosters!H4&amp;IF(Rosters!I4="Yes"," (C)",""))</f>
        <v>MICHAEL STRENGHETTO (C)</v>
      </c>
      <c r="F3" t="str">
        <f>IF(Rosters!K4="","",IF(Rosters!J4="","",Rosters!J4&amp;" - ")&amp;Rosters!K4&amp;IF(Rosters!L4="Yes"," (C)",""))</f>
        <v>4 - GIANLUCA PAVAN</v>
      </c>
      <c r="G3" t="str">
        <f>IF(Rosters!N4="","",IF(Rosters!M4="","",Rosters!M4&amp;" - ")&amp;Rosters!N4&amp;IF(Rosters!O4="Yes"," (C)",""))</f>
        <v>6 - RICCARDO DAVÌ</v>
      </c>
      <c r="H3" t="str">
        <f>IF(Rosters!Q4="","",IF(Rosters!P4="","",Rosters!P4&amp;" - ")&amp;Rosters!Q4&amp;IF(Rosters!R4="Yes"," (C)",""))</f>
        <v>5 - JACOPO VOLTOLINA</v>
      </c>
      <c r="I3" t="str">
        <f>IF(Rosters!T4="","",IF(Rosters!S4="","",Rosters!S4&amp;" - ")&amp;Rosters!T4&amp;IF(Rosters!U4="Yes"," (C)",""))</f>
        <v>2 - NICOLÒ MARANGONI</v>
      </c>
      <c r="J3" t="str">
        <f>IF(Rosters!W4="","",IF(Rosters!V4="","",Rosters!V4&amp;" - ")&amp;Rosters!W4&amp;IF(Rosters!X4="Yes"," (C)",""))</f>
        <v>10 - SAMUEL BONSU (C)</v>
      </c>
      <c r="K3" t="str">
        <f>IF(Rosters!Z4="","",IF(Rosters!Y4="","",Rosters!Y4&amp;" - ")&amp;Rosters!Z4&amp;IF(Rosters!AA4="Yes"," (C)",""))</f>
        <v>3 - LEONARDO MAGGIO</v>
      </c>
      <c r="L3" t="str">
        <f>IF(Rosters!AC4="","",IF(Rosters!AB4="","",Rosters!AB4&amp;" - ")&amp;Rosters!AC4&amp;IF(Rosters!AD4="Yes"," (C)",""))</f>
        <v>7 - ELIA SICCHIERO</v>
      </c>
      <c r="M3" t="str">
        <f>IF(Rosters!AF4="","",IF(Rosters!AE4="","",Rosters!AE4&amp;" - ")&amp;Rosters!AF4&amp;IF(Rosters!AG4="Yes"," (C)",""))</f>
        <v>2 - LUCA NONNATO</v>
      </c>
      <c r="N3" t="str">
        <f>IF(Rosters!AI4="","",IF(Rosters!AH4="","",Rosters!AH4&amp;" - ")&amp;Rosters!AI4&amp;IF(Rosters!AJ4="Yes"," (C)",""))</f>
        <v>5 - MOURAD ECHCHARI</v>
      </c>
      <c r="O3" t="str">
        <f>IF(Rosters!AL4="","",IF(Rosters!AK4="","",Rosters!AK4&amp;" - ")&amp;Rosters!AL4&amp;IF(Rosters!AM4="Yes"," (C)",""))</f>
        <v>3 - MARTINO GRANFO</v>
      </c>
      <c r="P3" t="str">
        <f>IF(Rosters!AO4="","",IF(Rosters!AN4="","",Rosters!AN4&amp;" - ")&amp;Rosters!AO4&amp;IF(Rosters!AP4="Yes"," (C)",""))</f>
        <v>2 - NICOLÒ BERTIPAGLIA</v>
      </c>
      <c r="Q3" t="str">
        <f>IF(Rosters!AR4="","",IF(Rosters!AQ4="","",Rosters!AQ4&amp;" - ")&amp;Rosters!AR4&amp;IF(Rosters!AS4="Yes"," (C)",""))</f>
        <v>3 - KEVIN DOBROZI</v>
      </c>
      <c r="R3" t="str">
        <f>IF(Rosters!AU4="","",IF(Rosters!AT4="","",Rosters!AT4&amp;" - ")&amp;Rosters!AU4&amp;IF(Rosters!AV4="Yes"," (C)",""))</f>
        <v>2 - SOUFIANE KHECHAB</v>
      </c>
    </row>
    <row r="4" spans="1:26" x14ac:dyDescent="0.3">
      <c r="A4" t="s">
        <v>10</v>
      </c>
      <c r="B4" t="s">
        <v>330</v>
      </c>
      <c r="C4" t="str">
        <f>IF(Rosters!B5="","",IF(Rosters!A5="","",Rosters!A5&amp;" - ")&amp;Rosters!B5&amp;IF(Rosters!C5="Yes"," (C)",""))</f>
        <v>5 - DANIELE MARZOLLA</v>
      </c>
      <c r="D4" t="str">
        <f>IF(Rosters!E5="","",IF(Rosters!D5="","",Rosters!D5&amp;" - ")&amp;Rosters!E5&amp;IF(Rosters!F5="Yes"," (C)",""))</f>
        <v>MOHAMED IAICH</v>
      </c>
      <c r="E4" t="str">
        <f>IF(Rosters!H5="","",IF(Rosters!G5="","",Rosters!G5&amp;" - ")&amp;Rosters!H5&amp;IF(Rosters!I5="Yes"," (C)",""))</f>
        <v>LUCA BACCO</v>
      </c>
      <c r="F4" t="str">
        <f>IF(Rosters!K5="","",IF(Rosters!J5="","",Rosters!J5&amp;" - ")&amp;Rosters!K5&amp;IF(Rosters!L5="Yes"," (C)",""))</f>
        <v>6 - NICOLA CAVALLIERI</v>
      </c>
      <c r="G4" t="str">
        <f>IF(Rosters!N5="","",IF(Rosters!M5="","",Rosters!M5&amp;" - ")&amp;Rosters!N5&amp;IF(Rosters!O5="Yes"," (C)",""))</f>
        <v>7 - RICCARDO SANTARATO</v>
      </c>
      <c r="H4" t="str">
        <f>IF(Rosters!Q5="","",IF(Rosters!P5="","",Rosters!P5&amp;" - ")&amp;Rosters!Q5&amp;IF(Rosters!R5="Yes"," (C)",""))</f>
        <v>3 - MATTEO ZAMBERLAN</v>
      </c>
      <c r="I4" t="str">
        <f>IF(Rosters!T5="","",IF(Rosters!S5="","",Rosters!S5&amp;" - ")&amp;Rosters!T5&amp;IF(Rosters!U5="Yes"," (C)",""))</f>
        <v>5 - MATTEO LONGO</v>
      </c>
      <c r="J4" t="str">
        <f>IF(Rosters!W5="","",IF(Rosters!V5="","",Rosters!V5&amp;" - ")&amp;Rosters!W5&amp;IF(Rosters!X5="Yes"," (C)",""))</f>
        <v>11 - FILIPPO VENDRAMIN</v>
      </c>
      <c r="K4" t="str">
        <f>IF(Rosters!Z5="","",IF(Rosters!Y5="","",Rosters!Y5&amp;" - ")&amp;Rosters!Z5&amp;IF(Rosters!AA5="Yes"," (C)",""))</f>
        <v>4 - AMIN MASSAGHRI (C)</v>
      </c>
      <c r="L4" t="str">
        <f>IF(Rosters!AC5="","",IF(Rosters!AB5="","",Rosters!AB5&amp;" - ")&amp;Rosters!AC5&amp;IF(Rosters!AD5="Yes"," (C)",""))</f>
        <v>9 - GIOVANNI VERONESE</v>
      </c>
      <c r="M4" t="str">
        <f>IF(Rosters!AF5="","",IF(Rosters!AE5="","",Rosters!AE5&amp;" - ")&amp;Rosters!AF5&amp;IF(Rosters!AG5="Yes"," (C)",""))</f>
        <v>7 - FRANCESCO BERARDI</v>
      </c>
      <c r="N4" t="str">
        <f>IF(Rosters!AI5="","",IF(Rosters!AH5="","",Rosters!AH5&amp;" - ")&amp;Rosters!AI5&amp;IF(Rosters!AJ5="Yes"," (C)",""))</f>
        <v>7 - OTMAN SOUATI</v>
      </c>
      <c r="O4" t="str">
        <f>IF(Rosters!AL5="","",IF(Rosters!AK5="","",Rosters!AK5&amp;" - ")&amp;Rosters!AL5&amp;IF(Rosters!AM5="Yes"," (C)",""))</f>
        <v>4 - STEFANO BRAGHIN</v>
      </c>
      <c r="P4" t="str">
        <f>IF(Rosters!AO5="","",IF(Rosters!AN5="","",Rosters!AN5&amp;" - ")&amp;Rosters!AO5&amp;IF(Rosters!AP5="Yes"," (C)",""))</f>
        <v>4 - FRANCESCO CUCCATO</v>
      </c>
      <c r="Q4" t="str">
        <f>IF(Rosters!AR5="","",IF(Rosters!AQ5="","",Rosters!AQ5&amp;" - ")&amp;Rosters!AR5&amp;IF(Rosters!AS5="Yes"," (C)",""))</f>
        <v>4 - ANDREA PAVAN</v>
      </c>
      <c r="R4" t="str">
        <f>IF(Rosters!AU5="","",IF(Rosters!AT5="","",Rosters!AT5&amp;" - ")&amp;Rosters!AU5&amp;IF(Rosters!AV5="Yes"," (C)",""))</f>
        <v>3 - GABRIELE BARBIERATO</v>
      </c>
    </row>
    <row r="5" spans="1:26" x14ac:dyDescent="0.3">
      <c r="A5" t="s">
        <v>12</v>
      </c>
      <c r="B5" t="s">
        <v>331</v>
      </c>
      <c r="C5" t="str">
        <f>IF(Rosters!B6="","",IF(Rosters!A6="","",Rosters!A6&amp;" - ")&amp;Rosters!B6&amp;IF(Rosters!C6="Yes"," (C)",""))</f>
        <v>7 - NICHOLAS MILAN</v>
      </c>
      <c r="D5" t="str">
        <f>IF(Rosters!E6="","",IF(Rosters!D6="","",Rosters!D6&amp;" - ")&amp;Rosters!E6&amp;IF(Rosters!F6="Yes"," (C)",""))</f>
        <v>DANIIL YAKIMENKO</v>
      </c>
      <c r="E5" t="str">
        <f>IF(Rosters!H6="","",IF(Rosters!G6="","",Rosters!G6&amp;" - ")&amp;Rosters!H6&amp;IF(Rosters!I6="Yes"," (C)",""))</f>
        <v>FILIPPO SCARANELLO</v>
      </c>
      <c r="F5" t="str">
        <f>IF(Rosters!K6="","",IF(Rosters!J6="","",Rosters!J6&amp;" - ")&amp;Rosters!K6&amp;IF(Rosters!L6="Yes"," (C)",""))</f>
        <v>7 - ALBAN AHMATI</v>
      </c>
      <c r="G5" t="str">
        <f>IF(Rosters!N6="","",IF(Rosters!M6="","",Rosters!M6&amp;" - ")&amp;Rosters!N6&amp;IF(Rosters!O6="Yes"," (C)",""))</f>
        <v>9 - RICCARDO STIEVANO</v>
      </c>
      <c r="H5" t="str">
        <f>IF(Rosters!Q6="","",IF(Rosters!P6="","",Rosters!P6&amp;" - ")&amp;Rosters!Q6&amp;IF(Rosters!R6="Yes"," (C)",""))</f>
        <v>20 - MATTEO DALL'ARA</v>
      </c>
      <c r="I5" t="str">
        <f>IF(Rosters!T6="","",IF(Rosters!S6="","",Rosters!S6&amp;" - ")&amp;Rosters!T6&amp;IF(Rosters!U6="Yes"," (C)",""))</f>
        <v>7 - MATTIA ZAGO</v>
      </c>
      <c r="J5" t="str">
        <f>IF(Rosters!W6="","",IF(Rosters!V6="","",Rosters!V6&amp;" - ")&amp;Rosters!W6&amp;IF(Rosters!X6="Yes"," (C)",""))</f>
        <v>14 - MARCO GREGGIO</v>
      </c>
      <c r="K5" t="str">
        <f>IF(Rosters!Z6="","",IF(Rosters!Y6="","",Rosters!Y6&amp;" - ")&amp;Rosters!Z6&amp;IF(Rosters!AA6="Yes"," (C)",""))</f>
        <v>5 - PIETRO VIOLATO</v>
      </c>
      <c r="L5" t="str">
        <f>IF(Rosters!AC6="","",IF(Rosters!AB6="","",Rosters!AB6&amp;" - ")&amp;Rosters!AC6&amp;IF(Rosters!AD6="Yes"," (C)",""))</f>
        <v>10 - NICCOLO' PALTANIN</v>
      </c>
      <c r="M5" t="str">
        <f>IF(Rosters!AF6="","",IF(Rosters!AE6="","",Rosters!AE6&amp;" - ")&amp;Rosters!AF6&amp;IF(Rosters!AG6="Yes"," (C)",""))</f>
        <v>8 - FRANCESCO MARANGON</v>
      </c>
      <c r="N5" t="str">
        <f>IF(Rosters!AI6="","",IF(Rosters!AH6="","",Rosters!AH6&amp;" - ")&amp;Rosters!AI6&amp;IF(Rosters!AJ6="Yes"," (C)",""))</f>
        <v>8 - ALEX MENEGHELLO</v>
      </c>
      <c r="O5" t="str">
        <f>IF(Rosters!AL6="","",IF(Rosters!AK6="","",Rosters!AK6&amp;" - ")&amp;Rosters!AL6&amp;IF(Rosters!AM6="Yes"," (C)",""))</f>
        <v>5 - NICOLA BRESCIANI</v>
      </c>
      <c r="P5" t="str">
        <f>IF(Rosters!AO6="","",IF(Rosters!AN6="","",Rosters!AN6&amp;" - ")&amp;Rosters!AO6&amp;IF(Rosters!AP6="Yes"," (C)",""))</f>
        <v>7 - ANGELO REDI</v>
      </c>
      <c r="Q5" t="str">
        <f>IF(Rosters!AR6="","",IF(Rosters!AQ6="","",Rosters!AQ6&amp;" - ")&amp;Rosters!AR6&amp;IF(Rosters!AS6="Yes"," (C)",""))</f>
        <v>5 - TOMMASO PAVAN</v>
      </c>
      <c r="R5" t="str">
        <f>IF(Rosters!AU6="","",IF(Rosters!AT6="","",Rosters!AT6&amp;" - ")&amp;Rosters!AU6&amp;IF(Rosters!AV6="Yes"," (C)",""))</f>
        <v>4 - DAVIDE DELLA VOLPE (C)</v>
      </c>
    </row>
    <row r="6" spans="1:26" x14ac:dyDescent="0.3">
      <c r="A6" t="s">
        <v>15</v>
      </c>
      <c r="B6" t="s">
        <v>332</v>
      </c>
      <c r="C6" t="str">
        <f>IF(Rosters!B7="","",IF(Rosters!A7="","",Rosters!A7&amp;" - ")&amp;Rosters!B7&amp;IF(Rosters!C7="Yes"," (C)",""))</f>
        <v>8 - ALESSIO MILAN</v>
      </c>
      <c r="D6" t="str">
        <f>IF(Rosters!E7="","",IF(Rosters!D7="","",Rosters!D7&amp;" - ")&amp;Rosters!E7&amp;IF(Rosters!F7="Yes"," (C)",""))</f>
        <v>AHMED ZOUZAF</v>
      </c>
      <c r="E6" t="str">
        <f>IF(Rosters!H7="","",IF(Rosters!G7="","",Rosters!G7&amp;" - ")&amp;Rosters!H7&amp;IF(Rosters!I7="Yes"," (C)",""))</f>
        <v>EDDY MAZZETTO</v>
      </c>
      <c r="F6" t="str">
        <f>IF(Rosters!K7="","",IF(Rosters!J7="","",Rosters!J7&amp;" - ")&amp;Rosters!K7&amp;IF(Rosters!L7="Yes"," (C)",""))</f>
        <v>8 - MARCO PREVIATO</v>
      </c>
      <c r="G6" t="str">
        <f>IF(Rosters!N7="","",IF(Rosters!M7="","",Rosters!M7&amp;" - ")&amp;Rosters!N7&amp;IF(Rosters!O7="Yes"," (C)",""))</f>
        <v>10 - LUCA CHERUBIN (C)</v>
      </c>
      <c r="H6" t="str">
        <f>IF(Rosters!Q7="","",IF(Rosters!P7="","",Rosters!P7&amp;" - ")&amp;Rosters!Q7&amp;IF(Rosters!R7="Yes"," (C)",""))</f>
        <v>8 - LEONARDO FUSCO</v>
      </c>
      <c r="I6" t="str">
        <f>IF(Rosters!T7="","",IF(Rosters!S7="","",Rosters!S7&amp;" - ")&amp;Rosters!T7&amp;IF(Rosters!U7="Yes"," (C)",""))</f>
        <v>8 - MATTEO SAVIOLI (C)</v>
      </c>
      <c r="J6" t="str">
        <f>IF(Rosters!W7="","",IF(Rosters!V7="","",Rosters!V7&amp;" - ")&amp;Rosters!W7&amp;IF(Rosters!X7="Yes"," (C)",""))</f>
        <v>19 - CHRISTIAN ZUCCATO</v>
      </c>
      <c r="K6" t="str">
        <f>IF(Rosters!Z7="","",IF(Rosters!Y7="","",Rosters!Y7&amp;" - ")&amp;Rosters!Z7&amp;IF(Rosters!AA7="Yes"," (C)",""))</f>
        <v>6 - MARCO THOMPSON</v>
      </c>
      <c r="L6" t="str">
        <f>IF(Rosters!AC7="","",IF(Rosters!AB7="","",Rosters!AB7&amp;" - ")&amp;Rosters!AC7&amp;IF(Rosters!AD7="Yes"," (C)",""))</f>
        <v>15 - LUCA CAVALLARO</v>
      </c>
      <c r="M6" t="str">
        <f>IF(Rosters!AF7="","",IF(Rosters!AE7="","",Rosters!AE7&amp;" - ")&amp;Rosters!AF7&amp;IF(Rosters!AG7="Yes"," (C)",""))</f>
        <v>9 - GIMMY MANARI</v>
      </c>
      <c r="N6" t="str">
        <f>IF(Rosters!AI7="","",IF(Rosters!AH7="","",Rosters!AH7&amp;" - ")&amp;Rosters!AI7&amp;IF(Rosters!AJ7="Yes"," (C)",""))</f>
        <v>10 - ALESSIO GHIRARDELLO (C)</v>
      </c>
      <c r="O6" t="str">
        <f>IF(Rosters!AL7="","",IF(Rosters!AK7="","",Rosters!AK7&amp;" - ")&amp;Rosters!AL7&amp;IF(Rosters!AM7="Yes"," (C)",""))</f>
        <v>6 - DAVIDE BEDESCHI</v>
      </c>
      <c r="P6" t="str">
        <f>IF(Rosters!AO7="","",IF(Rosters!AN7="","",Rosters!AN7&amp;" - ")&amp;Rosters!AO7&amp;IF(Rosters!AP7="Yes"," (C)",""))</f>
        <v>8 - MATTEO VERZA</v>
      </c>
      <c r="Q6" t="str">
        <f>IF(Rosters!AR7="","",IF(Rosters!AQ7="","",Rosters!AQ7&amp;" - ")&amp;Rosters!AR7&amp;IF(Rosters!AS7="Yes"," (C)",""))</f>
        <v>7 - GIAN MARCO MARANGONI</v>
      </c>
      <c r="R6" t="str">
        <f>IF(Rosters!AU7="","",IF(Rosters!AT7="","",Rosters!AT7&amp;" - ")&amp;Rosters!AU7&amp;IF(Rosters!AV7="Yes"," (C)",""))</f>
        <v>5 - LUCA CEDRINO</v>
      </c>
    </row>
    <row r="7" spans="1:26" x14ac:dyDescent="0.3">
      <c r="A7" t="s">
        <v>17</v>
      </c>
      <c r="B7" t="s">
        <v>333</v>
      </c>
      <c r="C7" t="str">
        <f>IF(Rosters!B8="","",IF(Rosters!A8="","",Rosters!A8&amp;" - ")&amp;Rosters!B8&amp;IF(Rosters!C8="Yes"," (C)",""))</f>
        <v>10 - LUCA MARINI</v>
      </c>
      <c r="D7" t="str">
        <f>IF(Rosters!E8="","",IF(Rosters!D8="","",Rosters!D8&amp;" - ")&amp;Rosters!E8&amp;IF(Rosters!F8="Yes"," (C)",""))</f>
        <v>YOUSSEF IAICH</v>
      </c>
      <c r="E7" t="str">
        <f>IF(Rosters!H8="","",IF(Rosters!G8="","",Rosters!G8&amp;" - ")&amp;Rosters!H8&amp;IF(Rosters!I8="Yes"," (C)",""))</f>
        <v>MATTIA BORGATO</v>
      </c>
      <c r="F7" t="str">
        <f>IF(Rosters!K8="","",IF(Rosters!J8="","",Rosters!J8&amp;" - ")&amp;Rosters!K8&amp;IF(Rosters!L8="Yes"," (C)",""))</f>
        <v>9 - LUCA SIMEONE</v>
      </c>
      <c r="G7" t="str">
        <f>IF(Rosters!N8="","",IF(Rosters!M8="","",Rosters!M8&amp;" - ")&amp;Rosters!N8&amp;IF(Rosters!O8="Yes"," (C)",""))</f>
        <v>12 - FILIPPO CREPALDI</v>
      </c>
      <c r="H7" t="str">
        <f>IF(Rosters!Q8="","",IF(Rosters!P8="","",Rosters!P8&amp;" - ")&amp;Rosters!Q8&amp;IF(Rosters!R8="Yes"," (C)",""))</f>
        <v>7 - DENIS TIMPANARO</v>
      </c>
      <c r="I7" t="str">
        <f>IF(Rosters!T8="","",IF(Rosters!S8="","",Rosters!S8&amp;" - ")&amp;Rosters!T8&amp;IF(Rosters!U8="Yes"," (C)",""))</f>
        <v>9 - IGNAZIO BADALÌ</v>
      </c>
      <c r="J7" t="str">
        <f>IF(Rosters!W8="","",IF(Rosters!V8="","",Rosters!V8&amp;" - ")&amp;Rosters!W8&amp;IF(Rosters!X8="Yes"," (C)",""))</f>
        <v>21 - MATTEO BARTOLOMEI</v>
      </c>
      <c r="K7" t="str">
        <f>IF(Rosters!Z8="","",IF(Rosters!Y8="","",Rosters!Y8&amp;" - ")&amp;Rosters!Z8&amp;IF(Rosters!AA8="Yes"," (C)",""))</f>
        <v>8 - GIACOMO BORTOLIERO</v>
      </c>
      <c r="L7" t="str">
        <f>IF(Rosters!AC8="","",IF(Rosters!AB8="","",Rosters!AB8&amp;" - ")&amp;Rosters!AC8&amp;IF(Rosters!AD8="Yes"," (C)",""))</f>
        <v>19 - MATTEO CAMPION</v>
      </c>
      <c r="M7" t="str">
        <f>IF(Rosters!AF8="","",IF(Rosters!AE8="","",Rosters!AE8&amp;" - ")&amp;Rosters!AF8&amp;IF(Rosters!AG8="Yes"," (C)",""))</f>
        <v>10 - CRISTIAN MICUCCI (C)</v>
      </c>
      <c r="N7" t="str">
        <f>IF(Rosters!AI8="","",IF(Rosters!AH8="","",Rosters!AH8&amp;" - ")&amp;Rosters!AI8&amp;IF(Rosters!AJ8="Yes"," (C)",""))</f>
        <v>11 - ISMAIL ECHCHARI</v>
      </c>
      <c r="O7" t="str">
        <f>IF(Rosters!AL8="","",IF(Rosters!AK8="","",Rosters!AK8&amp;" - ")&amp;Rosters!AL8&amp;IF(Rosters!AM8="Yes"," (C)",""))</f>
        <v>7 - NICHOLAS MOSCHINI</v>
      </c>
      <c r="P7" t="str">
        <f>IF(Rosters!AO8="","",IF(Rosters!AN8="","",Rosters!AN8&amp;" - ")&amp;Rosters!AO8&amp;IF(Rosters!AP8="Yes"," (C)",""))</f>
        <v>9 - MARCO NEODO</v>
      </c>
      <c r="Q7" t="str">
        <f>IF(Rosters!AR8="","",IF(Rosters!AQ8="","",Rosters!AQ8&amp;" - ")&amp;Rosters!AR8&amp;IF(Rosters!AS8="Yes"," (C)",""))</f>
        <v>9 - ANDREA GREGGIO</v>
      </c>
      <c r="R7" t="str">
        <f>IF(Rosters!AU8="","",IF(Rosters!AT8="","",Rosters!AT8&amp;" - ")&amp;Rosters!AU8&amp;IF(Rosters!AV8="Yes"," (C)",""))</f>
        <v>6 - ALLAL SABIL</v>
      </c>
    </row>
    <row r="8" spans="1:26" x14ac:dyDescent="0.3">
      <c r="A8" t="s">
        <v>19</v>
      </c>
      <c r="B8" t="s">
        <v>334</v>
      </c>
      <c r="C8" t="str">
        <f>IF(Rosters!B9="","",IF(Rosters!A9="","",Rosters!A9&amp;" - ")&amp;Rosters!B9&amp;IF(Rosters!C9="Yes"," (C)",""))</f>
        <v>11 - SAMUELE DURRA</v>
      </c>
      <c r="D8" t="str">
        <f>IF(Rosters!E9="","",IF(Rosters!D9="","",Rosters!D9&amp;" - ")&amp;Rosters!E9&amp;IF(Rosters!F9="Yes"," (C)",""))</f>
        <v>HAMZA AGRIBI (C)</v>
      </c>
      <c r="E8" t="str">
        <f>IF(Rosters!H9="","",IF(Rosters!G9="","",Rosters!G9&amp;" - ")&amp;Rosters!H9&amp;IF(Rosters!I9="Yes"," (C)",""))</f>
        <v>MARCO CASAROTTI</v>
      </c>
      <c r="F8" t="str">
        <f>IF(Rosters!K9="","",IF(Rosters!J9="","",Rosters!J9&amp;" - ")&amp;Rosters!K9&amp;IF(Rosters!L9="Yes"," (C)",""))</f>
        <v>10 - ELIA NAGLIERI</v>
      </c>
      <c r="G8" t="str">
        <f>IF(Rosters!N9="","",IF(Rosters!M9="","",Rosters!M9&amp;" - ")&amp;Rosters!N9&amp;IF(Rosters!O9="Yes"," (C)",""))</f>
        <v>15 - LUCA PAPARELLA</v>
      </c>
      <c r="H8" t="str">
        <f>IF(Rosters!Q9="","",IF(Rosters!P9="","",Rosters!P9&amp;" - ")&amp;Rosters!Q9&amp;IF(Rosters!R9="Yes"," (C)",""))</f>
        <v>1 - MATTEO TOSETTI</v>
      </c>
      <c r="I8" t="str">
        <f>IF(Rosters!T9="","",IF(Rosters!S9="","",Rosters!S9&amp;" - ")&amp;Rosters!T9&amp;IF(Rosters!U9="Yes"," (C)",""))</f>
        <v>10 - GIANLUCA FREZZATI</v>
      </c>
      <c r="J8" t="str">
        <f>IF(Rosters!W9="","",IF(Rosters!V9="","",Rosters!V9&amp;" - ")&amp;Rosters!W9&amp;IF(Rosters!X9="Yes"," (C)",""))</f>
        <v/>
      </c>
      <c r="K8" t="str">
        <f>IF(Rosters!Z9="","",IF(Rosters!Y9="","",Rosters!Y9&amp;" - ")&amp;Rosters!Z9&amp;IF(Rosters!AA9="Yes"," (C)",""))</f>
        <v>10 - ANDREI BARZAGHIDEANU</v>
      </c>
      <c r="L8" t="str">
        <f>IF(Rosters!AC9="","",IF(Rosters!AB9="","",Rosters!AB9&amp;" - ")&amp;Rosters!AC9&amp;IF(Rosters!AD9="Yes"," (C)",""))</f>
        <v>21 - LEONARDO BEDENDO</v>
      </c>
      <c r="M8" t="str">
        <f>IF(Rosters!AF9="","",IF(Rosters!AE9="","",Rosters!AE9&amp;" - ")&amp;Rosters!AF9&amp;IF(Rosters!AG9="Yes"," (C)",""))</f>
        <v>11 - RICCARDO ALESSIO</v>
      </c>
      <c r="N8" t="str">
        <f>IF(Rosters!AI9="","",IF(Rosters!AH9="","",Rosters!AH9&amp;" - ")&amp;Rosters!AI9&amp;IF(Rosters!AJ9="Yes"," (C)",""))</f>
        <v>19 - LORENZO REZZAGHI</v>
      </c>
      <c r="O8" t="str">
        <f>IF(Rosters!AL9="","",IF(Rosters!AK9="","",Rosters!AK9&amp;" - ")&amp;Rosters!AL9&amp;IF(Rosters!AM9="Yes"," (C)",""))</f>
        <v>8 - DAVIDE GIRARDELLO</v>
      </c>
      <c r="P8" t="str">
        <f>IF(Rosters!AO9="","",IF(Rosters!AN9="","",Rosters!AN9&amp;" - ")&amp;Rosters!AO9&amp;IF(Rosters!AP9="Yes"," (C)",""))</f>
        <v>10 - ALEX BERTIPAGLIA (C)</v>
      </c>
      <c r="Q8" t="str">
        <f>IF(Rosters!AR9="","",IF(Rosters!AQ9="","",Rosters!AQ9&amp;" - ")&amp;Rosters!AR9&amp;IF(Rosters!AS9="Yes"," (C)",""))</f>
        <v>10 - GIACOMO DOLCE (C)</v>
      </c>
      <c r="R8" t="str">
        <f>IF(Rosters!AU9="","",IF(Rosters!AT9="","",Rosters!AT9&amp;" - ")&amp;Rosters!AU9&amp;IF(Rosters!AV9="Yes"," (C)",""))</f>
        <v>8 - MATTIA AYRTON MARIOTTO</v>
      </c>
    </row>
    <row r="9" spans="1:26" x14ac:dyDescent="0.3">
      <c r="A9" t="s">
        <v>21</v>
      </c>
      <c r="B9" t="s">
        <v>335</v>
      </c>
      <c r="C9" t="str">
        <f>IF(Rosters!B10="","",IF(Rosters!A10="","",Rosters!A10&amp;" - ")&amp;Rosters!B10&amp;IF(Rosters!C10="Yes"," (C)",""))</f>
        <v>23 - NICOLA MARINI (C)</v>
      </c>
      <c r="D9" t="str">
        <f>IF(Rosters!E10="","",IF(Rosters!D10="","",Rosters!D10&amp;" - ")&amp;Rosters!E10&amp;IF(Rosters!F10="Yes"," (C)",""))</f>
        <v>KHALID BENNOUNE</v>
      </c>
      <c r="E9" t="str">
        <f>IF(Rosters!H10="","",IF(Rosters!G10="","",Rosters!G10&amp;" - ")&amp;Rosters!H10&amp;IF(Rosters!I10="Yes"," (C)",""))</f>
        <v>MATTEO NATALI</v>
      </c>
      <c r="F9" t="str">
        <f>IF(Rosters!K10="","",IF(Rosters!J10="","",Rosters!J10&amp;" - ")&amp;Rosters!K10&amp;IF(Rosters!L10="Yes"," (C)",""))</f>
        <v>11 - FILIPPO ZANINI (C)</v>
      </c>
      <c r="G9" t="str">
        <f>IF(Rosters!N10="","",IF(Rosters!M10="","",Rosters!M10&amp;" - ")&amp;Rosters!N10&amp;IF(Rosters!O10="Yes"," (C)",""))</f>
        <v>18 - LUCA POLATO</v>
      </c>
      <c r="H9" t="str">
        <f>IF(Rosters!Q10="","",IF(Rosters!P10="","",Rosters!P10&amp;" - ")&amp;Rosters!Q10&amp;IF(Rosters!R10="Yes"," (C)",""))</f>
        <v>4 - MATTEO AMBROSINI</v>
      </c>
      <c r="I9" t="str">
        <f>IF(Rosters!T10="","",IF(Rosters!S10="","",Rosters!S10&amp;" - ")&amp;Rosters!T10&amp;IF(Rosters!U10="Yes"," (C)",""))</f>
        <v>11 - FEDERICO MASCELLANI</v>
      </c>
      <c r="J9" t="str">
        <f>IF(Rosters!W10="","",IF(Rosters!V10="","",Rosters!V10&amp;" - ")&amp;Rosters!W10&amp;IF(Rosters!X10="Yes"," (C)",""))</f>
        <v/>
      </c>
      <c r="K9" t="str">
        <f>IF(Rosters!Z10="","",IF(Rosters!Y10="","",Rosters!Y10&amp;" - ")&amp;Rosters!Z10&amp;IF(Rosters!AA10="Yes"," (C)",""))</f>
        <v>14 - VLAD GABRIEL DUMINICA</v>
      </c>
      <c r="L9" t="str">
        <f>IF(Rosters!AC10="","",IF(Rosters!AB10="","",Rosters!AB10&amp;" - ")&amp;Rosters!AC10&amp;IF(Rosters!AD10="Yes"," (C)",""))</f>
        <v>29 - LUCA BERNARDINELLO</v>
      </c>
      <c r="M9" t="str">
        <f>IF(Rosters!AF10="","",IF(Rosters!AE10="","",Rosters!AE10&amp;" - ")&amp;Rosters!AF10&amp;IF(Rosters!AG10="Yes"," (C)",""))</f>
        <v>14 - EDOARDO CAVALLARI</v>
      </c>
      <c r="N9" t="str">
        <f>IF(Rosters!AI10="","",IF(Rosters!AH10="","",Rosters!AH10&amp;" - ")&amp;Rosters!AI10&amp;IF(Rosters!AJ10="Yes"," (C)",""))</f>
        <v>22 - TOMMASO CALZAVARINI</v>
      </c>
      <c r="O9" t="str">
        <f>IF(Rosters!AL10="","",IF(Rosters!AK10="","",Rosters!AK10&amp;" - ")&amp;Rosters!AL10&amp;IF(Rosters!AM10="Yes"," (C)",""))</f>
        <v>9 - NICOLÒ BERGANTIN</v>
      </c>
      <c r="P9" t="str">
        <f>IF(Rosters!AO10="","",IF(Rosters!AN10="","",Rosters!AN10&amp;" - ")&amp;Rosters!AO10&amp;IF(Rosters!AP10="Yes"," (C)",""))</f>
        <v>14 - FABIO FERRARI</v>
      </c>
      <c r="Q9" t="str">
        <f>IF(Rosters!AR10="","",IF(Rosters!AQ10="","",Rosters!AQ10&amp;" - ")&amp;Rosters!AR10&amp;IF(Rosters!AS10="Yes"," (C)",""))</f>
        <v>11 - CRISTIAN CAPUZZO</v>
      </c>
      <c r="R9" t="str">
        <f>IF(Rosters!AU10="","",IF(Rosters!AT10="","",Rosters!AT10&amp;" - ")&amp;Rosters!AU10&amp;IF(Rosters!AV10="Yes"," (C)",""))</f>
        <v>9 - ANDREA BALDON</v>
      </c>
    </row>
    <row r="10" spans="1:26" x14ac:dyDescent="0.3">
      <c r="A10" t="s">
        <v>24</v>
      </c>
      <c r="B10" t="s">
        <v>336</v>
      </c>
      <c r="C10" t="str">
        <f>IF(Rosters!B11="","",IF(Rosters!A11="","",Rosters!A11&amp;" - ")&amp;Rosters!B11&amp;IF(Rosters!C11="Yes"," (C)",""))</f>
        <v>69 - LUCA ROSSETTO</v>
      </c>
      <c r="D10" t="str">
        <f>IF(Rosters!E11="","",IF(Rosters!D11="","",Rosters!D11&amp;" - ")&amp;Rosters!E11&amp;IF(Rosters!F11="Yes"," (C)",""))</f>
        <v>YASSINE SOHAYB</v>
      </c>
      <c r="E10" t="str">
        <f>IF(Rosters!H11="","",IF(Rosters!G11="","",Rosters!G11&amp;" - ")&amp;Rosters!H11&amp;IF(Rosters!I11="Yes"," (C)",""))</f>
        <v>FRANCESCO DADDATO</v>
      </c>
      <c r="F10" t="str">
        <f>IF(Rosters!K11="","",IF(Rosters!J11="","",Rosters!J11&amp;" - ")&amp;Rosters!K11&amp;IF(Rosters!L11="Yes"," (C)",""))</f>
        <v>14 - ALBERTO MUNERATO</v>
      </c>
      <c r="G10" t="str">
        <f>IF(Rosters!N11="","",IF(Rosters!M11="","",Rosters!M11&amp;" - ")&amp;Rosters!N11&amp;IF(Rosters!O11="Yes"," (C)",""))</f>
        <v>71 - DANIELE SECCO</v>
      </c>
      <c r="H10" t="str">
        <f>IF(Rosters!Q11="","",IF(Rosters!P11="","",Rosters!P11&amp;" - ")&amp;Rosters!Q11&amp;IF(Rosters!R11="Yes"," (C)",""))</f>
        <v>6 - ANDREA BONIN</v>
      </c>
      <c r="I10" t="str">
        <f>IF(Rosters!T11="","",IF(Rosters!S11="","",Rosters!S11&amp;" - ")&amp;Rosters!T11&amp;IF(Rosters!U11="Yes"," (C)",""))</f>
        <v>13 - ALBERTO OSTI</v>
      </c>
      <c r="J10" t="str">
        <f>IF(Rosters!W11="","",IF(Rosters!V11="","",Rosters!V11&amp;" - ")&amp;Rosters!W11&amp;IF(Rosters!X11="Yes"," (C)",""))</f>
        <v/>
      </c>
      <c r="K10" t="str">
        <f>IF(Rosters!Z11="","",IF(Rosters!Y11="","",Rosters!Y11&amp;" - ")&amp;Rosters!Z11&amp;IF(Rosters!AA11="Yes"," (C)",""))</f>
        <v>20 - TOMMASO ZANGIROLAMI</v>
      </c>
      <c r="L10" t="str">
        <f>IF(Rosters!AC11="","",IF(Rosters!AB11="","",Rosters!AB11&amp;" - ")&amp;Rosters!AC11&amp;IF(Rosters!AD11="Yes"," (C)",""))</f>
        <v>63 - LEONARDO VERONESE (C)</v>
      </c>
      <c r="M10" t="str">
        <f>IF(Rosters!AF11="","",IF(Rosters!AE11="","",Rosters!AE11&amp;" - ")&amp;Rosters!AF11&amp;IF(Rosters!AG11="Yes"," (C)",""))</f>
        <v>18 - MATTEO FERRO</v>
      </c>
      <c r="N10" t="str">
        <f>IF(Rosters!AI11="","",IF(Rosters!AH11="","",Rosters!AH11&amp;" - ")&amp;Rosters!AI11&amp;IF(Rosters!AJ11="Yes"," (C)",""))</f>
        <v>45 - LEONARDO BULGARI</v>
      </c>
      <c r="O10" t="str">
        <f>IF(Rosters!AL11="","",IF(Rosters!AK11="","",Rosters!AK11&amp;" - ")&amp;Rosters!AL11&amp;IF(Rosters!AM11="Yes"," (C)",""))</f>
        <v>10 - FILIPPO CLEMENTE</v>
      </c>
      <c r="P10" t="str">
        <f>IF(Rosters!AO11="","",IF(Rosters!AN11="","",Rosters!AN11&amp;" - ")&amp;Rosters!AO11&amp;IF(Rosters!AP11="Yes"," (C)",""))</f>
        <v>17 - NICOLA MORIN</v>
      </c>
      <c r="Q10" t="str">
        <f>IF(Rosters!AR11="","",IF(Rosters!AQ11="","",Rosters!AQ11&amp;" - ")&amp;Rosters!AR11&amp;IF(Rosters!AS11="Yes"," (C)",""))</f>
        <v>23 - EMANUELE VERONESE</v>
      </c>
      <c r="R10" t="str">
        <f>IF(Rosters!AU11="","",IF(Rosters!AT11="","",Rosters!AT11&amp;" - ")&amp;Rosters!AU11&amp;IF(Rosters!AV11="Yes"," (C)",""))</f>
        <v>10 - RAFFAELE GAROFALO</v>
      </c>
    </row>
    <row r="11" spans="1:26" x14ac:dyDescent="0.3">
      <c r="A11" t="s">
        <v>26</v>
      </c>
      <c r="B11" t="s">
        <v>337</v>
      </c>
      <c r="C11" t="str">
        <f>IF(Rosters!B12="","",IF(Rosters!A12="","",Rosters!A12&amp;" - ")&amp;Rosters!B12&amp;IF(Rosters!C12="Yes"," (C)",""))</f>
        <v>90 - MATTEO COL</v>
      </c>
      <c r="D11" t="str">
        <f>IF(Rosters!E12="","",IF(Rosters!D12="","",Rosters!D12&amp;" - ")&amp;Rosters!E12&amp;IF(Rosters!F12="Yes"," (C)",""))</f>
        <v>ABDESSAMAD BAGHROUCH</v>
      </c>
      <c r="E11" t="str">
        <f>IF(Rosters!H12="","",IF(Rosters!G12="","",Rosters!G12&amp;" - ")&amp;Rosters!H12&amp;IF(Rosters!I12="Yes"," (C)",""))</f>
        <v>NICHOLAS LANZONI</v>
      </c>
      <c r="F11" t="str">
        <f>IF(Rosters!K12="","",IF(Rosters!J12="","",Rosters!J12&amp;" - ")&amp;Rosters!K12&amp;IF(Rosters!L12="Yes"," (C)",""))</f>
        <v/>
      </c>
      <c r="G11" t="str">
        <f>IF(Rosters!N12="","",IF(Rosters!M12="","",Rosters!M12&amp;" - ")&amp;Rosters!N12&amp;IF(Rosters!O12="Yes"," (C)",""))</f>
        <v/>
      </c>
      <c r="H11" t="str">
        <f>IF(Rosters!Q12="","",IF(Rosters!P12="","",Rosters!P12&amp;" - ")&amp;Rosters!Q12&amp;IF(Rosters!R12="Yes"," (C)",""))</f>
        <v>17 - DOMENICO IACOVINO</v>
      </c>
      <c r="I11" t="str">
        <f>IF(Rosters!T12="","",IF(Rosters!S12="","",Rosters!S12&amp;" - ")&amp;Rosters!T12&amp;IF(Rosters!U12="Yes"," (C)",""))</f>
        <v>14 - LUCA ROSSI</v>
      </c>
      <c r="J11" t="str">
        <f>IF(Rosters!W12="","",IF(Rosters!V12="","",Rosters!V12&amp;" - ")&amp;Rosters!W12&amp;IF(Rosters!X12="Yes"," (C)",""))</f>
        <v/>
      </c>
      <c r="K11" t="str">
        <f>IF(Rosters!Z12="","",IF(Rosters!Y12="","",Rosters!Y12&amp;" - ")&amp;Rosters!Z12&amp;IF(Rosters!AA12="Yes"," (C)",""))</f>
        <v/>
      </c>
      <c r="L11" t="str">
        <f>IF(Rosters!AC12="","",IF(Rosters!AB12="","",Rosters!AB12&amp;" - ")&amp;Rosters!AC12&amp;IF(Rosters!AD12="Yes"," (C)",""))</f>
        <v>95 - MATTIA COLTRO</v>
      </c>
      <c r="M11" t="str">
        <f>IF(Rosters!AF12="","",IF(Rosters!AE12="","",Rosters!AE12&amp;" - ")&amp;Rosters!AF12&amp;IF(Rosters!AG12="Yes"," (C)",""))</f>
        <v>20 - ANDREA ANZOLETTI</v>
      </c>
      <c r="N11" t="str">
        <f>IF(Rosters!AI12="","",IF(Rosters!AH12="","",Rosters!AH12&amp;" - ")&amp;Rosters!AI12&amp;IF(Rosters!AJ12="Yes"," (C)",""))</f>
        <v>67 - RICCARDO TOGNOLO</v>
      </c>
      <c r="O11" t="str">
        <f>IF(Rosters!AL12="","",IF(Rosters!AK12="","",Rosters!AK12&amp;" - ")&amp;Rosters!AL12&amp;IF(Rosters!AM12="Yes"," (C)",""))</f>
        <v>11 - ALBERTO LORENZETTI (C)</v>
      </c>
      <c r="P11" t="str">
        <f>IF(Rosters!AO12="","",IF(Rosters!AN12="","",Rosters!AN12&amp;" - ")&amp;Rosters!AO12&amp;IF(Rosters!AP12="Yes"," (C)",""))</f>
        <v>21 - LUCA CECCONELLO</v>
      </c>
      <c r="Q11" t="str">
        <f>IF(Rosters!AR12="","",IF(Rosters!AQ12="","",Rosters!AQ12&amp;" - ")&amp;Rosters!AR12&amp;IF(Rosters!AS12="Yes"," (C)",""))</f>
        <v>28 - NICOLA DOBROZI</v>
      </c>
      <c r="R11" t="str">
        <f>IF(Rosters!AU12="","",IF(Rosters!AT12="","",Rosters!AT12&amp;" - ")&amp;Rosters!AU12&amp;IF(Rosters!AV12="Yes"," (C)",""))</f>
        <v>11 - ALEX BERGO</v>
      </c>
    </row>
    <row r="12" spans="1:26" x14ac:dyDescent="0.3">
      <c r="A12" t="s">
        <v>28</v>
      </c>
      <c r="B12" t="s">
        <v>338</v>
      </c>
      <c r="C12" t="str">
        <f>IF(Rosters!B13="","",IF(Rosters!A13="","",Rosters!A13&amp;" - ")&amp;Rosters!B13&amp;IF(Rosters!C13="Yes"," (C)",""))</f>
        <v/>
      </c>
      <c r="D12" t="str">
        <f>IF(Rosters!E13="","",IF(Rosters!D13="","",Rosters!D13&amp;" - ")&amp;Rosters!E13&amp;IF(Rosters!F13="Yes"," (C)",""))</f>
        <v/>
      </c>
      <c r="E12" t="str">
        <f>IF(Rosters!H13="","",IF(Rosters!G13="","",Rosters!G13&amp;" - ")&amp;Rosters!H13&amp;IF(Rosters!I13="Yes"," (C)",""))</f>
        <v>NICOLÒ POLITI</v>
      </c>
      <c r="F12" t="str">
        <f>IF(Rosters!K13="","",IF(Rosters!J13="","",Rosters!J13&amp;" - ")&amp;Rosters!K13&amp;IF(Rosters!L13="Yes"," (C)",""))</f>
        <v/>
      </c>
      <c r="G12" t="str">
        <f>IF(Rosters!N13="","",IF(Rosters!M13="","",Rosters!M13&amp;" - ")&amp;Rosters!N13&amp;IF(Rosters!O13="Yes"," (C)",""))</f>
        <v/>
      </c>
      <c r="H12" t="str">
        <f>IF(Rosters!Q13="","",IF(Rosters!P13="","",Rosters!P13&amp;" - ")&amp;Rosters!Q13&amp;IF(Rosters!R13="Yes"," (C)",""))</f>
        <v>16 - GIACOMO PROTTI</v>
      </c>
      <c r="I12" t="str">
        <f>IF(Rosters!T13="","",IF(Rosters!S13="","",Rosters!S13&amp;" - ")&amp;Rosters!T13&amp;IF(Rosters!U13="Yes"," (C)",""))</f>
        <v>17 - NICOLA BARONI</v>
      </c>
      <c r="J12" t="str">
        <f>IF(Rosters!W13="","",IF(Rosters!V13="","",Rosters!V13&amp;" - ")&amp;Rosters!W13&amp;IF(Rosters!X13="Yes"," (C)",""))</f>
        <v/>
      </c>
      <c r="K12" t="str">
        <f>IF(Rosters!Z13="","",IF(Rosters!Y13="","",Rosters!Y13&amp;" - ")&amp;Rosters!Z13&amp;IF(Rosters!AA13="Yes"," (C)",""))</f>
        <v/>
      </c>
      <c r="L12" t="str">
        <f>IF(Rosters!AC13="","",IF(Rosters!AB13="","",Rosters!AB13&amp;" - ")&amp;Rosters!AC13&amp;IF(Rosters!AD13="Yes"," (C)",""))</f>
        <v/>
      </c>
      <c r="M12" t="str">
        <f>IF(Rosters!AF13="","",IF(Rosters!AE13="","",Rosters!AE13&amp;" - ")&amp;Rosters!AF13&amp;IF(Rosters!AG13="Yes"," (C)",""))</f>
        <v/>
      </c>
      <c r="N12" t="str">
        <f>IF(Rosters!AI13="","",IF(Rosters!AH13="","",Rosters!AH13&amp;" - ")&amp;Rosters!AI13&amp;IF(Rosters!AJ13="Yes"," (C)",""))</f>
        <v/>
      </c>
      <c r="O12" t="str">
        <f>IF(Rosters!AL13="","",IF(Rosters!AK13="","",Rosters!AK13&amp;" - ")&amp;Rosters!AL13&amp;IF(Rosters!AM13="Yes"," (C)",""))</f>
        <v>18 - MATTIA BIOLCATI</v>
      </c>
      <c r="P12" t="str">
        <f>IF(Rosters!AO13="","",IF(Rosters!AN13="","",Rosters!AN13&amp;" - ")&amp;Rosters!AO13&amp;IF(Rosters!AP13="Yes"," (C)",""))</f>
        <v/>
      </c>
      <c r="Q12" t="str">
        <f>IF(Rosters!AR13="","",IF(Rosters!AQ13="","",Rosters!AQ13&amp;" - ")&amp;Rosters!AR13&amp;IF(Rosters!AS13="Yes"," (C)",""))</f>
        <v/>
      </c>
      <c r="R12" t="str">
        <f>IF(Rosters!AU13="","",IF(Rosters!AT13="","",Rosters!AT13&amp;" - ")&amp;Rosters!AU13&amp;IF(Rosters!AV13="Yes"," (C)",""))</f>
        <v>7 - MATTEO BOLZANI</v>
      </c>
    </row>
    <row r="13" spans="1:26" x14ac:dyDescent="0.3">
      <c r="A13" t="s">
        <v>30</v>
      </c>
      <c r="B13" t="s">
        <v>339</v>
      </c>
      <c r="C13" t="str">
        <f>IF(Rosters!B14="","",IF(Rosters!A14="","",Rosters!A14&amp;" - ")&amp;Rosters!B14&amp;IF(Rosters!C14="Yes"," (C)",""))</f>
        <v/>
      </c>
      <c r="D13" t="str">
        <f>IF(Rosters!E14="","",IF(Rosters!D14="","",Rosters!D14&amp;" - ")&amp;Rosters!E14&amp;IF(Rosters!F14="Yes"," (C)",""))</f>
        <v/>
      </c>
      <c r="E13" t="str">
        <f>IF(Rosters!H14="","",IF(Rosters!G14="","",Rosters!G14&amp;" - ")&amp;Rosters!H14&amp;IF(Rosters!I14="Yes"," (C)",""))</f>
        <v>MATTEO SENO</v>
      </c>
      <c r="F13" t="str">
        <f>IF(Rosters!K14="","",IF(Rosters!J14="","",Rosters!J14&amp;" - ")&amp;Rosters!K14&amp;IF(Rosters!L14="Yes"," (C)",""))</f>
        <v/>
      </c>
      <c r="G13" t="str">
        <f>IF(Rosters!N14="","",IF(Rosters!M14="","",Rosters!M14&amp;" - ")&amp;Rosters!N14&amp;IF(Rosters!O14="Yes"," (C)",""))</f>
        <v/>
      </c>
      <c r="H13" t="str">
        <f>IF(Rosters!Q14="","",IF(Rosters!P14="","",Rosters!P14&amp;" - ")&amp;Rosters!Q14&amp;IF(Rosters!R14="Yes"," (C)",""))</f>
        <v/>
      </c>
      <c r="I13" t="str">
        <f>IF(Rosters!T14="","",IF(Rosters!S14="","",Rosters!S14&amp;" - ")&amp;Rosters!T14&amp;IF(Rosters!U14="Yes"," (C)",""))</f>
        <v/>
      </c>
      <c r="J13" t="str">
        <f>IF(Rosters!W14="","",IF(Rosters!V14="","",Rosters!V14&amp;" - ")&amp;Rosters!W14&amp;IF(Rosters!X14="Yes"," (C)",""))</f>
        <v/>
      </c>
      <c r="K13" t="str">
        <f>IF(Rosters!Z14="","",IF(Rosters!Y14="","",Rosters!Y14&amp;" - ")&amp;Rosters!Z14&amp;IF(Rosters!AA14="Yes"," (C)",""))</f>
        <v/>
      </c>
      <c r="L13" t="str">
        <f>IF(Rosters!AC14="","",IF(Rosters!AB14="","",Rosters!AB14&amp;" - ")&amp;Rosters!AC14&amp;IF(Rosters!AD14="Yes"," (C)",""))</f>
        <v/>
      </c>
      <c r="M13" t="str">
        <f>IF(Rosters!AF14="","",IF(Rosters!AE14="","",Rosters!AE14&amp;" - ")&amp;Rosters!AF14&amp;IF(Rosters!AG14="Yes"," (C)",""))</f>
        <v/>
      </c>
      <c r="N13" t="str">
        <f>IF(Rosters!AI14="","",IF(Rosters!AH14="","",Rosters!AH14&amp;" - ")&amp;Rosters!AI14&amp;IF(Rosters!AJ14="Yes"," (C)",""))</f>
        <v/>
      </c>
      <c r="O13" t="str">
        <f>IF(Rosters!AL14="","",IF(Rosters!AK14="","",Rosters!AK14&amp;" - ")&amp;Rosters!AL14&amp;IF(Rosters!AM14="Yes"," (C)",""))</f>
        <v/>
      </c>
      <c r="P13" t="str">
        <f>IF(Rosters!AO14="","",IF(Rosters!AN14="","",Rosters!AN14&amp;" - ")&amp;Rosters!AO14&amp;IF(Rosters!AP14="Yes"," (C)",""))</f>
        <v/>
      </c>
      <c r="Q13" t="str">
        <f>IF(Rosters!AR14="","",IF(Rosters!AQ14="","",Rosters!AQ14&amp;" - ")&amp;Rosters!AR14&amp;IF(Rosters!AS14="Yes"," (C)",""))</f>
        <v/>
      </c>
      <c r="R13" t="str">
        <f>IF(Rosters!AU14="","",IF(Rosters!AT14="","",Rosters!AT14&amp;" - ")&amp;Rosters!AU14&amp;IF(Rosters!AV14="Yes"," (C)",""))</f>
        <v/>
      </c>
    </row>
    <row r="14" spans="1:26" x14ac:dyDescent="0.3">
      <c r="A14" t="s">
        <v>33</v>
      </c>
      <c r="B14" t="s">
        <v>340</v>
      </c>
      <c r="C14" t="str">
        <f>IF(Rosters!B15="","",IF(Rosters!A15="","",Rosters!A15&amp;" - ")&amp;Rosters!B15&amp;IF(Rosters!C15="Yes"," (C)",""))</f>
        <v/>
      </c>
      <c r="D14" t="str">
        <f>IF(Rosters!E15="","",IF(Rosters!D15="","",Rosters!D15&amp;" - ")&amp;Rosters!E15&amp;IF(Rosters!F15="Yes"," (C)",""))</f>
        <v/>
      </c>
      <c r="E14" t="str">
        <f>IF(Rosters!H15="","",IF(Rosters!G15="","",Rosters!G15&amp;" - ")&amp;Rosters!H15&amp;IF(Rosters!I15="Yes"," (C)",""))</f>
        <v>NICO PAVANI</v>
      </c>
      <c r="F14" t="str">
        <f>IF(Rosters!K15="","",IF(Rosters!J15="","",Rosters!J15&amp;" - ")&amp;Rosters!K15&amp;IF(Rosters!L15="Yes"," (C)",""))</f>
        <v/>
      </c>
      <c r="G14" t="str">
        <f>IF(Rosters!N15="","",IF(Rosters!M15="","",Rosters!M15&amp;" - ")&amp;Rosters!N15&amp;IF(Rosters!O15="Yes"," (C)",""))</f>
        <v/>
      </c>
      <c r="H14" t="str">
        <f>IF(Rosters!Q15="","",IF(Rosters!P15="","",Rosters!P15&amp;" - ")&amp;Rosters!Q15&amp;IF(Rosters!R15="Yes"," (C)",""))</f>
        <v/>
      </c>
      <c r="I14" t="str">
        <f>IF(Rosters!T15="","",IF(Rosters!S15="","",Rosters!S15&amp;" - ")&amp;Rosters!T15&amp;IF(Rosters!U15="Yes"," (C)",""))</f>
        <v/>
      </c>
      <c r="J14" t="str">
        <f>IF(Rosters!W15="","",IF(Rosters!V15="","",Rosters!V15&amp;" - ")&amp;Rosters!W15&amp;IF(Rosters!X15="Yes"," (C)",""))</f>
        <v/>
      </c>
      <c r="K14" t="str">
        <f>IF(Rosters!Z15="","",IF(Rosters!Y15="","",Rosters!Y15&amp;" - ")&amp;Rosters!Z15&amp;IF(Rosters!AA15="Yes"," (C)",""))</f>
        <v/>
      </c>
      <c r="L14" t="str">
        <f>IF(Rosters!AC15="","",IF(Rosters!AB15="","",Rosters!AB15&amp;" - ")&amp;Rosters!AC15&amp;IF(Rosters!AD15="Yes"," (C)",""))</f>
        <v/>
      </c>
      <c r="M14" t="str">
        <f>IF(Rosters!AF15="","",IF(Rosters!AE15="","",Rosters!AE15&amp;" - ")&amp;Rosters!AF15&amp;IF(Rosters!AG15="Yes"," (C)",""))</f>
        <v/>
      </c>
      <c r="N14" t="str">
        <f>IF(Rosters!AI15="","",IF(Rosters!AH15="","",Rosters!AH15&amp;" - ")&amp;Rosters!AI15&amp;IF(Rosters!AJ15="Yes"," (C)",""))</f>
        <v/>
      </c>
      <c r="O14" t="str">
        <f>IF(Rosters!AL15="","",IF(Rosters!AK15="","",Rosters!AK15&amp;" - ")&amp;Rosters!AL15&amp;IF(Rosters!AM15="Yes"," (C)",""))</f>
        <v/>
      </c>
      <c r="P14" t="str">
        <f>IF(Rosters!AO15="","",IF(Rosters!AN15="","",Rosters!AN15&amp;" - ")&amp;Rosters!AO15&amp;IF(Rosters!AP15="Yes"," (C)",""))</f>
        <v/>
      </c>
      <c r="Q14" t="str">
        <f>IF(Rosters!AR15="","",IF(Rosters!AQ15="","",Rosters!AQ15&amp;" - ")&amp;Rosters!AR15&amp;IF(Rosters!AS15="Yes"," (C)",""))</f>
        <v/>
      </c>
      <c r="R14" t="str">
        <f>IF(Rosters!AU15="","",IF(Rosters!AT15="","",Rosters!AT15&amp;" - ")&amp;Rosters!AU15&amp;IF(Rosters!AV15="Yes"," (C)",""))</f>
        <v/>
      </c>
    </row>
    <row r="15" spans="1:26" x14ac:dyDescent="0.3">
      <c r="A15" t="s">
        <v>35</v>
      </c>
      <c r="B15" t="s">
        <v>341</v>
      </c>
      <c r="C15" t="str">
        <f>IF(Rosters!B16="","",IF(Rosters!A16="","",Rosters!A16&amp;" - ")&amp;Rosters!B16&amp;IF(Rosters!C16="Yes"," (C)",""))</f>
        <v/>
      </c>
      <c r="D15" t="str">
        <f>IF(Rosters!E16="","",IF(Rosters!D16="","",Rosters!D16&amp;" - ")&amp;Rosters!E16&amp;IF(Rosters!F16="Yes"," (C)",""))</f>
        <v/>
      </c>
      <c r="E15" t="str">
        <f>IF(Rosters!H16="","",IF(Rosters!G16="","",Rosters!G16&amp;" - ")&amp;Rosters!H16&amp;IF(Rosters!I16="Yes"," (C)",""))</f>
        <v/>
      </c>
      <c r="F15" t="str">
        <f>IF(Rosters!K16="","",IF(Rosters!J16="","",Rosters!J16&amp;" - ")&amp;Rosters!K16&amp;IF(Rosters!L16="Yes"," (C)",""))</f>
        <v/>
      </c>
      <c r="G15" t="str">
        <f>IF(Rosters!N16="","",IF(Rosters!M16="","",Rosters!M16&amp;" - ")&amp;Rosters!N16&amp;IF(Rosters!O16="Yes"," (C)",""))</f>
        <v/>
      </c>
      <c r="H15" t="str">
        <f>IF(Rosters!Q16="","",IF(Rosters!P16="","",Rosters!P16&amp;" - ")&amp;Rosters!Q16&amp;IF(Rosters!R16="Yes"," (C)",""))</f>
        <v/>
      </c>
      <c r="I15" t="str">
        <f>IF(Rosters!T16="","",IF(Rosters!S16="","",Rosters!S16&amp;" - ")&amp;Rosters!T16&amp;IF(Rosters!U16="Yes"," (C)",""))</f>
        <v/>
      </c>
      <c r="J15" t="str">
        <f>IF(Rosters!W16="","",IF(Rosters!V16="","",Rosters!V16&amp;" - ")&amp;Rosters!W16&amp;IF(Rosters!X16="Yes"," (C)",""))</f>
        <v/>
      </c>
      <c r="K15" t="str">
        <f>IF(Rosters!Z16="","",IF(Rosters!Y16="","",Rosters!Y16&amp;" - ")&amp;Rosters!Z16&amp;IF(Rosters!AA16="Yes"," (C)",""))</f>
        <v/>
      </c>
      <c r="L15" t="str">
        <f>IF(Rosters!AC16="","",IF(Rosters!AB16="","",Rosters!AB16&amp;" - ")&amp;Rosters!AC16&amp;IF(Rosters!AD16="Yes"," (C)",""))</f>
        <v/>
      </c>
      <c r="M15" t="str">
        <f>IF(Rosters!AF16="","",IF(Rosters!AE16="","",Rosters!AE16&amp;" - ")&amp;Rosters!AF16&amp;IF(Rosters!AG16="Yes"," (C)",""))</f>
        <v/>
      </c>
      <c r="N15" t="str">
        <f>IF(Rosters!AI16="","",IF(Rosters!AH16="","",Rosters!AH16&amp;" - ")&amp;Rosters!AI16&amp;IF(Rosters!AJ16="Yes"," (C)",""))</f>
        <v/>
      </c>
      <c r="O15" t="str">
        <f>IF(Rosters!AL16="","",IF(Rosters!AK16="","",Rosters!AK16&amp;" - ")&amp;Rosters!AL16&amp;IF(Rosters!AM16="Yes"," (C)",""))</f>
        <v/>
      </c>
      <c r="P15" t="str">
        <f>IF(Rosters!AO16="","",IF(Rosters!AN16="","",Rosters!AN16&amp;" - ")&amp;Rosters!AO16&amp;IF(Rosters!AP16="Yes"," (C)",""))</f>
        <v/>
      </c>
      <c r="Q15" t="str">
        <f>IF(Rosters!AR16="","",IF(Rosters!AQ16="","",Rosters!AQ16&amp;" - ")&amp;Rosters!AR16&amp;IF(Rosters!AS16="Yes"," (C)",""))</f>
        <v/>
      </c>
      <c r="R15" t="str">
        <f>IF(Rosters!AU16="","",IF(Rosters!AT16="","",Rosters!AT16&amp;" - ")&amp;Rosters!AU16&amp;IF(Rosters!AV16="Yes"," (C)",""))</f>
        <v/>
      </c>
    </row>
    <row r="16" spans="1:26" x14ac:dyDescent="0.3">
      <c r="A16" t="s">
        <v>37</v>
      </c>
      <c r="B16" t="s">
        <v>342</v>
      </c>
      <c r="C16" t="str">
        <f>IF(Rosters!B17="","",IF(Rosters!A17="","",Rosters!A17&amp;" - ")&amp;Rosters!B17&amp;IF(Rosters!C17="Yes"," (C)",""))</f>
        <v/>
      </c>
      <c r="D16" t="str">
        <f>IF(Rosters!E17="","",IF(Rosters!D17="","",Rosters!D17&amp;" - ")&amp;Rosters!E17&amp;IF(Rosters!F17="Yes"," (C)",""))</f>
        <v/>
      </c>
      <c r="E16" t="str">
        <f>IF(Rosters!H17="","",IF(Rosters!G17="","",Rosters!G17&amp;" - ")&amp;Rosters!H17&amp;IF(Rosters!I17="Yes"," (C)",""))</f>
        <v/>
      </c>
      <c r="F16" t="str">
        <f>IF(Rosters!K17="","",IF(Rosters!J17="","",Rosters!J17&amp;" - ")&amp;Rosters!K17&amp;IF(Rosters!L17="Yes"," (C)",""))</f>
        <v/>
      </c>
      <c r="G16" t="str">
        <f>IF(Rosters!N17="","",IF(Rosters!M17="","",Rosters!M17&amp;" - ")&amp;Rosters!N17&amp;IF(Rosters!O17="Yes"," (C)",""))</f>
        <v/>
      </c>
      <c r="H16" t="str">
        <f>IF(Rosters!Q17="","",IF(Rosters!P17="","",Rosters!P17&amp;" - ")&amp;Rosters!Q17&amp;IF(Rosters!R17="Yes"," (C)",""))</f>
        <v/>
      </c>
      <c r="I16" t="str">
        <f>IF(Rosters!T17="","",IF(Rosters!S17="","",Rosters!S17&amp;" - ")&amp;Rosters!T17&amp;IF(Rosters!U17="Yes"," (C)",""))</f>
        <v/>
      </c>
      <c r="J16" t="str">
        <f>IF(Rosters!W17="","",IF(Rosters!V17="","",Rosters!V17&amp;" - ")&amp;Rosters!W17&amp;IF(Rosters!X17="Yes"," (C)",""))</f>
        <v/>
      </c>
      <c r="K16" t="str">
        <f>IF(Rosters!Z17="","",IF(Rosters!Y17="","",Rosters!Y17&amp;" - ")&amp;Rosters!Z17&amp;IF(Rosters!AA17="Yes"," (C)",""))</f>
        <v/>
      </c>
      <c r="L16" t="str">
        <f>IF(Rosters!AC17="","",IF(Rosters!AB17="","",Rosters!AB17&amp;" - ")&amp;Rosters!AC17&amp;IF(Rosters!AD17="Yes"," (C)",""))</f>
        <v/>
      </c>
      <c r="M16" t="str">
        <f>IF(Rosters!AF17="","",IF(Rosters!AE17="","",Rosters!AE17&amp;" - ")&amp;Rosters!AF17&amp;IF(Rosters!AG17="Yes"," (C)",""))</f>
        <v/>
      </c>
      <c r="N16" t="str">
        <f>IF(Rosters!AI17="","",IF(Rosters!AH17="","",Rosters!AH17&amp;" - ")&amp;Rosters!AI17&amp;IF(Rosters!AJ17="Yes"," (C)",""))</f>
        <v/>
      </c>
      <c r="O16" t="str">
        <f>IF(Rosters!AL17="","",IF(Rosters!AK17="","",Rosters!AK17&amp;" - ")&amp;Rosters!AL17&amp;IF(Rosters!AM17="Yes"," (C)",""))</f>
        <v/>
      </c>
      <c r="P16" t="str">
        <f>IF(Rosters!AO17="","",IF(Rosters!AN17="","",Rosters!AN17&amp;" - ")&amp;Rosters!AO17&amp;IF(Rosters!AP17="Yes"," (C)",""))</f>
        <v/>
      </c>
      <c r="Q16" t="str">
        <f>IF(Rosters!AR17="","",IF(Rosters!AQ17="","",Rosters!AQ17&amp;" - ")&amp;Rosters!AR17&amp;IF(Rosters!AS17="Yes"," (C)",""))</f>
        <v/>
      </c>
      <c r="R16" t="str">
        <f>IF(Rosters!AU17="","",IF(Rosters!AT17="","",Rosters!AT17&amp;" - ")&amp;Rosters!AU17&amp;IF(Rosters!AV17="Yes"," (C)",""))</f>
        <v/>
      </c>
    </row>
    <row r="17" spans="1:18" x14ac:dyDescent="0.3">
      <c r="A17" t="s">
        <v>39</v>
      </c>
      <c r="B17" t="s">
        <v>343</v>
      </c>
      <c r="C17" t="str">
        <f>IF(Rosters!B18="","",IF(Rosters!A18="","",Rosters!A18&amp;" - ")&amp;Rosters!B18&amp;IF(Rosters!C18="Yes"," (C)",""))</f>
        <v/>
      </c>
      <c r="D17" t="str">
        <f>IF(Rosters!E18="","",IF(Rosters!D18="","",Rosters!D18&amp;" - ")&amp;Rosters!E18&amp;IF(Rosters!F18="Yes"," (C)",""))</f>
        <v/>
      </c>
      <c r="E17" t="str">
        <f>IF(Rosters!H18="","",IF(Rosters!G18="","",Rosters!G18&amp;" - ")&amp;Rosters!H18&amp;IF(Rosters!I18="Yes"," (C)",""))</f>
        <v/>
      </c>
      <c r="F17" t="str">
        <f>IF(Rosters!K18="","",IF(Rosters!J18="","",Rosters!J18&amp;" - ")&amp;Rosters!K18&amp;IF(Rosters!L18="Yes"," (C)",""))</f>
        <v/>
      </c>
      <c r="G17" t="str">
        <f>IF(Rosters!N18="","",IF(Rosters!M18="","",Rosters!M18&amp;" - ")&amp;Rosters!N18&amp;IF(Rosters!O18="Yes"," (C)",""))</f>
        <v/>
      </c>
      <c r="H17" t="str">
        <f>IF(Rosters!Q18="","",IF(Rosters!P18="","",Rosters!P18&amp;" - ")&amp;Rosters!Q18&amp;IF(Rosters!R18="Yes"," (C)",""))</f>
        <v/>
      </c>
      <c r="I17" t="str">
        <f>IF(Rosters!T18="","",IF(Rosters!S18="","",Rosters!S18&amp;" - ")&amp;Rosters!T18&amp;IF(Rosters!U18="Yes"," (C)",""))</f>
        <v/>
      </c>
      <c r="J17" t="str">
        <f>IF(Rosters!W18="","",IF(Rosters!V18="","",Rosters!V18&amp;" - ")&amp;Rosters!W18&amp;IF(Rosters!X18="Yes"," (C)",""))</f>
        <v/>
      </c>
      <c r="K17" t="str">
        <f>IF(Rosters!Z18="","",IF(Rosters!Y18="","",Rosters!Y18&amp;" - ")&amp;Rosters!Z18&amp;IF(Rosters!AA18="Yes"," (C)",""))</f>
        <v/>
      </c>
      <c r="L17" t="str">
        <f>IF(Rosters!AC18="","",IF(Rosters!AB18="","",Rosters!AB18&amp;" - ")&amp;Rosters!AC18&amp;IF(Rosters!AD18="Yes"," (C)",""))</f>
        <v/>
      </c>
      <c r="M17" t="str">
        <f>IF(Rosters!AF18="","",IF(Rosters!AE18="","",Rosters!AE18&amp;" - ")&amp;Rosters!AF18&amp;IF(Rosters!AG18="Yes"," (C)",""))</f>
        <v/>
      </c>
      <c r="N17" t="str">
        <f>IF(Rosters!AI18="","",IF(Rosters!AH18="","",Rosters!AH18&amp;" - ")&amp;Rosters!AI18&amp;IF(Rosters!AJ18="Yes"," (C)",""))</f>
        <v/>
      </c>
      <c r="O17" t="str">
        <f>IF(Rosters!AL18="","",IF(Rosters!AK18="","",Rosters!AK18&amp;" - ")&amp;Rosters!AL18&amp;IF(Rosters!AM18="Yes"," (C)",""))</f>
        <v/>
      </c>
      <c r="P17" t="str">
        <f>IF(Rosters!AO18="","",IF(Rosters!AN18="","",Rosters!AN18&amp;" - ")&amp;Rosters!AO18&amp;IF(Rosters!AP18="Yes"," (C)",""))</f>
        <v/>
      </c>
      <c r="Q17" t="str">
        <f>IF(Rosters!AR18="","",IF(Rosters!AQ18="","",Rosters!AQ18&amp;" - ")&amp;Rosters!AR18&amp;IF(Rosters!AS18="Yes"," (C)",""))</f>
        <v/>
      </c>
      <c r="R17" t="str">
        <f>IF(Rosters!AU18="","",IF(Rosters!AT18="","",Rosters!AT18&amp;" - ")&amp;Rosters!AU18&amp;IF(Rosters!AV18="Yes"," (C)",""))</f>
        <v/>
      </c>
    </row>
    <row r="18" spans="1:18" x14ac:dyDescent="0.3">
      <c r="C18" t="str">
        <f>IF(Rosters!B19="","",IF(Rosters!A19="","",Rosters!A19&amp;" - ")&amp;Rosters!B19&amp;IF(Rosters!C19="Yes"," (C)",""))</f>
        <v/>
      </c>
      <c r="D18" t="str">
        <f>IF(Rosters!E19="","",IF(Rosters!D19="","",Rosters!D19&amp;" - ")&amp;Rosters!E19&amp;IF(Rosters!F19="Yes"," (C)",""))</f>
        <v/>
      </c>
      <c r="E18" t="str">
        <f>IF(Rosters!H19="","",IF(Rosters!G19="","",Rosters!G19&amp;" - ")&amp;Rosters!H19&amp;IF(Rosters!I19="Yes"," (C)",""))</f>
        <v/>
      </c>
      <c r="F18" t="str">
        <f>IF(Rosters!K19="","",IF(Rosters!J19="","",Rosters!J19&amp;" - ")&amp;Rosters!K19&amp;IF(Rosters!L19="Yes"," (C)",""))</f>
        <v/>
      </c>
      <c r="G18" t="str">
        <f>IF(Rosters!N19="","",IF(Rosters!M19="","",Rosters!M19&amp;" - ")&amp;Rosters!N19&amp;IF(Rosters!O19="Yes"," (C)",""))</f>
        <v/>
      </c>
      <c r="H18" t="str">
        <f>IF(Rosters!Q19="","",IF(Rosters!P19="","",Rosters!P19&amp;" - ")&amp;Rosters!Q19&amp;IF(Rosters!R19="Yes"," (C)",""))</f>
        <v/>
      </c>
      <c r="I18" t="str">
        <f>IF(Rosters!T19="","",IF(Rosters!S19="","",Rosters!S19&amp;" - ")&amp;Rosters!T19&amp;IF(Rosters!U19="Yes"," (C)",""))</f>
        <v/>
      </c>
      <c r="J18" t="str">
        <f>IF(Rosters!W19="","",IF(Rosters!V19="","",Rosters!V19&amp;" - ")&amp;Rosters!W19&amp;IF(Rosters!X19="Yes"," (C)",""))</f>
        <v/>
      </c>
      <c r="K18" t="str">
        <f>IF(Rosters!Z19="","",IF(Rosters!Y19="","",Rosters!Y19&amp;" - ")&amp;Rosters!Z19&amp;IF(Rosters!AA19="Yes"," (C)",""))</f>
        <v/>
      </c>
      <c r="L18" t="str">
        <f>IF(Rosters!AC19="","",IF(Rosters!AB19="","",Rosters!AB19&amp;" - ")&amp;Rosters!AC19&amp;IF(Rosters!AD19="Yes"," (C)",""))</f>
        <v/>
      </c>
      <c r="M18" t="str">
        <f>IF(Rosters!AF19="","",IF(Rosters!AE19="","",Rosters!AE19&amp;" - ")&amp;Rosters!AF19&amp;IF(Rosters!AG19="Yes"," (C)",""))</f>
        <v/>
      </c>
      <c r="N18" t="str">
        <f>IF(Rosters!AI19="","",IF(Rosters!AH19="","",Rosters!AH19&amp;" - ")&amp;Rosters!AI19&amp;IF(Rosters!AJ19="Yes"," (C)",""))</f>
        <v/>
      </c>
      <c r="O18" t="str">
        <f>IF(Rosters!AL19="","",IF(Rosters!AK19="","",Rosters!AK19&amp;" - ")&amp;Rosters!AL19&amp;IF(Rosters!AM19="Yes"," (C)",""))</f>
        <v/>
      </c>
      <c r="P18" t="str">
        <f>IF(Rosters!AO19="","",IF(Rosters!AN19="","",Rosters!AN19&amp;" - ")&amp;Rosters!AO19&amp;IF(Rosters!AP19="Yes"," (C)",""))</f>
        <v/>
      </c>
      <c r="Q18" t="str">
        <f>IF(Rosters!AR19="","",IF(Rosters!AQ19="","",Rosters!AQ19&amp;" - ")&amp;Rosters!AR19&amp;IF(Rosters!AS19="Yes"," (C)",""))</f>
        <v/>
      </c>
      <c r="R18" t="str">
        <f>IF(Rosters!AU19="","",IF(Rosters!AT19="","",Rosters!AT19&amp;" - ")&amp;Rosters!AU19&amp;IF(Rosters!AV19="Yes"," (C)",""))</f>
        <v/>
      </c>
    </row>
    <row r="19" spans="1:18" x14ac:dyDescent="0.3">
      <c r="C19" t="str">
        <f>IF(Rosters!B20="","",IF(Rosters!A20="","",Rosters!A20&amp;" - ")&amp;Rosters!B20&amp;IF(Rosters!C20="Yes"," (C)",""))</f>
        <v/>
      </c>
      <c r="D19" t="str">
        <f>IF(Rosters!E20="","",IF(Rosters!D20="","",Rosters!D20&amp;" - ")&amp;Rosters!E20&amp;IF(Rosters!F20="Yes"," (C)",""))</f>
        <v/>
      </c>
      <c r="E19" t="str">
        <f>IF(Rosters!H20="","",IF(Rosters!G20="","",Rosters!G20&amp;" - ")&amp;Rosters!H20&amp;IF(Rosters!I20="Yes"," (C)",""))</f>
        <v/>
      </c>
      <c r="F19" t="str">
        <f>IF(Rosters!K20="","",IF(Rosters!J20="","",Rosters!J20&amp;" - ")&amp;Rosters!K20&amp;IF(Rosters!L20="Yes"," (C)",""))</f>
        <v/>
      </c>
      <c r="G19" t="str">
        <f>IF(Rosters!N20="","",IF(Rosters!M20="","",Rosters!M20&amp;" - ")&amp;Rosters!N20&amp;IF(Rosters!O20="Yes"," (C)",""))</f>
        <v/>
      </c>
      <c r="H19" t="str">
        <f>IF(Rosters!Q20="","",IF(Rosters!P20="","",Rosters!P20&amp;" - ")&amp;Rosters!Q20&amp;IF(Rosters!R20="Yes"," (C)",""))</f>
        <v/>
      </c>
      <c r="I19" t="str">
        <f>IF(Rosters!T20="","",IF(Rosters!S20="","",Rosters!S20&amp;" - ")&amp;Rosters!T20&amp;IF(Rosters!U20="Yes"," (C)",""))</f>
        <v/>
      </c>
      <c r="J19" t="str">
        <f>IF(Rosters!W20="","",IF(Rosters!V20="","",Rosters!V20&amp;" - ")&amp;Rosters!W20&amp;IF(Rosters!X20="Yes"," (C)",""))</f>
        <v/>
      </c>
      <c r="K19" t="str">
        <f>IF(Rosters!Z20="","",IF(Rosters!Y20="","",Rosters!Y20&amp;" - ")&amp;Rosters!Z20&amp;IF(Rosters!AA20="Yes"," (C)",""))</f>
        <v/>
      </c>
      <c r="L19" t="str">
        <f>IF(Rosters!AC20="","",IF(Rosters!AB20="","",Rosters!AB20&amp;" - ")&amp;Rosters!AC20&amp;IF(Rosters!AD20="Yes"," (C)",""))</f>
        <v/>
      </c>
      <c r="M19" t="str">
        <f>IF(Rosters!AF20="","",IF(Rosters!AE20="","",Rosters!AE20&amp;" - ")&amp;Rosters!AF20&amp;IF(Rosters!AG20="Yes"," (C)",""))</f>
        <v/>
      </c>
      <c r="N19" t="str">
        <f>IF(Rosters!AI20="","",IF(Rosters!AH20="","",Rosters!AH20&amp;" - ")&amp;Rosters!AI20&amp;IF(Rosters!AJ20="Yes"," (C)",""))</f>
        <v/>
      </c>
      <c r="O19" t="str">
        <f>IF(Rosters!AL20="","",IF(Rosters!AK20="","",Rosters!AK20&amp;" - ")&amp;Rosters!AL20&amp;IF(Rosters!AM20="Yes"," (C)",""))</f>
        <v/>
      </c>
      <c r="P19" t="str">
        <f>IF(Rosters!AO20="","",IF(Rosters!AN20="","",Rosters!AN20&amp;" - ")&amp;Rosters!AO20&amp;IF(Rosters!AP20="Yes"," (C)",""))</f>
        <v/>
      </c>
      <c r="Q19" t="str">
        <f>IF(Rosters!AR20="","",IF(Rosters!AQ20="","",Rosters!AQ20&amp;" - ")&amp;Rosters!AR20&amp;IF(Rosters!AS20="Yes"," (C)",""))</f>
        <v/>
      </c>
      <c r="R19" t="str">
        <f>IF(Rosters!AU20="","",IF(Rosters!AT20="","",Rosters!AT20&amp;" - ")&amp;Rosters!AU20&amp;IF(Rosters!AV20="Yes"," (C)",""))</f>
        <v/>
      </c>
    </row>
    <row r="20" spans="1:18" x14ac:dyDescent="0.3">
      <c r="C20" t="str">
        <f>IF(Rosters!B21="","",IF(Rosters!A21="","",Rosters!A21&amp;" - ")&amp;Rosters!B21&amp;IF(Rosters!C21="Yes"," (C)",""))</f>
        <v/>
      </c>
      <c r="D20" t="str">
        <f>IF(Rosters!E21="","",IF(Rosters!D21="","",Rosters!D21&amp;" - ")&amp;Rosters!E21&amp;IF(Rosters!F21="Yes"," (C)",""))</f>
        <v/>
      </c>
      <c r="E20" t="str">
        <f>IF(Rosters!H21="","",IF(Rosters!G21="","",Rosters!G21&amp;" - ")&amp;Rosters!H21&amp;IF(Rosters!I21="Yes"," (C)",""))</f>
        <v/>
      </c>
      <c r="F20" t="str">
        <f>IF(Rosters!K21="","",IF(Rosters!J21="","",Rosters!J21&amp;" - ")&amp;Rosters!K21&amp;IF(Rosters!L21="Yes"," (C)",""))</f>
        <v/>
      </c>
      <c r="G20" t="str">
        <f>IF(Rosters!N21="","",IF(Rosters!M21="","",Rosters!M21&amp;" - ")&amp;Rosters!N21&amp;IF(Rosters!O21="Yes"," (C)",""))</f>
        <v/>
      </c>
      <c r="H20" t="str">
        <f>IF(Rosters!Q21="","",IF(Rosters!P21="","",Rosters!P21&amp;" - ")&amp;Rosters!Q21&amp;IF(Rosters!R21="Yes"," (C)",""))</f>
        <v/>
      </c>
      <c r="I20" t="str">
        <f>IF(Rosters!T21="","",IF(Rosters!S21="","",Rosters!S21&amp;" - ")&amp;Rosters!T21&amp;IF(Rosters!U21="Yes"," (C)",""))</f>
        <v/>
      </c>
      <c r="J20" t="str">
        <f>IF(Rosters!W21="","",IF(Rosters!V21="","",Rosters!V21&amp;" - ")&amp;Rosters!W21&amp;IF(Rosters!X21="Yes"," (C)",""))</f>
        <v/>
      </c>
      <c r="K20" t="str">
        <f>IF(Rosters!Z21="","",IF(Rosters!Y21="","",Rosters!Y21&amp;" - ")&amp;Rosters!Z21&amp;IF(Rosters!AA21="Yes"," (C)",""))</f>
        <v/>
      </c>
      <c r="L20" t="str">
        <f>IF(Rosters!AC21="","",IF(Rosters!AB21="","",Rosters!AB21&amp;" - ")&amp;Rosters!AC21&amp;IF(Rosters!AD21="Yes"," (C)",""))</f>
        <v/>
      </c>
      <c r="M20" t="str">
        <f>IF(Rosters!AF21="","",IF(Rosters!AE21="","",Rosters!AE21&amp;" - ")&amp;Rosters!AF21&amp;IF(Rosters!AG21="Yes"," (C)",""))</f>
        <v/>
      </c>
      <c r="N20" t="str">
        <f>IF(Rosters!AI21="","",IF(Rosters!AH21="","",Rosters!AH21&amp;" - ")&amp;Rosters!AI21&amp;IF(Rosters!AJ21="Yes"," (C)",""))</f>
        <v/>
      </c>
      <c r="O20" t="str">
        <f>IF(Rosters!AL21="","",IF(Rosters!AK21="","",Rosters!AK21&amp;" - ")&amp;Rosters!AL21&amp;IF(Rosters!AM21="Yes"," (C)",""))</f>
        <v/>
      </c>
      <c r="P20" t="str">
        <f>IF(Rosters!AO21="","",IF(Rosters!AN21="","",Rosters!AN21&amp;" - ")&amp;Rosters!AO21&amp;IF(Rosters!AP21="Yes"," (C)",""))</f>
        <v/>
      </c>
      <c r="Q20" t="str">
        <f>IF(Rosters!AR21="","",IF(Rosters!AQ21="","",Rosters!AQ21&amp;" - ")&amp;Rosters!AR21&amp;IF(Rosters!AS21="Yes"," (C)",""))</f>
        <v/>
      </c>
      <c r="R20" t="str">
        <f>IF(Rosters!AU21="","",IF(Rosters!AT21="","",Rosters!AT21&amp;" - ")&amp;Rosters!AU21&amp;IF(Rosters!AV21="Yes"," (C)",""))</f>
        <v/>
      </c>
    </row>
    <row r="21" spans="1:18" x14ac:dyDescent="0.3">
      <c r="C21" t="str">
        <f>IF(Rosters!B22="","",IF(Rosters!A22="","",Rosters!A22&amp;" - ")&amp;Rosters!B22&amp;IF(Rosters!C22="Yes"," (C)",""))</f>
        <v/>
      </c>
      <c r="D21" t="str">
        <f>IF(Rosters!E22="","",IF(Rosters!D22="","",Rosters!D22&amp;" - ")&amp;Rosters!E22&amp;IF(Rosters!F22="Yes"," (C)",""))</f>
        <v/>
      </c>
      <c r="E21" t="str">
        <f>IF(Rosters!H22="","",IF(Rosters!G22="","",Rosters!G22&amp;" - ")&amp;Rosters!H22&amp;IF(Rosters!I22="Yes"," (C)",""))</f>
        <v/>
      </c>
      <c r="F21" t="str">
        <f>IF(Rosters!K22="","",IF(Rosters!J22="","",Rosters!J22&amp;" - ")&amp;Rosters!K22&amp;IF(Rosters!L22="Yes"," (C)",""))</f>
        <v/>
      </c>
      <c r="G21" t="str">
        <f>IF(Rosters!N22="","",IF(Rosters!M22="","",Rosters!M22&amp;" - ")&amp;Rosters!N22&amp;IF(Rosters!O22="Yes"," (C)",""))</f>
        <v/>
      </c>
      <c r="H21" t="str">
        <f>IF(Rosters!Q22="","",IF(Rosters!P22="","",Rosters!P22&amp;" - ")&amp;Rosters!Q22&amp;IF(Rosters!R22="Yes"," (C)",""))</f>
        <v/>
      </c>
      <c r="I21" t="str">
        <f>IF(Rosters!T22="","",IF(Rosters!S22="","",Rosters!S22&amp;" - ")&amp;Rosters!T22&amp;IF(Rosters!U22="Yes"," (C)",""))</f>
        <v/>
      </c>
      <c r="J21" t="str">
        <f>IF(Rosters!W22="","",IF(Rosters!V22="","",Rosters!V22&amp;" - ")&amp;Rosters!W22&amp;IF(Rosters!X22="Yes"," (C)",""))</f>
        <v/>
      </c>
      <c r="K21" t="str">
        <f>IF(Rosters!Z22="","",IF(Rosters!Y22="","",Rosters!Y22&amp;" - ")&amp;Rosters!Z22&amp;IF(Rosters!AA22="Yes"," (C)",""))</f>
        <v/>
      </c>
      <c r="L21" t="str">
        <f>IF(Rosters!AC22="","",IF(Rosters!AB22="","",Rosters!AB22&amp;" - ")&amp;Rosters!AC22&amp;IF(Rosters!AD22="Yes"," (C)",""))</f>
        <v/>
      </c>
      <c r="M21" t="str">
        <f>IF(Rosters!AF22="","",IF(Rosters!AE22="","",Rosters!AE22&amp;" - ")&amp;Rosters!AF22&amp;IF(Rosters!AG22="Yes"," (C)",""))</f>
        <v/>
      </c>
      <c r="N21" t="str">
        <f>IF(Rosters!AI22="","",IF(Rosters!AH22="","",Rosters!AH22&amp;" - ")&amp;Rosters!AI22&amp;IF(Rosters!AJ22="Yes"," (C)",""))</f>
        <v/>
      </c>
      <c r="O21" t="str">
        <f>IF(Rosters!AL22="","",IF(Rosters!AK22="","",Rosters!AK22&amp;" - ")&amp;Rosters!AL22&amp;IF(Rosters!AM22="Yes"," (C)",""))</f>
        <v/>
      </c>
      <c r="P21" t="str">
        <f>IF(Rosters!AO22="","",IF(Rosters!AN22="","",Rosters!AN22&amp;" - ")&amp;Rosters!AO22&amp;IF(Rosters!AP22="Yes"," (C)",""))</f>
        <v/>
      </c>
      <c r="Q21" t="str">
        <f>IF(Rosters!AR22="","",IF(Rosters!AQ22="","",Rosters!AQ22&amp;" - ")&amp;Rosters!AR22&amp;IF(Rosters!AS22="Yes"," (C)",""))</f>
        <v/>
      </c>
      <c r="R21" t="str">
        <f>IF(Rosters!AU22="","",IF(Rosters!AT22="","",Rosters!AT22&amp;" - ")&amp;Rosters!AU22&amp;IF(Rosters!AV22="Yes"," (C)",""))</f>
        <v/>
      </c>
    </row>
    <row r="22" spans="1:18" x14ac:dyDescent="0.3">
      <c r="C22" t="str">
        <f>IF(Rosters!B23="","",IF(Rosters!A23="","",Rosters!A23&amp;" - ")&amp;Rosters!B23&amp;IF(Rosters!C23="Yes"," (C)",""))</f>
        <v/>
      </c>
      <c r="D22" t="str">
        <f>IF(Rosters!E23="","",IF(Rosters!D23="","",Rosters!D23&amp;" - ")&amp;Rosters!E23&amp;IF(Rosters!F23="Yes"," (C)",""))</f>
        <v/>
      </c>
      <c r="E22" t="str">
        <f>IF(Rosters!H23="","",IF(Rosters!G23="","",Rosters!G23&amp;" - ")&amp;Rosters!H23&amp;IF(Rosters!I23="Yes"," (C)",""))</f>
        <v/>
      </c>
      <c r="F22" t="str">
        <f>IF(Rosters!K23="","",IF(Rosters!J23="","",Rosters!J23&amp;" - ")&amp;Rosters!K23&amp;IF(Rosters!L23="Yes"," (C)",""))</f>
        <v/>
      </c>
      <c r="G22" t="str">
        <f>IF(Rosters!N23="","",IF(Rosters!M23="","",Rosters!M23&amp;" - ")&amp;Rosters!N23&amp;IF(Rosters!O23="Yes"," (C)",""))</f>
        <v/>
      </c>
      <c r="H22" t="str">
        <f>IF(Rosters!Q23="","",IF(Rosters!P23="","",Rosters!P23&amp;" - ")&amp;Rosters!Q23&amp;IF(Rosters!R23="Yes"," (C)",""))</f>
        <v/>
      </c>
      <c r="I22" t="str">
        <f>IF(Rosters!T23="","",IF(Rosters!S23="","",Rosters!S23&amp;" - ")&amp;Rosters!T23&amp;IF(Rosters!U23="Yes"," (C)",""))</f>
        <v/>
      </c>
      <c r="J22" t="str">
        <f>IF(Rosters!W23="","",IF(Rosters!V23="","",Rosters!V23&amp;" - ")&amp;Rosters!W23&amp;IF(Rosters!X23="Yes"," (C)",""))</f>
        <v/>
      </c>
      <c r="K22" t="str">
        <f>IF(Rosters!Z23="","",IF(Rosters!Y23="","",Rosters!Y23&amp;" - ")&amp;Rosters!Z23&amp;IF(Rosters!AA23="Yes"," (C)",""))</f>
        <v/>
      </c>
      <c r="L22" t="str">
        <f>IF(Rosters!AC23="","",IF(Rosters!AB23="","",Rosters!AB23&amp;" - ")&amp;Rosters!AC23&amp;IF(Rosters!AD23="Yes"," (C)",""))</f>
        <v/>
      </c>
      <c r="M22" t="str">
        <f>IF(Rosters!AF23="","",IF(Rosters!AE23="","",Rosters!AE23&amp;" - ")&amp;Rosters!AF23&amp;IF(Rosters!AG23="Yes"," (C)",""))</f>
        <v/>
      </c>
      <c r="N22" t="str">
        <f>IF(Rosters!AI23="","",IF(Rosters!AH23="","",Rosters!AH23&amp;" - ")&amp;Rosters!AI23&amp;IF(Rosters!AJ23="Yes"," (C)",""))</f>
        <v/>
      </c>
      <c r="O22" t="str">
        <f>IF(Rosters!AL23="","",IF(Rosters!AK23="","",Rosters!AK23&amp;" - ")&amp;Rosters!AL23&amp;IF(Rosters!AM23="Yes"," (C)",""))</f>
        <v/>
      </c>
      <c r="P22" t="str">
        <f>IF(Rosters!AO23="","",IF(Rosters!AN23="","",Rosters!AN23&amp;" - ")&amp;Rosters!AO23&amp;IF(Rosters!AP23="Yes"," (C)",""))</f>
        <v/>
      </c>
      <c r="Q22" t="str">
        <f>IF(Rosters!AR23="","",IF(Rosters!AQ23="","",Rosters!AQ23&amp;" - ")&amp;Rosters!AR23&amp;IF(Rosters!AS23="Yes"," (C)",""))</f>
        <v/>
      </c>
      <c r="R22" t="str">
        <f>IF(Rosters!AU23="","",IF(Rosters!AT23="","",Rosters!AT23&amp;" - ")&amp;Rosters!AU23&amp;IF(Rosters!AV23="Yes"," (C)",""))</f>
        <v/>
      </c>
    </row>
    <row r="23" spans="1:18" x14ac:dyDescent="0.3">
      <c r="C23" t="str">
        <f>IF(Rosters!B24="","",IF(Rosters!A24="","",Rosters!A24&amp;" - ")&amp;Rosters!B24&amp;IF(Rosters!C24="Yes"," (C)",""))</f>
        <v/>
      </c>
      <c r="D23" t="str">
        <f>IF(Rosters!E24="","",IF(Rosters!D24="","",Rosters!D24&amp;" - ")&amp;Rosters!E24&amp;IF(Rosters!F24="Yes"," (C)",""))</f>
        <v/>
      </c>
      <c r="E23" t="str">
        <f>IF(Rosters!H24="","",IF(Rosters!G24="","",Rosters!G24&amp;" - ")&amp;Rosters!H24&amp;IF(Rosters!I24="Yes"," (C)",""))</f>
        <v/>
      </c>
      <c r="F23" t="str">
        <f>IF(Rosters!K24="","",IF(Rosters!J24="","",Rosters!J24&amp;" - ")&amp;Rosters!K24&amp;IF(Rosters!L24="Yes"," (C)",""))</f>
        <v/>
      </c>
      <c r="G23" t="str">
        <f>IF(Rosters!N24="","",IF(Rosters!M24="","",Rosters!M24&amp;" - ")&amp;Rosters!N24&amp;IF(Rosters!O24="Yes"," (C)",""))</f>
        <v/>
      </c>
      <c r="H23" t="str">
        <f>IF(Rosters!Q24="","",IF(Rosters!P24="","",Rosters!P24&amp;" - ")&amp;Rosters!Q24&amp;IF(Rosters!R24="Yes"," (C)",""))</f>
        <v/>
      </c>
      <c r="I23" t="str">
        <f>IF(Rosters!T24="","",IF(Rosters!S24="","",Rosters!S24&amp;" - ")&amp;Rosters!T24&amp;IF(Rosters!U24="Yes"," (C)",""))</f>
        <v/>
      </c>
      <c r="J23" t="str">
        <f>IF(Rosters!W24="","",IF(Rosters!V24="","",Rosters!V24&amp;" - ")&amp;Rosters!W24&amp;IF(Rosters!X24="Yes"," (C)",""))</f>
        <v/>
      </c>
      <c r="K23" t="str">
        <f>IF(Rosters!Z24="","",IF(Rosters!Y24="","",Rosters!Y24&amp;" - ")&amp;Rosters!Z24&amp;IF(Rosters!AA24="Yes"," (C)",""))</f>
        <v/>
      </c>
      <c r="L23" t="str">
        <f>IF(Rosters!AC24="","",IF(Rosters!AB24="","",Rosters!AB24&amp;" - ")&amp;Rosters!AC24&amp;IF(Rosters!AD24="Yes"," (C)",""))</f>
        <v/>
      </c>
      <c r="M23" t="str">
        <f>IF(Rosters!AF24="","",IF(Rosters!AE24="","",Rosters!AE24&amp;" - ")&amp;Rosters!AF24&amp;IF(Rosters!AG24="Yes"," (C)",""))</f>
        <v/>
      </c>
      <c r="N23" t="str">
        <f>IF(Rosters!AI24="","",IF(Rosters!AH24="","",Rosters!AH24&amp;" - ")&amp;Rosters!AI24&amp;IF(Rosters!AJ24="Yes"," (C)",""))</f>
        <v/>
      </c>
      <c r="O23" t="str">
        <f>IF(Rosters!AL24="","",IF(Rosters!AK24="","",Rosters!AK24&amp;" - ")&amp;Rosters!AL24&amp;IF(Rosters!AM24="Yes"," (C)",""))</f>
        <v/>
      </c>
      <c r="P23" t="str">
        <f>IF(Rosters!AO24="","",IF(Rosters!AN24="","",Rosters!AN24&amp;" - ")&amp;Rosters!AO24&amp;IF(Rosters!AP24="Yes"," (C)",""))</f>
        <v/>
      </c>
      <c r="Q23" t="str">
        <f>IF(Rosters!AR24="","",IF(Rosters!AQ24="","",Rosters!AQ24&amp;" - ")&amp;Rosters!AR24&amp;IF(Rosters!AS24="Yes"," (C)",""))</f>
        <v/>
      </c>
      <c r="R23" t="str">
        <f>IF(Rosters!AU24="","",IF(Rosters!AT24="","",Rosters!AT24&amp;" - ")&amp;Rosters!AU24&amp;IF(Rosters!AV24="Yes"," (C)",""))</f>
        <v/>
      </c>
    </row>
    <row r="24" spans="1:18" x14ac:dyDescent="0.3">
      <c r="C24" t="str">
        <f>IF(Rosters!B25="","",IF(Rosters!A25="","",Rosters!A25&amp;" - ")&amp;Rosters!B25&amp;IF(Rosters!C25="Yes"," (C)",""))</f>
        <v/>
      </c>
      <c r="D24" t="str">
        <f>IF(Rosters!E25="","",IF(Rosters!D25="","",Rosters!D25&amp;" - ")&amp;Rosters!E25&amp;IF(Rosters!F25="Yes"," (C)",""))</f>
        <v/>
      </c>
      <c r="E24" t="str">
        <f>IF(Rosters!H25="","",IF(Rosters!G25="","",Rosters!G25&amp;" - ")&amp;Rosters!H25&amp;IF(Rosters!I25="Yes"," (C)",""))</f>
        <v/>
      </c>
      <c r="F24" t="str">
        <f>IF(Rosters!K25="","",IF(Rosters!J25="","",Rosters!J25&amp;" - ")&amp;Rosters!K25&amp;IF(Rosters!L25="Yes"," (C)",""))</f>
        <v/>
      </c>
      <c r="G24" t="str">
        <f>IF(Rosters!N25="","",IF(Rosters!M25="","",Rosters!M25&amp;" - ")&amp;Rosters!N25&amp;IF(Rosters!O25="Yes"," (C)",""))</f>
        <v/>
      </c>
      <c r="H24" t="str">
        <f>IF(Rosters!Q25="","",IF(Rosters!P25="","",Rosters!P25&amp;" - ")&amp;Rosters!Q25&amp;IF(Rosters!R25="Yes"," (C)",""))</f>
        <v/>
      </c>
      <c r="I24" t="str">
        <f>IF(Rosters!T25="","",IF(Rosters!S25="","",Rosters!S25&amp;" - ")&amp;Rosters!T25&amp;IF(Rosters!U25="Yes"," (C)",""))</f>
        <v/>
      </c>
      <c r="J24" t="str">
        <f>IF(Rosters!W25="","",IF(Rosters!V25="","",Rosters!V25&amp;" - ")&amp;Rosters!W25&amp;IF(Rosters!X25="Yes"," (C)",""))</f>
        <v/>
      </c>
      <c r="K24" t="str">
        <f>IF(Rosters!Z25="","",IF(Rosters!Y25="","",Rosters!Y25&amp;" - ")&amp;Rosters!Z25&amp;IF(Rosters!AA25="Yes"," (C)",""))</f>
        <v/>
      </c>
      <c r="L24" t="str">
        <f>IF(Rosters!AC25="","",IF(Rosters!AB25="","",Rosters!AB25&amp;" - ")&amp;Rosters!AC25&amp;IF(Rosters!AD25="Yes"," (C)",""))</f>
        <v/>
      </c>
      <c r="M24" t="str">
        <f>IF(Rosters!AF25="","",IF(Rosters!AE25="","",Rosters!AE25&amp;" - ")&amp;Rosters!AF25&amp;IF(Rosters!AG25="Yes"," (C)",""))</f>
        <v/>
      </c>
      <c r="N24" t="str">
        <f>IF(Rosters!AI25="","",IF(Rosters!AH25="","",Rosters!AH25&amp;" - ")&amp;Rosters!AI25&amp;IF(Rosters!AJ25="Yes"," (C)",""))</f>
        <v/>
      </c>
      <c r="O24" t="str">
        <f>IF(Rosters!AL25="","",IF(Rosters!AK25="","",Rosters!AK25&amp;" - ")&amp;Rosters!AL25&amp;IF(Rosters!AM25="Yes"," (C)",""))</f>
        <v/>
      </c>
      <c r="P24" t="str">
        <f>IF(Rosters!AO25="","",IF(Rosters!AN25="","",Rosters!AN25&amp;" - ")&amp;Rosters!AO25&amp;IF(Rosters!AP25="Yes"," (C)",""))</f>
        <v/>
      </c>
      <c r="Q24" t="str">
        <f>IF(Rosters!AR25="","",IF(Rosters!AQ25="","",Rosters!AQ25&amp;" - ")&amp;Rosters!AR25&amp;IF(Rosters!AS25="Yes"," (C)",""))</f>
        <v/>
      </c>
      <c r="R24" t="str">
        <f>IF(Rosters!AU25="","",IF(Rosters!AT25="","",Rosters!AT25&amp;" - ")&amp;Rosters!AU25&amp;IF(Rosters!AV25="Yes"," (C)",""))</f>
        <v/>
      </c>
    </row>
    <row r="25" spans="1:18" x14ac:dyDescent="0.3">
      <c r="C25" t="str">
        <f>IF(Rosters!B26="","",IF(Rosters!A26="","",Rosters!A26&amp;" - ")&amp;Rosters!B26&amp;IF(Rosters!C26="Yes"," (C)",""))</f>
        <v/>
      </c>
      <c r="D25" t="str">
        <f>IF(Rosters!E26="","",IF(Rosters!D26="","",Rosters!D26&amp;" - ")&amp;Rosters!E26&amp;IF(Rosters!F26="Yes"," (C)",""))</f>
        <v/>
      </c>
      <c r="E25" t="str">
        <f>IF(Rosters!H26="","",IF(Rosters!G26="","",Rosters!G26&amp;" - ")&amp;Rosters!H26&amp;IF(Rosters!I26="Yes"," (C)",""))</f>
        <v/>
      </c>
      <c r="F25" t="str">
        <f>IF(Rosters!K26="","",IF(Rosters!J26="","",Rosters!J26&amp;" - ")&amp;Rosters!K26&amp;IF(Rosters!L26="Yes"," (C)",""))</f>
        <v/>
      </c>
      <c r="G25" t="str">
        <f>IF(Rosters!N26="","",IF(Rosters!M26="","",Rosters!M26&amp;" - ")&amp;Rosters!N26&amp;IF(Rosters!O26="Yes"," (C)",""))</f>
        <v/>
      </c>
      <c r="H25" t="str">
        <f>IF(Rosters!Q26="","",IF(Rosters!P26="","",Rosters!P26&amp;" - ")&amp;Rosters!Q26&amp;IF(Rosters!R26="Yes"," (C)",""))</f>
        <v/>
      </c>
      <c r="I25" t="str">
        <f>IF(Rosters!T26="","",IF(Rosters!S26="","",Rosters!S26&amp;" - ")&amp;Rosters!T26&amp;IF(Rosters!U26="Yes"," (C)",""))</f>
        <v/>
      </c>
      <c r="J25" t="str">
        <f>IF(Rosters!W26="","",IF(Rosters!V26="","",Rosters!V26&amp;" - ")&amp;Rosters!W26&amp;IF(Rosters!X26="Yes"," (C)",""))</f>
        <v/>
      </c>
      <c r="K25" t="str">
        <f>IF(Rosters!Z26="","",IF(Rosters!Y26="","",Rosters!Y26&amp;" - ")&amp;Rosters!Z26&amp;IF(Rosters!AA26="Yes"," (C)",""))</f>
        <v/>
      </c>
      <c r="L25" t="str">
        <f>IF(Rosters!AC26="","",IF(Rosters!AB26="","",Rosters!AB26&amp;" - ")&amp;Rosters!AC26&amp;IF(Rosters!AD26="Yes"," (C)",""))</f>
        <v/>
      </c>
      <c r="M25" t="str">
        <f>IF(Rosters!AF26="","",IF(Rosters!AE26="","",Rosters!AE26&amp;" - ")&amp;Rosters!AF26&amp;IF(Rosters!AG26="Yes"," (C)",""))</f>
        <v/>
      </c>
      <c r="N25" t="str">
        <f>IF(Rosters!AI26="","",IF(Rosters!AH26="","",Rosters!AH26&amp;" - ")&amp;Rosters!AI26&amp;IF(Rosters!AJ26="Yes"," (C)",""))</f>
        <v/>
      </c>
      <c r="O25" t="str">
        <f>IF(Rosters!AL26="","",IF(Rosters!AK26="","",Rosters!AK26&amp;" - ")&amp;Rosters!AL26&amp;IF(Rosters!AM26="Yes"," (C)",""))</f>
        <v/>
      </c>
      <c r="P25" t="str">
        <f>IF(Rosters!AO26="","",IF(Rosters!AN26="","",Rosters!AN26&amp;" - ")&amp;Rosters!AO26&amp;IF(Rosters!AP26="Yes"," (C)",""))</f>
        <v/>
      </c>
      <c r="Q25" t="str">
        <f>IF(Rosters!AR26="","",IF(Rosters!AQ26="","",Rosters!AQ26&amp;" - ")&amp;Rosters!AR26&amp;IF(Rosters!AS26="Yes"," (C)",""))</f>
        <v/>
      </c>
      <c r="R25" t="str">
        <f>IF(Rosters!AU26="","",IF(Rosters!AT26="","",Rosters!AT26&amp;" - ")&amp;Rosters!AU26&amp;IF(Rosters!AV26="Yes"," (C)",""))</f>
        <v/>
      </c>
    </row>
    <row r="26" spans="1:18" x14ac:dyDescent="0.3">
      <c r="C26" t="str">
        <f>IF(Rosters!B27="","",IF(Rosters!A27="","",Rosters!A27&amp;" - ")&amp;Rosters!B27&amp;IF(Rosters!C27="Yes"," (C)",""))</f>
        <v/>
      </c>
      <c r="D26" t="str">
        <f>IF(Rosters!E27="","",IF(Rosters!D27="","",Rosters!D27&amp;" - ")&amp;Rosters!E27&amp;IF(Rosters!F27="Yes"," (C)",""))</f>
        <v/>
      </c>
      <c r="E26" t="str">
        <f>IF(Rosters!H27="","",IF(Rosters!G27="","",Rosters!G27&amp;" - ")&amp;Rosters!H27&amp;IF(Rosters!I27="Yes"," (C)",""))</f>
        <v/>
      </c>
      <c r="F26" t="str">
        <f>IF(Rosters!K27="","",IF(Rosters!J27="","",Rosters!J27&amp;" - ")&amp;Rosters!K27&amp;IF(Rosters!L27="Yes"," (C)",""))</f>
        <v/>
      </c>
      <c r="G26" t="str">
        <f>IF(Rosters!N27="","",IF(Rosters!M27="","",Rosters!M27&amp;" - ")&amp;Rosters!N27&amp;IF(Rosters!O27="Yes"," (C)",""))</f>
        <v/>
      </c>
      <c r="H26" t="str">
        <f>IF(Rosters!Q27="","",IF(Rosters!P27="","",Rosters!P27&amp;" - ")&amp;Rosters!Q27&amp;IF(Rosters!R27="Yes"," (C)",""))</f>
        <v/>
      </c>
      <c r="I26" t="str">
        <f>IF(Rosters!T27="","",IF(Rosters!S27="","",Rosters!S27&amp;" - ")&amp;Rosters!T27&amp;IF(Rosters!U27="Yes"," (C)",""))</f>
        <v/>
      </c>
      <c r="J26" t="str">
        <f>IF(Rosters!W27="","",IF(Rosters!V27="","",Rosters!V27&amp;" - ")&amp;Rosters!W27&amp;IF(Rosters!X27="Yes"," (C)",""))</f>
        <v/>
      </c>
      <c r="K26" t="str">
        <f>IF(Rosters!Z27="","",IF(Rosters!Y27="","",Rosters!Y27&amp;" - ")&amp;Rosters!Z27&amp;IF(Rosters!AA27="Yes"," (C)",""))</f>
        <v/>
      </c>
      <c r="L26" t="str">
        <f>IF(Rosters!AC27="","",IF(Rosters!AB27="","",Rosters!AB27&amp;" - ")&amp;Rosters!AC27&amp;IF(Rosters!AD27="Yes"," (C)",""))</f>
        <v/>
      </c>
      <c r="M26" t="str">
        <f>IF(Rosters!AF27="","",IF(Rosters!AE27="","",Rosters!AE27&amp;" - ")&amp;Rosters!AF27&amp;IF(Rosters!AG27="Yes"," (C)",""))</f>
        <v/>
      </c>
      <c r="N26" t="str">
        <f>IF(Rosters!AI27="","",IF(Rosters!AH27="","",Rosters!AH27&amp;" - ")&amp;Rosters!AI27&amp;IF(Rosters!AJ27="Yes"," (C)",""))</f>
        <v/>
      </c>
      <c r="O26" t="str">
        <f>IF(Rosters!AL27="","",IF(Rosters!AK27="","",Rosters!AK27&amp;" - ")&amp;Rosters!AL27&amp;IF(Rosters!AM27="Yes"," (C)",""))</f>
        <v/>
      </c>
      <c r="P26" t="str">
        <f>IF(Rosters!AO27="","",IF(Rosters!AN27="","",Rosters!AN27&amp;" - ")&amp;Rosters!AO27&amp;IF(Rosters!AP27="Yes"," (C)",""))</f>
        <v/>
      </c>
      <c r="Q26" t="str">
        <f>IF(Rosters!AR27="","",IF(Rosters!AQ27="","",Rosters!AQ27&amp;" - ")&amp;Rosters!AR27&amp;IF(Rosters!AS27="Yes"," (C)",""))</f>
        <v/>
      </c>
      <c r="R26" t="str">
        <f>IF(Rosters!AU27="","",IF(Rosters!AT27="","",Rosters!AT27&amp;" - ")&amp;Rosters!AU27&amp;IF(Rosters!AV27="Yes"," (C)",""))</f>
        <v/>
      </c>
    </row>
    <row r="27" spans="1:18" x14ac:dyDescent="0.3">
      <c r="C27" t="str">
        <f>IF(Rosters!B28="","",IF(Rosters!A28="","",Rosters!A28&amp;" - ")&amp;Rosters!B28&amp;IF(Rosters!C28="Yes"," (C)",""))</f>
        <v/>
      </c>
      <c r="D27" t="str">
        <f>IF(Rosters!E28="","",IF(Rosters!D28="","",Rosters!D28&amp;" - ")&amp;Rosters!E28&amp;IF(Rosters!F28="Yes"," (C)",""))</f>
        <v/>
      </c>
      <c r="E27" t="str">
        <f>IF(Rosters!H28="","",IF(Rosters!G28="","",Rosters!G28&amp;" - ")&amp;Rosters!H28&amp;IF(Rosters!I28="Yes"," (C)",""))</f>
        <v/>
      </c>
      <c r="F27" t="str">
        <f>IF(Rosters!K28="","",IF(Rosters!J28="","",Rosters!J28&amp;" - ")&amp;Rosters!K28&amp;IF(Rosters!L28="Yes"," (C)",""))</f>
        <v/>
      </c>
      <c r="G27" t="str">
        <f>IF(Rosters!N28="","",IF(Rosters!M28="","",Rosters!M28&amp;" - ")&amp;Rosters!N28&amp;IF(Rosters!O28="Yes"," (C)",""))</f>
        <v/>
      </c>
      <c r="H27" t="str">
        <f>IF(Rosters!Q28="","",IF(Rosters!P28="","",Rosters!P28&amp;" - ")&amp;Rosters!Q28&amp;IF(Rosters!R28="Yes"," (C)",""))</f>
        <v/>
      </c>
      <c r="I27" t="str">
        <f>IF(Rosters!T28="","",IF(Rosters!S28="","",Rosters!S28&amp;" - ")&amp;Rosters!T28&amp;IF(Rosters!U28="Yes"," (C)",""))</f>
        <v/>
      </c>
      <c r="J27" t="str">
        <f>IF(Rosters!W28="","",IF(Rosters!V28="","",Rosters!V28&amp;" - ")&amp;Rosters!W28&amp;IF(Rosters!X28="Yes"," (C)",""))</f>
        <v/>
      </c>
      <c r="K27" t="str">
        <f>IF(Rosters!Z28="","",IF(Rosters!Y28="","",Rosters!Y28&amp;" - ")&amp;Rosters!Z28&amp;IF(Rosters!AA28="Yes"," (C)",""))</f>
        <v/>
      </c>
      <c r="L27" t="str">
        <f>IF(Rosters!AC28="","",IF(Rosters!AB28="","",Rosters!AB28&amp;" - ")&amp;Rosters!AC28&amp;IF(Rosters!AD28="Yes"," (C)",""))</f>
        <v/>
      </c>
      <c r="M27" t="str">
        <f>IF(Rosters!AF28="","",IF(Rosters!AE28="","",Rosters!AE28&amp;" - ")&amp;Rosters!AF28&amp;IF(Rosters!AG28="Yes"," (C)",""))</f>
        <v/>
      </c>
      <c r="N27" t="str">
        <f>IF(Rosters!AI28="","",IF(Rosters!AH28="","",Rosters!AH28&amp;" - ")&amp;Rosters!AI28&amp;IF(Rosters!AJ28="Yes"," (C)",""))</f>
        <v/>
      </c>
      <c r="O27" t="str">
        <f>IF(Rosters!AL28="","",IF(Rosters!AK28="","",Rosters!AK28&amp;" - ")&amp;Rosters!AL28&amp;IF(Rosters!AM28="Yes"," (C)",""))</f>
        <v/>
      </c>
      <c r="P27" t="str">
        <f>IF(Rosters!AO28="","",IF(Rosters!AN28="","",Rosters!AN28&amp;" - ")&amp;Rosters!AO28&amp;IF(Rosters!AP28="Yes"," (C)",""))</f>
        <v/>
      </c>
      <c r="Q27" t="str">
        <f>IF(Rosters!AR28="","",IF(Rosters!AQ28="","",Rosters!AQ28&amp;" - ")&amp;Rosters!AR28&amp;IF(Rosters!AS28="Yes"," (C)",""))</f>
        <v/>
      </c>
      <c r="R27" t="str">
        <f>IF(Rosters!AU28="","",IF(Rosters!AT28="","",Rosters!AT28&amp;" - ")&amp;Rosters!AU28&amp;IF(Rosters!AV28="Yes"," (C)",""))</f>
        <v/>
      </c>
    </row>
    <row r="28" spans="1:18" x14ac:dyDescent="0.3">
      <c r="C28" t="str">
        <f>IF(Rosters!B29="","",IF(Rosters!A29="","",Rosters!A29&amp;" - ")&amp;Rosters!B29&amp;IF(Rosters!C29="Yes"," (C)",""))</f>
        <v/>
      </c>
      <c r="D28" t="str">
        <f>IF(Rosters!E29="","",IF(Rosters!D29="","",Rosters!D29&amp;" - ")&amp;Rosters!E29&amp;IF(Rosters!F29="Yes"," (C)",""))</f>
        <v/>
      </c>
      <c r="E28" t="str">
        <f>IF(Rosters!H29="","",IF(Rosters!G29="","",Rosters!G29&amp;" - ")&amp;Rosters!H29&amp;IF(Rosters!I29="Yes"," (C)",""))</f>
        <v/>
      </c>
      <c r="F28" t="str">
        <f>IF(Rosters!K29="","",IF(Rosters!J29="","",Rosters!J29&amp;" - ")&amp;Rosters!K29&amp;IF(Rosters!L29="Yes"," (C)",""))</f>
        <v/>
      </c>
      <c r="G28" t="str">
        <f>IF(Rosters!N29="","",IF(Rosters!M29="","",Rosters!M29&amp;" - ")&amp;Rosters!N29&amp;IF(Rosters!O29="Yes"," (C)",""))</f>
        <v/>
      </c>
      <c r="H28" t="str">
        <f>IF(Rosters!Q29="","",IF(Rosters!P29="","",Rosters!P29&amp;" - ")&amp;Rosters!Q29&amp;IF(Rosters!R29="Yes"," (C)",""))</f>
        <v/>
      </c>
      <c r="I28" t="str">
        <f>IF(Rosters!T29="","",IF(Rosters!S29="","",Rosters!S29&amp;" - ")&amp;Rosters!T29&amp;IF(Rosters!U29="Yes"," (C)",""))</f>
        <v/>
      </c>
      <c r="J28" t="str">
        <f>IF(Rosters!W29="","",IF(Rosters!V29="","",Rosters!V29&amp;" - ")&amp;Rosters!W29&amp;IF(Rosters!X29="Yes"," (C)",""))</f>
        <v/>
      </c>
      <c r="K28" t="str">
        <f>IF(Rosters!Z29="","",IF(Rosters!Y29="","",Rosters!Y29&amp;" - ")&amp;Rosters!Z29&amp;IF(Rosters!AA29="Yes"," (C)",""))</f>
        <v/>
      </c>
      <c r="L28" t="str">
        <f>IF(Rosters!AC29="","",IF(Rosters!AB29="","",Rosters!AB29&amp;" - ")&amp;Rosters!AC29&amp;IF(Rosters!AD29="Yes"," (C)",""))</f>
        <v/>
      </c>
      <c r="M28" t="str">
        <f>IF(Rosters!AF29="","",IF(Rosters!AE29="","",Rosters!AE29&amp;" - ")&amp;Rosters!AF29&amp;IF(Rosters!AG29="Yes"," (C)",""))</f>
        <v/>
      </c>
      <c r="N28" t="str">
        <f>IF(Rosters!AI29="","",IF(Rosters!AH29="","",Rosters!AH29&amp;" - ")&amp;Rosters!AI29&amp;IF(Rosters!AJ29="Yes"," (C)",""))</f>
        <v/>
      </c>
      <c r="O28" t="str">
        <f>IF(Rosters!AL29="","",IF(Rosters!AK29="","",Rosters!AK29&amp;" - ")&amp;Rosters!AL29&amp;IF(Rosters!AM29="Yes"," (C)",""))</f>
        <v/>
      </c>
      <c r="P28" t="str">
        <f>IF(Rosters!AO29="","",IF(Rosters!AN29="","",Rosters!AN29&amp;" - ")&amp;Rosters!AO29&amp;IF(Rosters!AP29="Yes"," (C)",""))</f>
        <v/>
      </c>
      <c r="Q28" t="str">
        <f>IF(Rosters!AR29="","",IF(Rosters!AQ29="","",Rosters!AQ29&amp;" - ")&amp;Rosters!AR29&amp;IF(Rosters!AS29="Yes"," (C)",""))</f>
        <v/>
      </c>
      <c r="R28" t="str">
        <f>IF(Rosters!AU29="","",IF(Rosters!AT29="","",Rosters!AT29&amp;" - ")&amp;Rosters!AU29&amp;IF(Rosters!AV29="Yes"," (C)",""))</f>
        <v/>
      </c>
    </row>
    <row r="29" spans="1:18" x14ac:dyDescent="0.3">
      <c r="C29" t="str">
        <f>IF(Rosters!B30="","",IF(Rosters!A30="","",Rosters!A30&amp;" - ")&amp;Rosters!B30&amp;IF(Rosters!C30="Yes"," (C)",""))</f>
        <v/>
      </c>
      <c r="D29" t="str">
        <f>IF(Rosters!E30="","",IF(Rosters!D30="","",Rosters!D30&amp;" - ")&amp;Rosters!E30&amp;IF(Rosters!F30="Yes"," (C)",""))</f>
        <v/>
      </c>
      <c r="E29" t="str">
        <f>IF(Rosters!H30="","",IF(Rosters!G30="","",Rosters!G30&amp;" - ")&amp;Rosters!H30&amp;IF(Rosters!I30="Yes"," (C)",""))</f>
        <v/>
      </c>
      <c r="F29" t="str">
        <f>IF(Rosters!K30="","",IF(Rosters!J30="","",Rosters!J30&amp;" - ")&amp;Rosters!K30&amp;IF(Rosters!L30="Yes"," (C)",""))</f>
        <v/>
      </c>
      <c r="G29" t="str">
        <f>IF(Rosters!N30="","",IF(Rosters!M30="","",Rosters!M30&amp;" - ")&amp;Rosters!N30&amp;IF(Rosters!O30="Yes"," (C)",""))</f>
        <v/>
      </c>
      <c r="H29" t="str">
        <f>IF(Rosters!Q30="","",IF(Rosters!P30="","",Rosters!P30&amp;" - ")&amp;Rosters!Q30&amp;IF(Rosters!R30="Yes"," (C)",""))</f>
        <v/>
      </c>
      <c r="I29" t="str">
        <f>IF(Rosters!T30="","",IF(Rosters!S30="","",Rosters!S30&amp;" - ")&amp;Rosters!T30&amp;IF(Rosters!U30="Yes"," (C)",""))</f>
        <v/>
      </c>
      <c r="J29" t="str">
        <f>IF(Rosters!W30="","",IF(Rosters!V30="","",Rosters!V30&amp;" - ")&amp;Rosters!W30&amp;IF(Rosters!X30="Yes"," (C)",""))</f>
        <v/>
      </c>
      <c r="K29" t="str">
        <f>IF(Rosters!Z30="","",IF(Rosters!Y30="","",Rosters!Y30&amp;" - ")&amp;Rosters!Z30&amp;IF(Rosters!AA30="Yes"," (C)",""))</f>
        <v/>
      </c>
      <c r="L29" t="str">
        <f>IF(Rosters!AC30="","",IF(Rosters!AB30="","",Rosters!AB30&amp;" - ")&amp;Rosters!AC30&amp;IF(Rosters!AD30="Yes"," (C)",""))</f>
        <v/>
      </c>
      <c r="M29" t="str">
        <f>IF(Rosters!AF30="","",IF(Rosters!AE30="","",Rosters!AE30&amp;" - ")&amp;Rosters!AF30&amp;IF(Rosters!AG30="Yes"," (C)",""))</f>
        <v/>
      </c>
      <c r="N29" t="str">
        <f>IF(Rosters!AI30="","",IF(Rosters!AH30="","",Rosters!AH30&amp;" - ")&amp;Rosters!AI30&amp;IF(Rosters!AJ30="Yes"," (C)",""))</f>
        <v/>
      </c>
      <c r="O29" t="str">
        <f>IF(Rosters!AL30="","",IF(Rosters!AK30="","",Rosters!AK30&amp;" - ")&amp;Rosters!AL30&amp;IF(Rosters!AM30="Yes"," (C)",""))</f>
        <v/>
      </c>
      <c r="P29" t="str">
        <f>IF(Rosters!AO30="","",IF(Rosters!AN30="","",Rosters!AN30&amp;" - ")&amp;Rosters!AO30&amp;IF(Rosters!AP30="Yes"," (C)",""))</f>
        <v/>
      </c>
      <c r="Q29" t="str">
        <f>IF(Rosters!AR30="","",IF(Rosters!AQ30="","",Rosters!AQ30&amp;" - ")&amp;Rosters!AR30&amp;IF(Rosters!AS30="Yes"," (C)",""))</f>
        <v/>
      </c>
      <c r="R29" t="str">
        <f>IF(Rosters!AU30="","",IF(Rosters!AT30="","",Rosters!AT30&amp;" - ")&amp;Rosters!AU30&amp;IF(Rosters!AV30="Yes"," (C)",""))</f>
        <v/>
      </c>
    </row>
    <row r="30" spans="1:18" x14ac:dyDescent="0.3">
      <c r="C30" t="str">
        <f>IF(Rosters!B31="","",IF(Rosters!A31="","",Rosters!A31&amp;" - ")&amp;Rosters!B31&amp;IF(Rosters!C31="Yes"," (C)",""))</f>
        <v/>
      </c>
      <c r="D30" t="str">
        <f>IF(Rosters!E31="","",IF(Rosters!D31="","",Rosters!D31&amp;" - ")&amp;Rosters!E31&amp;IF(Rosters!F31="Yes"," (C)",""))</f>
        <v/>
      </c>
      <c r="E30" t="str">
        <f>IF(Rosters!H31="","",IF(Rosters!G31="","",Rosters!G31&amp;" - ")&amp;Rosters!H31&amp;IF(Rosters!I31="Yes"," (C)",""))</f>
        <v/>
      </c>
      <c r="F30" t="str">
        <f>IF(Rosters!K31="","",IF(Rosters!J31="","",Rosters!J31&amp;" - ")&amp;Rosters!K31&amp;IF(Rosters!L31="Yes"," (C)",""))</f>
        <v/>
      </c>
      <c r="G30" t="str">
        <f>IF(Rosters!N31="","",IF(Rosters!M31="","",Rosters!M31&amp;" - ")&amp;Rosters!N31&amp;IF(Rosters!O31="Yes"," (C)",""))</f>
        <v/>
      </c>
      <c r="H30" t="str">
        <f>IF(Rosters!Q31="","",IF(Rosters!P31="","",Rosters!P31&amp;" - ")&amp;Rosters!Q31&amp;IF(Rosters!R31="Yes"," (C)",""))</f>
        <v/>
      </c>
      <c r="I30" t="str">
        <f>IF(Rosters!T31="","",IF(Rosters!S31="","",Rosters!S31&amp;" - ")&amp;Rosters!T31&amp;IF(Rosters!U31="Yes"," (C)",""))</f>
        <v/>
      </c>
      <c r="J30" t="str">
        <f>IF(Rosters!W31="","",IF(Rosters!V31="","",Rosters!V31&amp;" - ")&amp;Rosters!W31&amp;IF(Rosters!X31="Yes"," (C)",""))</f>
        <v/>
      </c>
      <c r="K30" t="str">
        <f>IF(Rosters!Z31="","",IF(Rosters!Y31="","",Rosters!Y31&amp;" - ")&amp;Rosters!Z31&amp;IF(Rosters!AA31="Yes"," (C)",""))</f>
        <v/>
      </c>
      <c r="L30" t="str">
        <f>IF(Rosters!AC31="","",IF(Rosters!AB31="","",Rosters!AB31&amp;" - ")&amp;Rosters!AC31&amp;IF(Rosters!AD31="Yes"," (C)",""))</f>
        <v/>
      </c>
      <c r="M30" t="str">
        <f>IF(Rosters!AF31="","",IF(Rosters!AE31="","",Rosters!AE31&amp;" - ")&amp;Rosters!AF31&amp;IF(Rosters!AG31="Yes"," (C)",""))</f>
        <v/>
      </c>
      <c r="N30" t="str">
        <f>IF(Rosters!AI31="","",IF(Rosters!AH31="","",Rosters!AH31&amp;" - ")&amp;Rosters!AI31&amp;IF(Rosters!AJ31="Yes"," (C)",""))</f>
        <v/>
      </c>
      <c r="O30" t="str">
        <f>IF(Rosters!AL31="","",IF(Rosters!AK31="","",Rosters!AK31&amp;" - ")&amp;Rosters!AL31&amp;IF(Rosters!AM31="Yes"," (C)",""))</f>
        <v/>
      </c>
      <c r="P30" t="str">
        <f>IF(Rosters!AO31="","",IF(Rosters!AN31="","",Rosters!AN31&amp;" - ")&amp;Rosters!AO31&amp;IF(Rosters!AP31="Yes"," (C)",""))</f>
        <v/>
      </c>
      <c r="Q30" t="str">
        <f>IF(Rosters!AR31="","",IF(Rosters!AQ31="","",Rosters!AQ31&amp;" - ")&amp;Rosters!AR31&amp;IF(Rosters!AS31="Yes"," (C)",""))</f>
        <v/>
      </c>
      <c r="R30" t="str">
        <f>IF(Rosters!AU31="","",IF(Rosters!AT31="","",Rosters!AT31&amp;" - ")&amp;Rosters!AU31&amp;IF(Rosters!AV31="Yes"," (C)",""))</f>
        <v/>
      </c>
    </row>
    <row r="31" spans="1:18" x14ac:dyDescent="0.3">
      <c r="C31" t="str">
        <f>IF(Rosters!B32="","",IF(Rosters!A32="","",Rosters!A32&amp;" - ")&amp;Rosters!B32&amp;IF(Rosters!C32="Yes"," (C)",""))</f>
        <v/>
      </c>
      <c r="D31" t="str">
        <f>IF(Rosters!E32="","",IF(Rosters!D32="","",Rosters!D32&amp;" - ")&amp;Rosters!E32&amp;IF(Rosters!F32="Yes"," (C)",""))</f>
        <v/>
      </c>
      <c r="E31" t="str">
        <f>IF(Rosters!H32="","",IF(Rosters!G32="","",Rosters!G32&amp;" - ")&amp;Rosters!H32&amp;IF(Rosters!I32="Yes"," (C)",""))</f>
        <v/>
      </c>
      <c r="F31" t="str">
        <f>IF(Rosters!K32="","",IF(Rosters!J32="","",Rosters!J32&amp;" - ")&amp;Rosters!K32&amp;IF(Rosters!L32="Yes"," (C)",""))</f>
        <v/>
      </c>
      <c r="G31" t="str">
        <f>IF(Rosters!N32="","",IF(Rosters!M32="","",Rosters!M32&amp;" - ")&amp;Rosters!N32&amp;IF(Rosters!O32="Yes"," (C)",""))</f>
        <v/>
      </c>
      <c r="H31" t="str">
        <f>IF(Rosters!Q32="","",IF(Rosters!P32="","",Rosters!P32&amp;" - ")&amp;Rosters!Q32&amp;IF(Rosters!R32="Yes"," (C)",""))</f>
        <v/>
      </c>
      <c r="I31" t="str">
        <f>IF(Rosters!T32="","",IF(Rosters!S32="","",Rosters!S32&amp;" - ")&amp;Rosters!T32&amp;IF(Rosters!U32="Yes"," (C)",""))</f>
        <v/>
      </c>
      <c r="J31" t="str">
        <f>IF(Rosters!W32="","",IF(Rosters!V32="","",Rosters!V32&amp;" - ")&amp;Rosters!W32&amp;IF(Rosters!X32="Yes"," (C)",""))</f>
        <v/>
      </c>
      <c r="K31" t="str">
        <f>IF(Rosters!Z32="","",IF(Rosters!Y32="","",Rosters!Y32&amp;" - ")&amp;Rosters!Z32&amp;IF(Rosters!AA32="Yes"," (C)",""))</f>
        <v/>
      </c>
      <c r="L31" t="str">
        <f>IF(Rosters!AC32="","",IF(Rosters!AB32="","",Rosters!AB32&amp;" - ")&amp;Rosters!AC32&amp;IF(Rosters!AD32="Yes"," (C)",""))</f>
        <v/>
      </c>
      <c r="M31" t="str">
        <f>IF(Rosters!AF32="","",IF(Rosters!AE32="","",Rosters!AE32&amp;" - ")&amp;Rosters!AF32&amp;IF(Rosters!AG32="Yes"," (C)",""))</f>
        <v/>
      </c>
      <c r="N31" t="str">
        <f>IF(Rosters!AI32="","",IF(Rosters!AH32="","",Rosters!AH32&amp;" - ")&amp;Rosters!AI32&amp;IF(Rosters!AJ32="Yes"," (C)",""))</f>
        <v/>
      </c>
      <c r="O31" t="str">
        <f>IF(Rosters!AL32="","",IF(Rosters!AK32="","",Rosters!AK32&amp;" - ")&amp;Rosters!AL32&amp;IF(Rosters!AM32="Yes"," (C)",""))</f>
        <v/>
      </c>
      <c r="P31" t="str">
        <f>IF(Rosters!AO32="","",IF(Rosters!AN32="","",Rosters!AN32&amp;" - ")&amp;Rosters!AO32&amp;IF(Rosters!AP32="Yes"," (C)",""))</f>
        <v/>
      </c>
      <c r="Q31" t="str">
        <f>IF(Rosters!AR32="","",IF(Rosters!AQ32="","",Rosters!AQ32&amp;" - ")&amp;Rosters!AR32&amp;IF(Rosters!AS32="Yes"," (C)",""))</f>
        <v/>
      </c>
      <c r="R31" t="str">
        <f>IF(Rosters!AU32="","",IF(Rosters!AT32="","",Rosters!AT32&amp;" - ")&amp;Rosters!AU32&amp;IF(Rosters!AV32="Yes"," (C)",""))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434"/>
  <sheetViews>
    <sheetView topLeftCell="A62" zoomScale="85" zoomScaleNormal="85" workbookViewId="0">
      <selection activeCell="G26" sqref="G26"/>
    </sheetView>
  </sheetViews>
  <sheetFormatPr defaultRowHeight="14.4" x14ac:dyDescent="0.3"/>
  <cols>
    <col min="1" max="1" width="12" customWidth="1"/>
    <col min="2" max="2" width="14" customWidth="1"/>
    <col min="3" max="3" width="24" customWidth="1"/>
    <col min="4" max="4" width="10" customWidth="1"/>
    <col min="5" max="5" width="21.6640625" customWidth="1"/>
    <col min="6" max="6" width="10" customWidth="1"/>
    <col min="7" max="8" width="24" customWidth="1"/>
    <col min="9" max="12" width="10" customWidth="1"/>
    <col min="13" max="16" width="18" customWidth="1"/>
    <col min="17" max="19" width="36" customWidth="1"/>
  </cols>
  <sheetData>
    <row r="1" spans="1:26" ht="72" customHeight="1" x14ac:dyDescent="0.3">
      <c r="A1" s="6" t="s">
        <v>344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2" t="s">
        <v>345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1"/>
      <c r="N3" s="22" t="s">
        <v>346</v>
      </c>
      <c r="O3" s="21"/>
      <c r="P3" s="21"/>
      <c r="Q3" s="2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7" t="s">
        <v>347</v>
      </c>
      <c r="B4" s="7" t="s">
        <v>348</v>
      </c>
      <c r="C4" s="7" t="s">
        <v>349</v>
      </c>
      <c r="D4" s="7" t="s">
        <v>350</v>
      </c>
      <c r="E4" s="7" t="s">
        <v>351</v>
      </c>
      <c r="F4" s="7" t="s">
        <v>352</v>
      </c>
      <c r="G4" s="7" t="s">
        <v>353</v>
      </c>
      <c r="H4" s="7" t="s">
        <v>354</v>
      </c>
      <c r="I4" s="7" t="s">
        <v>355</v>
      </c>
      <c r="J4" s="7" t="s">
        <v>356</v>
      </c>
      <c r="K4" s="7" t="s">
        <v>357</v>
      </c>
      <c r="L4" s="7" t="s">
        <v>358</v>
      </c>
      <c r="M4" s="1"/>
      <c r="N4" s="7" t="s">
        <v>348</v>
      </c>
      <c r="O4" s="7" t="s">
        <v>359</v>
      </c>
      <c r="P4" s="7" t="s">
        <v>349</v>
      </c>
      <c r="Q4" s="7" t="s">
        <v>360</v>
      </c>
      <c r="R4" s="1"/>
      <c r="S4" s="1"/>
      <c r="T4" s="1"/>
      <c r="U4" s="1"/>
      <c r="V4" s="1"/>
      <c r="W4" s="1"/>
      <c r="X4" s="1"/>
      <c r="Y4" s="1"/>
      <c r="Z4" s="1"/>
    </row>
    <row r="5" spans="1:26" ht="28.8" customHeight="1" x14ac:dyDescent="0.3">
      <c r="A5" s="1" t="str">
        <f>Standings!A2</f>
        <v>A</v>
      </c>
      <c r="B5" s="1">
        <f>Standings!B2</f>
        <v>1</v>
      </c>
      <c r="C5" s="1" t="str">
        <f>Standings!C2</f>
        <v>Fatine FC</v>
      </c>
      <c r="D5" s="1">
        <f>Standings!D2</f>
        <v>0</v>
      </c>
      <c r="E5" s="1">
        <f>Standings!E2</f>
        <v>0</v>
      </c>
      <c r="F5" s="1">
        <f>Standings!F2</f>
        <v>0</v>
      </c>
      <c r="G5" s="1">
        <f>Standings!G2</f>
        <v>0</v>
      </c>
      <c r="H5" s="1">
        <f>Standings!H2</f>
        <v>0</v>
      </c>
      <c r="I5" s="1">
        <f>Standings!I2</f>
        <v>0</v>
      </c>
      <c r="J5" s="1">
        <f>Standings!J2</f>
        <v>0</v>
      </c>
      <c r="K5" s="1">
        <f>Standings!K2</f>
        <v>0</v>
      </c>
      <c r="L5" s="1">
        <f>Standings!L2</f>
        <v>0</v>
      </c>
      <c r="M5" s="1"/>
      <c r="N5" s="1">
        <f>IF(TopScorers!A2="","",TopScorers!A2)</f>
        <v>1</v>
      </c>
      <c r="O5" s="1" t="str">
        <f>IF(TopScorers!B2="","",TopScorers!B2)</f>
        <v>MATTEO ZAMBERLAN</v>
      </c>
      <c r="P5" s="1" t="str">
        <f>IF(TopScorers!C2="","",TopScorers!C2)</f>
        <v>Vecchie Glorie Rovigo</v>
      </c>
      <c r="Q5" s="1">
        <f>IF(TopScorers!D2="","",TopScorers!D2)</f>
        <v>3</v>
      </c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tr">
        <f>Standings!A3</f>
        <v>A</v>
      </c>
      <c r="B6" s="1">
        <f>Standings!B3</f>
        <v>2</v>
      </c>
      <c r="C6" s="1" t="str">
        <f>Standings!C3</f>
        <v>FC Internazionale Rovigo</v>
      </c>
      <c r="D6" s="1">
        <f>Standings!D3</f>
        <v>0</v>
      </c>
      <c r="E6" s="1">
        <f>Standings!E3</f>
        <v>0</v>
      </c>
      <c r="F6" s="1">
        <f>Standings!F3</f>
        <v>0</v>
      </c>
      <c r="G6" s="1">
        <f>Standings!G3</f>
        <v>0</v>
      </c>
      <c r="H6" s="1">
        <f>Standings!H3</f>
        <v>0</v>
      </c>
      <c r="I6" s="1">
        <f>Standings!I3</f>
        <v>0</v>
      </c>
      <c r="J6" s="1">
        <f>Standings!J3</f>
        <v>0</v>
      </c>
      <c r="K6" s="1">
        <f>Standings!K3</f>
        <v>0</v>
      </c>
      <c r="L6" s="1">
        <f>Standings!L3</f>
        <v>0</v>
      </c>
      <c r="M6" s="1"/>
      <c r="N6" s="1">
        <f>IF(TopScorers!A3="","",TopScorers!A3)</f>
        <v>2</v>
      </c>
      <c r="O6" s="1" t="str">
        <f>IF(TopScorers!B3="","",TopScorers!B3)</f>
        <v>LEONARDO MAGGIO</v>
      </c>
      <c r="P6" s="1" t="str">
        <f>IF(TopScorers!C3="","",TopScorers!C3)</f>
        <v>Leoni di Ricky</v>
      </c>
      <c r="Q6" s="1">
        <f>IF(TopScorers!D3="","",TopScorers!D3)</f>
        <v>3</v>
      </c>
      <c r="R6" s="1"/>
      <c r="S6" s="1"/>
      <c r="T6" s="1"/>
      <c r="U6" s="1"/>
      <c r="V6" s="1"/>
      <c r="W6" s="1"/>
      <c r="X6" s="1"/>
      <c r="Y6" s="1"/>
      <c r="Z6" s="1"/>
    </row>
    <row r="7" spans="1:26" ht="28.8" customHeight="1" x14ac:dyDescent="0.3">
      <c r="A7" s="1" t="str">
        <f>Standings!A4</f>
        <v>A</v>
      </c>
      <c r="B7" s="1">
        <f>Standings!B4</f>
        <v>3</v>
      </c>
      <c r="C7" s="1" t="str">
        <f>Standings!C4</f>
        <v>Moviola Utd</v>
      </c>
      <c r="D7" s="1">
        <f>Standings!D4</f>
        <v>0</v>
      </c>
      <c r="E7" s="1">
        <f>Standings!E4</f>
        <v>0</v>
      </c>
      <c r="F7" s="1">
        <f>Standings!F4</f>
        <v>0</v>
      </c>
      <c r="G7" s="1">
        <f>Standings!G4</f>
        <v>0</v>
      </c>
      <c r="H7" s="1">
        <f>Standings!H4</f>
        <v>0</v>
      </c>
      <c r="I7" s="1">
        <f>Standings!I4</f>
        <v>0</v>
      </c>
      <c r="J7" s="1">
        <f>Standings!J4</f>
        <v>0</v>
      </c>
      <c r="K7" s="1">
        <f>Standings!K4</f>
        <v>0</v>
      </c>
      <c r="L7" s="1">
        <f>Standings!L4</f>
        <v>0</v>
      </c>
      <c r="M7" s="1"/>
      <c r="N7" s="1">
        <f>IF(TopScorers!A4="","",TopScorers!A4)</f>
        <v>3</v>
      </c>
      <c r="O7" s="1" t="str">
        <f>IF(TopScorers!B4="","",TopScorers!B4)</f>
        <v>DAVIDE ZAGHI</v>
      </c>
      <c r="P7" s="1" t="str">
        <f>IF(TopScorers!C4="","",TopScorers!C4)</f>
        <v>Vecchie Glorie Rovigo</v>
      </c>
      <c r="Q7" s="1">
        <f>IF(TopScorers!D4="","",TopScorers!D4)</f>
        <v>2</v>
      </c>
      <c r="R7" s="1"/>
      <c r="S7" s="1"/>
      <c r="T7" s="1"/>
      <c r="U7" s="1"/>
      <c r="V7" s="1"/>
      <c r="W7" s="1"/>
      <c r="X7" s="1"/>
      <c r="Y7" s="1"/>
      <c r="Z7" s="1"/>
    </row>
    <row r="8" spans="1:26" ht="28.8" customHeight="1" x14ac:dyDescent="0.3">
      <c r="A8" s="1" t="str">
        <f>Standings!A5</f>
        <v>A</v>
      </c>
      <c r="B8" s="1">
        <f>Standings!B5</f>
        <v>4</v>
      </c>
      <c r="C8" s="1" t="str">
        <f>Standings!C5</f>
        <v>Astolfi Impianti Elettrici</v>
      </c>
      <c r="D8" s="1">
        <f>Standings!D5</f>
        <v>0</v>
      </c>
      <c r="E8" s="1">
        <f>Standings!E5</f>
        <v>0</v>
      </c>
      <c r="F8" s="1">
        <f>Standings!F5</f>
        <v>0</v>
      </c>
      <c r="G8" s="1">
        <f>Standings!G5</f>
        <v>0</v>
      </c>
      <c r="H8" s="1">
        <f>Standings!H5</f>
        <v>0</v>
      </c>
      <c r="I8" s="1">
        <f>Standings!I5</f>
        <v>0</v>
      </c>
      <c r="J8" s="1">
        <f>Standings!J5</f>
        <v>0</v>
      </c>
      <c r="K8" s="1">
        <f>Standings!K5</f>
        <v>0</v>
      </c>
      <c r="L8" s="1">
        <f>Standings!L5</f>
        <v>0</v>
      </c>
      <c r="M8" s="1"/>
      <c r="N8" s="1">
        <f>IF(TopScorers!A5="","",TopScorers!A5)</f>
        <v>4</v>
      </c>
      <c r="O8" s="1" t="str">
        <f>IF(TopScorers!B5="","",TopScorers!B5)</f>
        <v>IGNAZIO BADALÌ</v>
      </c>
      <c r="P8" s="1" t="str">
        <f>IF(TopScorers!C5="","",TopScorers!C5)</f>
        <v>AS Bancatore</v>
      </c>
      <c r="Q8" s="1">
        <f>IF(TopScorers!D5="","",TopScorers!D5)</f>
        <v>2</v>
      </c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tr">
        <f>Standings!A6</f>
        <v>B</v>
      </c>
      <c r="B9" s="1">
        <f>Standings!B6</f>
        <v>1</v>
      </c>
      <c r="C9" s="1" t="str">
        <f>Standings!C6</f>
        <v>Vecchie Glorie Rovigo</v>
      </c>
      <c r="D9" s="1">
        <f>Standings!D6</f>
        <v>3</v>
      </c>
      <c r="E9" s="1">
        <f>Standings!E6</f>
        <v>1</v>
      </c>
      <c r="F9" s="1">
        <f>Standings!F6</f>
        <v>1</v>
      </c>
      <c r="G9" s="1">
        <f>Standings!G6</f>
        <v>0</v>
      </c>
      <c r="H9" s="1">
        <f>Standings!H6</f>
        <v>0</v>
      </c>
      <c r="I9" s="1">
        <f>Standings!I6</f>
        <v>0</v>
      </c>
      <c r="J9" s="1">
        <f>Standings!J6</f>
        <v>10</v>
      </c>
      <c r="K9" s="1">
        <f>Standings!K6</f>
        <v>0</v>
      </c>
      <c r="L9" s="1">
        <f>Standings!L6</f>
        <v>10</v>
      </c>
      <c r="M9" s="1"/>
      <c r="N9" s="1">
        <f>IF(TopScorers!A6="","",TopScorers!A6)</f>
        <v>5</v>
      </c>
      <c r="O9" s="1" t="str">
        <f>IF(TopScorers!B6="","",TopScorers!B6)</f>
        <v>LUCA CECCONELLO</v>
      </c>
      <c r="P9" s="1" t="str">
        <f>IF(TopScorers!C6="","",TopScorers!C6)</f>
        <v>Boldò Glimt</v>
      </c>
      <c r="Q9" s="1">
        <f>IF(TopScorers!D6="","",TopScorers!D6)</f>
        <v>2</v>
      </c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 t="str">
        <f>Standings!A7</f>
        <v>B</v>
      </c>
      <c r="B10" s="1">
        <f>Standings!B7</f>
        <v>2</v>
      </c>
      <c r="C10" s="1" t="str">
        <f>Standings!C7</f>
        <v>AS Bancatore</v>
      </c>
      <c r="D10" s="1">
        <f>Standings!D7</f>
        <v>3</v>
      </c>
      <c r="E10" s="1">
        <f>Standings!E7</f>
        <v>1</v>
      </c>
      <c r="F10" s="1">
        <f>Standings!F7</f>
        <v>1</v>
      </c>
      <c r="G10" s="1">
        <f>Standings!G7</f>
        <v>0</v>
      </c>
      <c r="H10" s="1">
        <f>Standings!H7</f>
        <v>0</v>
      </c>
      <c r="I10" s="1">
        <f>Standings!I7</f>
        <v>0</v>
      </c>
      <c r="J10" s="1">
        <f>Standings!J7</f>
        <v>5</v>
      </c>
      <c r="K10" s="1">
        <f>Standings!K7</f>
        <v>0</v>
      </c>
      <c r="L10" s="1">
        <f>Standings!L7</f>
        <v>5</v>
      </c>
      <c r="M10" s="1"/>
      <c r="N10" s="1">
        <f>IF(TopScorers!A7="","",TopScorers!A7)</f>
        <v>6</v>
      </c>
      <c r="O10" s="1" t="str">
        <f>IF(TopScorers!B7="","",TopScorers!B7)</f>
        <v>JACOPO VOLTOLINA</v>
      </c>
      <c r="P10" s="1" t="str">
        <f>IF(TopScorers!C7="","",TopScorers!C7)</f>
        <v>Vecchie Glorie Rovigo</v>
      </c>
      <c r="Q10" s="1">
        <f>IF(TopScorers!D7="","",TopScorers!D7)</f>
        <v>1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 t="str">
        <f>Standings!A8</f>
        <v>B</v>
      </c>
      <c r="B11" s="1">
        <f>Standings!B8</f>
        <v>3</v>
      </c>
      <c r="C11" s="1" t="str">
        <f>Standings!C8</f>
        <v>Beverton</v>
      </c>
      <c r="D11" s="1">
        <f>Standings!D8</f>
        <v>0</v>
      </c>
      <c r="E11" s="1">
        <f>Standings!E8</f>
        <v>1</v>
      </c>
      <c r="F11" s="1">
        <f>Standings!F8</f>
        <v>0</v>
      </c>
      <c r="G11" s="1">
        <f>Standings!G8</f>
        <v>0</v>
      </c>
      <c r="H11" s="1">
        <f>Standings!H8</f>
        <v>0</v>
      </c>
      <c r="I11" s="1">
        <f>Standings!I8</f>
        <v>1</v>
      </c>
      <c r="J11" s="1">
        <f>Standings!J8</f>
        <v>0</v>
      </c>
      <c r="K11" s="1">
        <f>Standings!K8</f>
        <v>5</v>
      </c>
      <c r="L11" s="1">
        <f>Standings!L8</f>
        <v>-5</v>
      </c>
      <c r="M11" s="1"/>
      <c r="N11" s="1">
        <f>IF(TopScorers!A8="","",TopScorers!A8)</f>
        <v>7</v>
      </c>
      <c r="O11" s="1" t="str">
        <f>IF(TopScorers!B8="","",TopScorers!B8)</f>
        <v>MATTEO DALL'ARA</v>
      </c>
      <c r="P11" s="1" t="str">
        <f>IF(TopScorers!C8="","",TopScorers!C8)</f>
        <v>Vecchie Glorie Rovigo</v>
      </c>
      <c r="Q11" s="1">
        <f>IF(TopScorers!D8="","",TopScorers!D8)</f>
        <v>1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28.8" customHeight="1" x14ac:dyDescent="0.3">
      <c r="A12" s="1" t="str">
        <f>Standings!A9</f>
        <v>B</v>
      </c>
      <c r="B12" s="1">
        <f>Standings!B9</f>
        <v>4</v>
      </c>
      <c r="C12" s="1" t="str">
        <f>Standings!C9</f>
        <v>Totani</v>
      </c>
      <c r="D12" s="1">
        <f>Standings!D9</f>
        <v>0</v>
      </c>
      <c r="E12" s="1">
        <f>Standings!E9</f>
        <v>1</v>
      </c>
      <c r="F12" s="1">
        <f>Standings!F9</f>
        <v>0</v>
      </c>
      <c r="G12" s="1">
        <f>Standings!G9</f>
        <v>0</v>
      </c>
      <c r="H12" s="1">
        <f>Standings!H9</f>
        <v>0</v>
      </c>
      <c r="I12" s="1">
        <f>Standings!I9</f>
        <v>1</v>
      </c>
      <c r="J12" s="1">
        <f>Standings!J9</f>
        <v>0</v>
      </c>
      <c r="K12" s="1">
        <f>Standings!K9</f>
        <v>10</v>
      </c>
      <c r="L12" s="1">
        <f>Standings!L9</f>
        <v>-10</v>
      </c>
      <c r="M12" s="1"/>
      <c r="N12" s="1">
        <f>IF(TopScorers!A9="","",TopScorers!A9)</f>
        <v>8</v>
      </c>
      <c r="O12" s="1" t="str">
        <f>IF(TopScorers!B9="","",TopScorers!B9)</f>
        <v>LEONARDO FUSCO</v>
      </c>
      <c r="P12" s="1" t="str">
        <f>IF(TopScorers!C9="","",TopScorers!C9)</f>
        <v>Vecchie Glorie Rovigo</v>
      </c>
      <c r="Q12" s="1">
        <f>IF(TopScorers!D9="","",TopScorers!D9)</f>
        <v>1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28.8" customHeight="1" x14ac:dyDescent="0.3">
      <c r="A13" s="1" t="str">
        <f>Standings!A10</f>
        <v>C</v>
      </c>
      <c r="B13" s="1">
        <f>Standings!B10</f>
        <v>1</v>
      </c>
      <c r="C13" s="1" t="str">
        <f>Standings!C10</f>
        <v>Leoni di Ricky</v>
      </c>
      <c r="D13" s="1">
        <f>Standings!D10</f>
        <v>3</v>
      </c>
      <c r="E13" s="1">
        <f>Standings!E10</f>
        <v>1</v>
      </c>
      <c r="F13" s="1">
        <f>Standings!F10</f>
        <v>1</v>
      </c>
      <c r="G13" s="1">
        <f>Standings!G10</f>
        <v>0</v>
      </c>
      <c r="H13" s="1">
        <f>Standings!H10</f>
        <v>0</v>
      </c>
      <c r="I13" s="1">
        <f>Standings!I10</f>
        <v>0</v>
      </c>
      <c r="J13" s="1">
        <f>Standings!J10</f>
        <v>5</v>
      </c>
      <c r="K13" s="1">
        <f>Standings!K10</f>
        <v>0</v>
      </c>
      <c r="L13" s="1">
        <f>Standings!L10</f>
        <v>5</v>
      </c>
      <c r="M13" s="1"/>
      <c r="N13" s="1">
        <f>IF(TopScorers!A10="","",TopScorers!A10)</f>
        <v>9</v>
      </c>
      <c r="O13" s="1" t="str">
        <f>IF(TopScorers!B10="","",TopScorers!B10)</f>
        <v>DENIS TIMPANARO</v>
      </c>
      <c r="P13" s="1" t="str">
        <f>IF(TopScorers!C10="","",TopScorers!C10)</f>
        <v>Vecchie Glorie Rovigo</v>
      </c>
      <c r="Q13" s="1">
        <f>IF(TopScorers!D10="","",TopScorers!D10)</f>
        <v>1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tr">
        <f>Standings!A11</f>
        <v>C</v>
      </c>
      <c r="B14" s="1">
        <f>Standings!B11</f>
        <v>2</v>
      </c>
      <c r="C14" s="1" t="str">
        <f>Standings!C11</f>
        <v>Barrio Boys</v>
      </c>
      <c r="D14" s="1">
        <f>Standings!D11</f>
        <v>3</v>
      </c>
      <c r="E14" s="1">
        <f>Standings!E11</f>
        <v>1</v>
      </c>
      <c r="F14" s="1">
        <f>Standings!F11</f>
        <v>1</v>
      </c>
      <c r="G14" s="1">
        <f>Standings!G11</f>
        <v>0</v>
      </c>
      <c r="H14" s="1">
        <f>Standings!H11</f>
        <v>0</v>
      </c>
      <c r="I14" s="1">
        <f>Standings!I11</f>
        <v>0</v>
      </c>
      <c r="J14" s="1">
        <f>Standings!J11</f>
        <v>2</v>
      </c>
      <c r="K14" s="1">
        <f>Standings!K11</f>
        <v>0</v>
      </c>
      <c r="L14" s="1">
        <f>Standings!L11</f>
        <v>2</v>
      </c>
      <c r="M14" s="1"/>
      <c r="N14" s="1">
        <f>IF(TopScorers!A11="","",TopScorers!A11)</f>
        <v>10</v>
      </c>
      <c r="O14" s="1" t="str">
        <f>IF(TopScorers!B11="","",TopScorers!B11)</f>
        <v>DOMENICO IACOVINO</v>
      </c>
      <c r="P14" s="1" t="str">
        <f>IF(TopScorers!C11="","",TopScorers!C11)</f>
        <v>Vecchie Glorie Rovigo</v>
      </c>
      <c r="Q14" s="1">
        <f>IF(TopScorers!D11="","",TopScorers!D11)</f>
        <v>1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 t="str">
        <f>Standings!A12</f>
        <v>C</v>
      </c>
      <c r="B15" s="1">
        <f>Standings!B12</f>
        <v>3</v>
      </c>
      <c r="C15" s="1" t="str">
        <f>Standings!C12</f>
        <v>Cani</v>
      </c>
      <c r="D15" s="1">
        <f>Standings!D12</f>
        <v>0</v>
      </c>
      <c r="E15" s="1">
        <f>Standings!E12</f>
        <v>1</v>
      </c>
      <c r="F15" s="1">
        <f>Standings!F12</f>
        <v>0</v>
      </c>
      <c r="G15" s="1">
        <f>Standings!G12</f>
        <v>0</v>
      </c>
      <c r="H15" s="1">
        <f>Standings!H12</f>
        <v>0</v>
      </c>
      <c r="I15" s="1">
        <f>Standings!I12</f>
        <v>1</v>
      </c>
      <c r="J15" s="1">
        <f>Standings!J12</f>
        <v>0</v>
      </c>
      <c r="K15" s="1">
        <f>Standings!K12</f>
        <v>2</v>
      </c>
      <c r="L15" s="1">
        <f>Standings!L12</f>
        <v>-2</v>
      </c>
      <c r="M15" s="1"/>
      <c r="N15" s="1">
        <f>IF(TopScorers!A12="","",TopScorers!A12)</f>
        <v>11</v>
      </c>
      <c r="O15" s="1" t="str">
        <f>IF(TopScorers!B12="","",TopScorers!B12)</f>
        <v>MATTEO LONGO</v>
      </c>
      <c r="P15" s="1" t="str">
        <f>IF(TopScorers!C12="","",TopScorers!C12)</f>
        <v>AS Bancatore</v>
      </c>
      <c r="Q15" s="1">
        <f>IF(TopScorers!D12="","",TopScorers!D12)</f>
        <v>1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tr">
        <f>Standings!A13</f>
        <v>C</v>
      </c>
      <c r="B16" s="1">
        <f>Standings!B13</f>
        <v>4</v>
      </c>
      <c r="C16" s="1" t="str">
        <f>Standings!C13</f>
        <v>Pink 5ive</v>
      </c>
      <c r="D16" s="1">
        <f>Standings!D13</f>
        <v>0</v>
      </c>
      <c r="E16" s="1">
        <f>Standings!E13</f>
        <v>1</v>
      </c>
      <c r="F16" s="1">
        <f>Standings!F13</f>
        <v>0</v>
      </c>
      <c r="G16" s="1">
        <f>Standings!G13</f>
        <v>0</v>
      </c>
      <c r="H16" s="1">
        <f>Standings!H13</f>
        <v>0</v>
      </c>
      <c r="I16" s="1">
        <f>Standings!I13</f>
        <v>1</v>
      </c>
      <c r="J16" s="1">
        <f>Standings!J13</f>
        <v>0</v>
      </c>
      <c r="K16" s="1">
        <f>Standings!K13</f>
        <v>5</v>
      </c>
      <c r="L16" s="1">
        <f>Standings!L13</f>
        <v>-5</v>
      </c>
      <c r="M16" s="1"/>
      <c r="N16" s="1">
        <f>IF(TopScorers!A13="","",TopScorers!A13)</f>
        <v>12</v>
      </c>
      <c r="O16" s="1" t="str">
        <f>IF(TopScorers!B13="","",TopScorers!B13)</f>
        <v>GIANLUCA FREZZATI</v>
      </c>
      <c r="P16" s="1" t="str">
        <f>IF(TopScorers!C13="","",TopScorers!C13)</f>
        <v>AS Bancatore</v>
      </c>
      <c r="Q16" s="1">
        <f>IF(TopScorers!D13="","",TopScorers!D13)</f>
        <v>1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tr">
        <f>Standings!A14</f>
        <v>D</v>
      </c>
      <c r="B17" s="1">
        <f>Standings!B14</f>
        <v>1</v>
      </c>
      <c r="C17" s="1" t="str">
        <f>Standings!C14</f>
        <v>Boldò Glimt</v>
      </c>
      <c r="D17" s="1">
        <f>Standings!D14</f>
        <v>3</v>
      </c>
      <c r="E17" s="1">
        <f>Standings!E14</f>
        <v>1</v>
      </c>
      <c r="F17" s="1">
        <f>Standings!F14</f>
        <v>1</v>
      </c>
      <c r="G17" s="1">
        <f>Standings!G14</f>
        <v>0</v>
      </c>
      <c r="H17" s="1">
        <f>Standings!H14</f>
        <v>0</v>
      </c>
      <c r="I17" s="1">
        <f>Standings!I14</f>
        <v>0</v>
      </c>
      <c r="J17" s="1">
        <f>Standings!J14</f>
        <v>2</v>
      </c>
      <c r="K17" s="1">
        <f>Standings!K14</f>
        <v>1</v>
      </c>
      <c r="L17" s="1">
        <f>Standings!L14</f>
        <v>1</v>
      </c>
      <c r="M17" s="1"/>
      <c r="N17" s="1">
        <f>IF(TopScorers!A14="","",TopScorers!A14)</f>
        <v>13</v>
      </c>
      <c r="O17" s="1" t="str">
        <f>IF(TopScorers!B14="","",TopScorers!B14)</f>
        <v>NICOLA BARONI</v>
      </c>
      <c r="P17" s="1" t="str">
        <f>IF(TopScorers!C14="","",TopScorers!C14)</f>
        <v>AS Bancatore</v>
      </c>
      <c r="Q17" s="1">
        <f>IF(TopScorers!D14="","",TopScorers!D14)</f>
        <v>1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 t="str">
        <f>Standings!A15</f>
        <v>D</v>
      </c>
      <c r="B18" s="1">
        <f>Standings!B15</f>
        <v>2</v>
      </c>
      <c r="C18" s="1" t="str">
        <f>Standings!C15</f>
        <v>Piadineria la Salsiccia</v>
      </c>
      <c r="D18" s="1">
        <f>Standings!D15</f>
        <v>3</v>
      </c>
      <c r="E18" s="1">
        <f>Standings!E15</f>
        <v>1</v>
      </c>
      <c r="F18" s="1">
        <f>Standings!F15</f>
        <v>1</v>
      </c>
      <c r="G18" s="1">
        <f>Standings!G15</f>
        <v>0</v>
      </c>
      <c r="H18" s="1">
        <f>Standings!H15</f>
        <v>0</v>
      </c>
      <c r="I18" s="1">
        <f>Standings!I15</f>
        <v>0</v>
      </c>
      <c r="J18" s="1">
        <f>Standings!J15</f>
        <v>1</v>
      </c>
      <c r="K18" s="1">
        <f>Standings!K15</f>
        <v>0</v>
      </c>
      <c r="L18" s="1">
        <f>Standings!L15</f>
        <v>1</v>
      </c>
      <c r="M18" s="1"/>
      <c r="N18" s="1">
        <f>IF(TopScorers!A15="","",TopScorers!A15)</f>
        <v>14</v>
      </c>
      <c r="O18" s="1" t="str">
        <f>IF(TopScorers!B15="","",TopScorers!B15)</f>
        <v>ANDREI BARZAGHIDEANU</v>
      </c>
      <c r="P18" s="1" t="str">
        <f>IF(TopScorers!C15="","",TopScorers!C15)</f>
        <v>Leoni di Ricky</v>
      </c>
      <c r="Q18" s="1">
        <f>IF(TopScorers!D15="","",TopScorers!D15)</f>
        <v>1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tr">
        <f>Standings!A16</f>
        <v>D</v>
      </c>
      <c r="B19" s="1">
        <f>Standings!B16</f>
        <v>3</v>
      </c>
      <c r="C19" s="1" t="str">
        <f>Standings!C16</f>
        <v>All Blacks</v>
      </c>
      <c r="D19" s="1">
        <f>Standings!D16</f>
        <v>0</v>
      </c>
      <c r="E19" s="1">
        <f>Standings!E16</f>
        <v>1</v>
      </c>
      <c r="F19" s="1">
        <f>Standings!F16</f>
        <v>0</v>
      </c>
      <c r="G19" s="1">
        <f>Standings!G16</f>
        <v>0</v>
      </c>
      <c r="H19" s="1">
        <f>Standings!H16</f>
        <v>0</v>
      </c>
      <c r="I19" s="1">
        <f>Standings!I16</f>
        <v>1</v>
      </c>
      <c r="J19" s="1">
        <f>Standings!J16</f>
        <v>1</v>
      </c>
      <c r="K19" s="1">
        <f>Standings!K16</f>
        <v>2</v>
      </c>
      <c r="L19" s="1">
        <f>Standings!L16</f>
        <v>-1</v>
      </c>
      <c r="M19" s="1"/>
      <c r="N19" s="1">
        <f>IF(TopScorers!A16="","",TopScorers!A16)</f>
        <v>15</v>
      </c>
      <c r="O19" s="1" t="str">
        <f>IF(TopScorers!B16="","",TopScorers!B16)</f>
        <v>VLAD GABRIEL DUMINICA</v>
      </c>
      <c r="P19" s="1" t="str">
        <f>IF(TopScorers!C16="","",TopScorers!C16)</f>
        <v>Leoni di Ricky</v>
      </c>
      <c r="Q19" s="1">
        <f>IF(TopScorers!D16="","",TopScorers!D16)</f>
        <v>1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28.8" customHeight="1" x14ac:dyDescent="0.3">
      <c r="A20" s="1" t="str">
        <f>Standings!A17</f>
        <v>D</v>
      </c>
      <c r="B20" s="1">
        <f>Standings!B17</f>
        <v>4</v>
      </c>
      <c r="C20" s="1" t="str">
        <f>Standings!C17</f>
        <v>Coca Juniors</v>
      </c>
      <c r="D20" s="1">
        <f>Standings!D17</f>
        <v>0</v>
      </c>
      <c r="E20" s="1">
        <f>Standings!E17</f>
        <v>1</v>
      </c>
      <c r="F20" s="1">
        <f>Standings!F17</f>
        <v>0</v>
      </c>
      <c r="G20" s="1">
        <f>Standings!G17</f>
        <v>0</v>
      </c>
      <c r="H20" s="1">
        <f>Standings!H17</f>
        <v>0</v>
      </c>
      <c r="I20" s="1">
        <f>Standings!I17</f>
        <v>1</v>
      </c>
      <c r="J20" s="1">
        <f>Standings!J17</f>
        <v>0</v>
      </c>
      <c r="K20" s="1">
        <f>Standings!K17</f>
        <v>1</v>
      </c>
      <c r="L20" s="1">
        <f>Standings!L17</f>
        <v>-1</v>
      </c>
      <c r="M20" s="1"/>
      <c r="N20" s="1">
        <f>IF(TopScorers!A17="","",TopScorers!A17)</f>
        <v>16</v>
      </c>
      <c r="O20" s="1" t="str">
        <f>IF(TopScorers!B17="","",TopScorers!B17)</f>
        <v>EDOARDO CAVALLARI</v>
      </c>
      <c r="P20" s="1" t="str">
        <f>IF(TopScorers!C17="","",TopScorers!C17)</f>
        <v>Barrio Boys</v>
      </c>
      <c r="Q20" s="1">
        <f>IF(TopScorers!D17="","",TopScorers!D17)</f>
        <v>1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>IF(TopScorers!A18="","",TopScorers!A18)</f>
        <v>17</v>
      </c>
      <c r="O21" s="1" t="str">
        <f>IF(TopScorers!B18="","",TopScorers!B18)</f>
        <v>MATTEO FERRO</v>
      </c>
      <c r="P21" s="1" t="str">
        <f>IF(TopScorers!C18="","",TopScorers!C18)</f>
        <v>Barrio Boys</v>
      </c>
      <c r="Q21" s="1">
        <f>IF(TopScorers!D18="","",TopScorers!D18)</f>
        <v>1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8.8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f>IF(TopScorers!A19="","",TopScorers!A19)</f>
        <v>18</v>
      </c>
      <c r="O22" s="5" t="str">
        <f>IF(TopScorers!B19="","",TopScorers!B19)</f>
        <v>NICOLA BRESCIANI</v>
      </c>
      <c r="P22" s="5" t="str">
        <f>IF(TopScorers!C19="","",TopScorers!C19)</f>
        <v>All Blacks</v>
      </c>
      <c r="Q22" s="1">
        <f>IF(TopScorers!D19="","",TopScorers!D19)</f>
        <v>1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22" t="s">
        <v>361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1"/>
      <c r="U23" s="1"/>
      <c r="V23" s="1"/>
      <c r="W23" s="1"/>
      <c r="X23" s="1"/>
      <c r="Y23" s="1"/>
      <c r="Z23" s="1"/>
    </row>
    <row r="24" spans="1:26" ht="28.8" customHeight="1" x14ac:dyDescent="0.3">
      <c r="A24" s="7" t="s">
        <v>362</v>
      </c>
      <c r="B24" s="7" t="s">
        <v>363</v>
      </c>
      <c r="C24" s="7" t="s">
        <v>347</v>
      </c>
      <c r="D24" s="7" t="s">
        <v>364</v>
      </c>
      <c r="E24" s="7" t="s">
        <v>365</v>
      </c>
      <c r="F24" s="7" t="s">
        <v>366</v>
      </c>
      <c r="G24" s="7" t="s">
        <v>367</v>
      </c>
      <c r="H24" s="7" t="s">
        <v>368</v>
      </c>
      <c r="I24" s="7" t="s">
        <v>369</v>
      </c>
      <c r="J24" s="7" t="s">
        <v>370</v>
      </c>
      <c r="K24" s="7" t="s">
        <v>371</v>
      </c>
      <c r="L24" s="7" t="s">
        <v>372</v>
      </c>
      <c r="M24" s="7" t="s">
        <v>373</v>
      </c>
      <c r="N24" s="7" t="s">
        <v>374</v>
      </c>
      <c r="O24" s="7" t="s">
        <v>375</v>
      </c>
      <c r="P24" s="7" t="s">
        <v>376</v>
      </c>
      <c r="Q24" s="7" t="s">
        <v>377</v>
      </c>
      <c r="R24" s="7" t="s">
        <v>378</v>
      </c>
      <c r="S24" s="7" t="s">
        <v>379</v>
      </c>
      <c r="T24" s="1"/>
      <c r="U24" s="1"/>
      <c r="V24" s="1"/>
      <c r="W24" s="1"/>
      <c r="X24" s="1"/>
      <c r="Y24" s="1"/>
      <c r="Z24" s="1"/>
    </row>
    <row r="25" spans="1:26" ht="28.8" customHeight="1" x14ac:dyDescent="0.3">
      <c r="A25" s="1" t="str">
        <f>Matches!A2</f>
        <v>M01</v>
      </c>
      <c r="B25" s="1" t="str">
        <f>Matches!B2</f>
        <v>Group</v>
      </c>
      <c r="C25" s="1" t="str">
        <f>Matches!C2</f>
        <v>D</v>
      </c>
      <c r="D25" s="1">
        <f>Matches!D2</f>
        <v>1</v>
      </c>
      <c r="E25" s="1" t="str">
        <f>Matches!E2</f>
        <v>1</v>
      </c>
      <c r="F25" s="11">
        <f>Matches!F2</f>
        <v>0.59375</v>
      </c>
      <c r="G25" s="1" t="str">
        <f>Matches!G2</f>
        <v>All Blacks</v>
      </c>
      <c r="H25" s="1" t="str">
        <f>Matches!H2</f>
        <v>Boldò Glimt</v>
      </c>
      <c r="I25" s="1">
        <f>IF(Matches!I2="","",Matches!I2)</f>
        <v>1</v>
      </c>
      <c r="J25" s="1">
        <f>IF(Matches!J2="","",Matches!J2)</f>
        <v>2</v>
      </c>
      <c r="K25" s="1" t="str">
        <f>IF(Matches!K2="","",Matches!K2)</f>
        <v/>
      </c>
      <c r="L25" s="1" t="str">
        <f>Matches!L2</f>
        <v>Complete</v>
      </c>
      <c r="M25" s="1">
        <f>IF(Matches!M2="","",Matches!M2)</f>
        <v>0</v>
      </c>
      <c r="N25" s="1">
        <f>IF(Matches!N2="","",Matches!N2)</f>
        <v>3</v>
      </c>
      <c r="O25" s="1" t="str">
        <f>IF(Matches!O2="","",Matches!O2)</f>
        <v>Boldò Glimt</v>
      </c>
      <c r="P25" s="1" t="str">
        <f>IF(Matches!P2="","",Matches!P2)</f>
        <v>All Blacks 1 - 2 Boldò Glimt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2" customHeight="1" x14ac:dyDescent="0.3">
      <c r="A26" s="1" t="str">
        <f>Matches!A3</f>
        <v>M02</v>
      </c>
      <c r="B26" s="1" t="str">
        <f>Matches!B3</f>
        <v>Group</v>
      </c>
      <c r="C26" s="1" t="str">
        <f>Matches!C3</f>
        <v>D</v>
      </c>
      <c r="D26" s="1">
        <f>Matches!D3</f>
        <v>1</v>
      </c>
      <c r="E26" s="1" t="str">
        <f>Matches!E3</f>
        <v>2</v>
      </c>
      <c r="F26" s="11">
        <f>Matches!F3</f>
        <v>0.59375</v>
      </c>
      <c r="G26" s="1" t="str">
        <f>Matches!G3</f>
        <v>Coca Juniors</v>
      </c>
      <c r="H26" s="1" t="str">
        <f>Matches!H3</f>
        <v>Piadineria la Salsiccia</v>
      </c>
      <c r="I26" s="1">
        <f>IF(Matches!I3="","",Matches!I3)</f>
        <v>0</v>
      </c>
      <c r="J26" s="1">
        <f>IF(Matches!J3="","",Matches!J3)</f>
        <v>1</v>
      </c>
      <c r="K26" s="1" t="str">
        <f>IF(Matches!K3="","",Matches!K3)</f>
        <v/>
      </c>
      <c r="L26" s="1" t="str">
        <f>Matches!L3</f>
        <v>Complete</v>
      </c>
      <c r="M26" s="1">
        <f>IF(Matches!M3="","",Matches!M3)</f>
        <v>0</v>
      </c>
      <c r="N26" s="1">
        <f>IF(Matches!N3="","",Matches!N3)</f>
        <v>3</v>
      </c>
      <c r="O26" s="1" t="str">
        <f>IF(Matches!O3="","",Matches!O3)</f>
        <v>Piadineria la Salsiccia</v>
      </c>
      <c r="P26" s="1" t="str">
        <f>IF(Matches!P3="","",Matches!P3)</f>
        <v>Coca Juniors 0 - 1 Piadineria la Salsiccia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8" customHeight="1" x14ac:dyDescent="0.3">
      <c r="A27" s="1" t="str">
        <f>Matches!A4</f>
        <v>M03</v>
      </c>
      <c r="B27" s="1" t="str">
        <f>Matches!B4</f>
        <v>Group</v>
      </c>
      <c r="C27" s="1" t="str">
        <f>Matches!C4</f>
        <v>B</v>
      </c>
      <c r="D27" s="1">
        <f>Matches!D4</f>
        <v>1</v>
      </c>
      <c r="E27" s="1" t="str">
        <f>Matches!E4</f>
        <v>3 (S)</v>
      </c>
      <c r="F27" s="11">
        <f>Matches!F4</f>
        <v>0.59375</v>
      </c>
      <c r="G27" s="1" t="str">
        <f>Matches!G4</f>
        <v>Totani</v>
      </c>
      <c r="H27" s="1" t="str">
        <f>Matches!H4</f>
        <v>Vecchie Glorie Rovigo</v>
      </c>
      <c r="I27" s="1">
        <f>IF(Matches!I4="","",Matches!I4)</f>
        <v>0</v>
      </c>
      <c r="J27" s="1">
        <f>IF(Matches!J4="","",Matches!J4)</f>
        <v>10</v>
      </c>
      <c r="K27" s="1" t="str">
        <f>IF(Matches!K4="","",Matches!K4)</f>
        <v/>
      </c>
      <c r="L27" s="1" t="str">
        <f>Matches!L4</f>
        <v>Complete</v>
      </c>
      <c r="M27" s="1">
        <f>IF(Matches!M4="","",Matches!M4)</f>
        <v>0</v>
      </c>
      <c r="N27" s="1">
        <f>IF(Matches!N4="","",Matches!N4)</f>
        <v>3</v>
      </c>
      <c r="O27" s="1" t="str">
        <f>IF(Matches!O4="","",Matches!O4)</f>
        <v>Vecchie Glorie Rovigo</v>
      </c>
      <c r="P27" s="1" t="str">
        <f>IF(Matches!P4="","",Matches!P4)</f>
        <v>Totani 0 - 10 Vecchie Glorie Rovigo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8" customHeight="1" x14ac:dyDescent="0.3">
      <c r="A28" s="1" t="str">
        <f>Matches!A5</f>
        <v>M04</v>
      </c>
      <c r="B28" s="1" t="str">
        <f>Matches!B5</f>
        <v>Group</v>
      </c>
      <c r="C28" s="1" t="str">
        <f>Matches!C5</f>
        <v>C</v>
      </c>
      <c r="D28" s="1">
        <f>Matches!D5</f>
        <v>1</v>
      </c>
      <c r="E28" s="1" t="str">
        <f>Matches!E5</f>
        <v>1</v>
      </c>
      <c r="F28" s="11">
        <f>Matches!F5</f>
        <v>0.61458333333333337</v>
      </c>
      <c r="G28" s="1" t="str">
        <f>Matches!G5</f>
        <v>Leoni di Ricky</v>
      </c>
      <c r="H28" s="1" t="str">
        <f>Matches!H5</f>
        <v>Pink 5ive</v>
      </c>
      <c r="I28" s="1">
        <f>IF(Matches!I5="","",Matches!I5)</f>
        <v>5</v>
      </c>
      <c r="J28" s="1">
        <f>IF(Matches!J5="","",Matches!J5)</f>
        <v>0</v>
      </c>
      <c r="K28" s="1" t="str">
        <f>IF(Matches!K5="","",Matches!K5)</f>
        <v/>
      </c>
      <c r="L28" s="1" t="str">
        <f>Matches!L5</f>
        <v>Complete</v>
      </c>
      <c r="M28" s="1">
        <f>IF(Matches!M5="","",Matches!M5)</f>
        <v>3</v>
      </c>
      <c r="N28" s="1">
        <f>IF(Matches!N5="","",Matches!N5)</f>
        <v>0</v>
      </c>
      <c r="O28" s="1" t="str">
        <f>IF(Matches!O5="","",Matches!O5)</f>
        <v>Leoni di Ricky</v>
      </c>
      <c r="P28" s="1" t="str">
        <f>IF(Matches!P5="","",Matches!P5)</f>
        <v>Leoni di Ricky 5 - 0 Pink 5ive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3.2" customHeight="1" x14ac:dyDescent="0.3">
      <c r="A29" s="1" t="str">
        <f>Matches!A6</f>
        <v>M05</v>
      </c>
      <c r="B29" s="1" t="str">
        <f>Matches!B6</f>
        <v>Group</v>
      </c>
      <c r="C29" s="1" t="str">
        <f>Matches!C6</f>
        <v>C</v>
      </c>
      <c r="D29" s="1">
        <f>Matches!D6</f>
        <v>1</v>
      </c>
      <c r="E29" s="1" t="str">
        <f>Matches!E6</f>
        <v>2</v>
      </c>
      <c r="F29" s="11">
        <f>Matches!F6</f>
        <v>0.61458333333333337</v>
      </c>
      <c r="G29" s="1" t="str">
        <f>Matches!G6</f>
        <v>Barrio Boys</v>
      </c>
      <c r="H29" s="1" t="str">
        <f>Matches!H6</f>
        <v>Cani</v>
      </c>
      <c r="I29" s="1">
        <f>IF(Matches!I6="","",Matches!I6)</f>
        <v>2</v>
      </c>
      <c r="J29" s="1">
        <f>IF(Matches!J6="","",Matches!J6)</f>
        <v>0</v>
      </c>
      <c r="K29" s="1" t="str">
        <f>IF(Matches!K6="","",Matches!K6)</f>
        <v/>
      </c>
      <c r="L29" s="1" t="str">
        <f>Matches!L6</f>
        <v>Complete</v>
      </c>
      <c r="M29" s="1">
        <f>IF(Matches!M6="","",Matches!M6)</f>
        <v>3</v>
      </c>
      <c r="N29" s="1">
        <f>IF(Matches!N6="","",Matches!N6)</f>
        <v>0</v>
      </c>
      <c r="O29" s="1" t="str">
        <f>IF(Matches!O6="","",Matches!O6)</f>
        <v>Barrio Boys</v>
      </c>
      <c r="P29" s="1" t="str">
        <f>IF(Matches!P6="","",Matches!P6)</f>
        <v>Barrio Boys 2 - 0 Cani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8" customHeight="1" x14ac:dyDescent="0.3">
      <c r="A30" s="1" t="str">
        <f>Matches!A7</f>
        <v>M06</v>
      </c>
      <c r="B30" s="1" t="str">
        <f>Matches!B7</f>
        <v>Group</v>
      </c>
      <c r="C30" s="1" t="str">
        <f>Matches!C7</f>
        <v>B</v>
      </c>
      <c r="D30" s="1">
        <f>Matches!D7</f>
        <v>1</v>
      </c>
      <c r="E30" s="1" t="str">
        <f>Matches!E7</f>
        <v>3 (S)</v>
      </c>
      <c r="F30" s="11">
        <f>Matches!F7</f>
        <v>0.61458333333333337</v>
      </c>
      <c r="G30" s="1" t="str">
        <f>Matches!G7</f>
        <v>AS Bancatore</v>
      </c>
      <c r="H30" s="1" t="str">
        <f>Matches!H7</f>
        <v>Beverton</v>
      </c>
      <c r="I30" s="1">
        <f>IF(Matches!I7="","",Matches!I7)</f>
        <v>5</v>
      </c>
      <c r="J30" s="1">
        <f>IF(Matches!J7="","",Matches!J7)</f>
        <v>0</v>
      </c>
      <c r="K30" s="1" t="str">
        <f>IF(Matches!K7="","",Matches!K7)</f>
        <v/>
      </c>
      <c r="L30" s="1" t="str">
        <f>Matches!L7</f>
        <v>Complete</v>
      </c>
      <c r="M30" s="1">
        <f>IF(Matches!M7="","",Matches!M7)</f>
        <v>3</v>
      </c>
      <c r="N30" s="1">
        <f>IF(Matches!N7="","",Matches!N7)</f>
        <v>0</v>
      </c>
      <c r="O30" s="1" t="str">
        <f>IF(Matches!O7="","",Matches!O7)</f>
        <v>AS Bancatore</v>
      </c>
      <c r="P30" s="1" t="str">
        <f>IF(Matches!P7="","",Matches!P7)</f>
        <v>AS Bancatore 5 - 0 Beverton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3.2" customHeight="1" x14ac:dyDescent="0.3">
      <c r="A31" s="1" t="str">
        <f>Matches!A8</f>
        <v>M07</v>
      </c>
      <c r="B31" s="1" t="str">
        <f>Matches!B8</f>
        <v>Group</v>
      </c>
      <c r="C31" s="1" t="str">
        <f>Matches!C8</f>
        <v>A</v>
      </c>
      <c r="D31" s="1">
        <f>Matches!D8</f>
        <v>1</v>
      </c>
      <c r="E31" s="1" t="str">
        <f>Matches!E8</f>
        <v>1</v>
      </c>
      <c r="F31" s="11">
        <f>Matches!F8</f>
        <v>0.63541666666666663</v>
      </c>
      <c r="G31" s="1" t="str">
        <f>Matches!G8</f>
        <v>Fatine FC</v>
      </c>
      <c r="H31" s="1" t="str">
        <f>Matches!H8</f>
        <v>FC Internazionale Rovigo</v>
      </c>
      <c r="I31" s="1" t="str">
        <f>IF(Matches!I8="","",Matches!I8)</f>
        <v/>
      </c>
      <c r="J31" s="1" t="str">
        <f>IF(Matches!J8="","",Matches!J8)</f>
        <v/>
      </c>
      <c r="K31" s="1" t="str">
        <f>IF(Matches!K8="","",Matches!K8)</f>
        <v/>
      </c>
      <c r="L31" s="1" t="str">
        <f>Matches!L8</f>
        <v>Pending</v>
      </c>
      <c r="M31" s="1" t="str">
        <f>IF(Matches!M8="","",Matches!M8)</f>
        <v/>
      </c>
      <c r="N31" s="1" t="str">
        <f>IF(Matches!N8="","",Matches!N8)</f>
        <v/>
      </c>
      <c r="O31" s="1" t="str">
        <f>IF(Matches!O8="","",Matches!O8)</f>
        <v/>
      </c>
      <c r="P31" s="1" t="str">
        <f>IF(Matches!P8="","",Matches!P8)</f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3.2" customHeight="1" x14ac:dyDescent="0.3">
      <c r="A32" s="1" t="str">
        <f>Matches!A9</f>
        <v>M08</v>
      </c>
      <c r="B32" s="1" t="str">
        <f>Matches!B9</f>
        <v>Group</v>
      </c>
      <c r="C32" s="1" t="str">
        <f>Matches!C9</f>
        <v>A</v>
      </c>
      <c r="D32" s="1">
        <f>Matches!D9</f>
        <v>1</v>
      </c>
      <c r="E32" s="1" t="str">
        <f>Matches!E9</f>
        <v>2</v>
      </c>
      <c r="F32" s="11">
        <f>Matches!F9</f>
        <v>0.63541666666666663</v>
      </c>
      <c r="G32" s="1" t="str">
        <f>Matches!G9</f>
        <v>Moviola Utd</v>
      </c>
      <c r="H32" s="1" t="str">
        <f>Matches!H9</f>
        <v>Astolfi Impianti Elettrici</v>
      </c>
      <c r="I32" s="1" t="str">
        <f>IF(Matches!I9="","",Matches!I9)</f>
        <v/>
      </c>
      <c r="J32" s="1" t="str">
        <f>IF(Matches!J9="","",Matches!J9)</f>
        <v/>
      </c>
      <c r="K32" s="1" t="str">
        <f>IF(Matches!K9="","",Matches!K9)</f>
        <v/>
      </c>
      <c r="L32" s="1" t="str">
        <f>Matches!L9</f>
        <v>Pending</v>
      </c>
      <c r="M32" s="1" t="str">
        <f>IF(Matches!M9="","",Matches!M9)</f>
        <v/>
      </c>
      <c r="N32" s="1" t="str">
        <f>IF(Matches!N9="","",Matches!N9)</f>
        <v/>
      </c>
      <c r="O32" s="1" t="str">
        <f>IF(Matches!O9="","",Matches!O9)</f>
        <v/>
      </c>
      <c r="P32" s="1" t="str">
        <f>IF(Matches!P9="","",Matches!P9)</f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8" customHeight="1" x14ac:dyDescent="0.3">
      <c r="A33" s="1" t="str">
        <f>Matches!A10</f>
        <v>M09</v>
      </c>
      <c r="B33" s="1" t="str">
        <f>Matches!B10</f>
        <v>Group</v>
      </c>
      <c r="C33" s="1" t="str">
        <f>Matches!C10</f>
        <v>D</v>
      </c>
      <c r="D33" s="1">
        <f>Matches!D10</f>
        <v>2</v>
      </c>
      <c r="E33" s="1" t="str">
        <f>Matches!E10</f>
        <v>3 (S)</v>
      </c>
      <c r="F33" s="11">
        <f>Matches!F10</f>
        <v>0.63541666666666663</v>
      </c>
      <c r="G33" s="1" t="str">
        <f>Matches!G10</f>
        <v>All Blacks</v>
      </c>
      <c r="H33" s="1" t="str">
        <f>Matches!H10</f>
        <v>Coca Juniors</v>
      </c>
      <c r="I33" s="1" t="str">
        <f>IF(Matches!I10="","",Matches!I10)</f>
        <v/>
      </c>
      <c r="J33" s="1" t="str">
        <f>IF(Matches!J10="","",Matches!J10)</f>
        <v/>
      </c>
      <c r="K33" s="1" t="str">
        <f>IF(Matches!K10="","",Matches!K10)</f>
        <v/>
      </c>
      <c r="L33" s="1" t="str">
        <f>Matches!L10</f>
        <v>Pending</v>
      </c>
      <c r="M33" s="1" t="str">
        <f>IF(Matches!M10="","",Matches!M10)</f>
        <v/>
      </c>
      <c r="N33" s="1" t="str">
        <f>IF(Matches!N10="","",Matches!N10)</f>
        <v/>
      </c>
      <c r="O33" s="1" t="str">
        <f>IF(Matches!O10="","",Matches!O10)</f>
        <v/>
      </c>
      <c r="P33" s="1" t="str">
        <f>IF(Matches!P10="","",Matches!P10)</f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8" customHeight="1" x14ac:dyDescent="0.3">
      <c r="A34" s="1" t="str">
        <f>Matches!A11</f>
        <v>M10</v>
      </c>
      <c r="B34" s="1" t="str">
        <f>Matches!B11</f>
        <v>Group</v>
      </c>
      <c r="C34" s="1" t="str">
        <f>Matches!C11</f>
        <v>B</v>
      </c>
      <c r="D34" s="1">
        <f>Matches!D11</f>
        <v>2</v>
      </c>
      <c r="E34" s="1" t="str">
        <f>Matches!E11</f>
        <v>1</v>
      </c>
      <c r="F34" s="11">
        <f>Matches!F11</f>
        <v>0.65625</v>
      </c>
      <c r="G34" s="1" t="str">
        <f>Matches!G11</f>
        <v>Totani</v>
      </c>
      <c r="H34" s="1" t="str">
        <f>Matches!H11</f>
        <v>AS Bancatore</v>
      </c>
      <c r="I34" s="1" t="str">
        <f>IF(Matches!I11="","",Matches!I11)</f>
        <v/>
      </c>
      <c r="J34" s="1" t="str">
        <f>IF(Matches!J11="","",Matches!J11)</f>
        <v/>
      </c>
      <c r="K34" s="1" t="str">
        <f>IF(Matches!K11="","",Matches!K11)</f>
        <v/>
      </c>
      <c r="L34" s="1" t="str">
        <f>Matches!L11</f>
        <v>Pending</v>
      </c>
      <c r="M34" s="1" t="str">
        <f>IF(Matches!M11="","",Matches!M11)</f>
        <v/>
      </c>
      <c r="N34" s="1" t="str">
        <f>IF(Matches!N11="","",Matches!N11)</f>
        <v/>
      </c>
      <c r="O34" s="1" t="str">
        <f>IF(Matches!O11="","",Matches!O11)</f>
        <v/>
      </c>
      <c r="P34" s="1" t="str">
        <f>IF(Matches!P11="","",Matches!P11)</f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tr">
        <f>Matches!A12</f>
        <v>M11</v>
      </c>
      <c r="B35" s="1" t="str">
        <f>Matches!B12</f>
        <v>Group</v>
      </c>
      <c r="C35" s="1" t="str">
        <f>Matches!C12</f>
        <v>B</v>
      </c>
      <c r="D35" s="1">
        <f>Matches!D12</f>
        <v>2</v>
      </c>
      <c r="E35" s="1" t="str">
        <f>Matches!E12</f>
        <v>2</v>
      </c>
      <c r="F35" s="11">
        <f>Matches!F12</f>
        <v>0.65625</v>
      </c>
      <c r="G35" s="1" t="str">
        <f>Matches!G12</f>
        <v>Vecchie Glorie Rovigo</v>
      </c>
      <c r="H35" s="1" t="str">
        <f>Matches!H12</f>
        <v>Beverton</v>
      </c>
      <c r="I35" s="1" t="str">
        <f>IF(Matches!I12="","",Matches!I12)</f>
        <v/>
      </c>
      <c r="J35" s="1" t="str">
        <f>IF(Matches!J12="","",Matches!J12)</f>
        <v/>
      </c>
      <c r="K35" s="1" t="str">
        <f>IF(Matches!K12="","",Matches!K12)</f>
        <v/>
      </c>
      <c r="L35" s="1" t="str">
        <f>Matches!L12</f>
        <v>Pending</v>
      </c>
      <c r="M35" s="1" t="str">
        <f>IF(Matches!M12="","",Matches!M12)</f>
        <v/>
      </c>
      <c r="N35" s="1" t="str">
        <f>IF(Matches!N12="","",Matches!N12)</f>
        <v/>
      </c>
      <c r="O35" s="1" t="str">
        <f>IF(Matches!O12="","",Matches!O12)</f>
        <v/>
      </c>
      <c r="P35" s="1" t="str">
        <f>IF(Matches!P12="","",Matches!P12)</f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tr">
        <f>Matches!A13</f>
        <v>M12</v>
      </c>
      <c r="B36" s="1" t="str">
        <f>Matches!B13</f>
        <v>Group</v>
      </c>
      <c r="C36" s="1" t="str">
        <f>Matches!C13</f>
        <v>D</v>
      </c>
      <c r="D36" s="1">
        <f>Matches!D13</f>
        <v>2</v>
      </c>
      <c r="E36" s="1" t="str">
        <f>Matches!E13</f>
        <v>3 (S)</v>
      </c>
      <c r="F36" s="11">
        <f>Matches!F13</f>
        <v>0.65625</v>
      </c>
      <c r="G36" s="1" t="str">
        <f>Matches!G13</f>
        <v>Boldò Glimt</v>
      </c>
      <c r="H36" s="1" t="str">
        <f>Matches!H13</f>
        <v>Piadineria la Salsiccia</v>
      </c>
      <c r="I36" s="1" t="str">
        <f>IF(Matches!I13="","",Matches!I13)</f>
        <v/>
      </c>
      <c r="J36" s="1" t="str">
        <f>IF(Matches!J13="","",Matches!J13)</f>
        <v/>
      </c>
      <c r="K36" s="1" t="str">
        <f>IF(Matches!K13="","",Matches!K13)</f>
        <v/>
      </c>
      <c r="L36" s="1" t="str">
        <f>Matches!L13</f>
        <v>Pending</v>
      </c>
      <c r="M36" s="1" t="str">
        <f>IF(Matches!M13="","",Matches!M13)</f>
        <v/>
      </c>
      <c r="N36" s="1" t="str">
        <f>IF(Matches!N13="","",Matches!N13)</f>
        <v/>
      </c>
      <c r="O36" s="1" t="str">
        <f>IF(Matches!O13="","",Matches!O13)</f>
        <v/>
      </c>
      <c r="P36" s="1" t="str">
        <f>IF(Matches!P13="","",Matches!P13)</f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tr">
        <f>Matches!A14</f>
        <v>M13</v>
      </c>
      <c r="B37" s="1" t="str">
        <f>Matches!B14</f>
        <v>Group</v>
      </c>
      <c r="C37" s="1" t="str">
        <f>Matches!C14</f>
        <v>C</v>
      </c>
      <c r="D37" s="1">
        <f>Matches!D14</f>
        <v>2</v>
      </c>
      <c r="E37" s="1" t="str">
        <f>Matches!E14</f>
        <v>1</v>
      </c>
      <c r="F37" s="11">
        <f>Matches!F14</f>
        <v>0.6875</v>
      </c>
      <c r="G37" s="1" t="str">
        <f>Matches!G14</f>
        <v>Leoni di Ricky</v>
      </c>
      <c r="H37" s="1" t="str">
        <f>Matches!H14</f>
        <v>Barrio Boys</v>
      </c>
      <c r="I37" s="1" t="str">
        <f>IF(Matches!I14="","",Matches!I14)</f>
        <v/>
      </c>
      <c r="J37" s="1" t="str">
        <f>IF(Matches!J14="","",Matches!J14)</f>
        <v/>
      </c>
      <c r="K37" s="1" t="str">
        <f>IF(Matches!K14="","",Matches!K14)</f>
        <v/>
      </c>
      <c r="L37" s="1" t="str">
        <f>Matches!L14</f>
        <v>Pending</v>
      </c>
      <c r="M37" s="1" t="str">
        <f>IF(Matches!M14="","",Matches!M14)</f>
        <v/>
      </c>
      <c r="N37" s="1" t="str">
        <f>IF(Matches!N14="","",Matches!N14)</f>
        <v/>
      </c>
      <c r="O37" s="1" t="str">
        <f>IF(Matches!O14="","",Matches!O14)</f>
        <v/>
      </c>
      <c r="P37" s="1" t="str">
        <f>IF(Matches!P14="","",Matches!P14)</f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tr">
        <f>Matches!A15</f>
        <v>M14</v>
      </c>
      <c r="B38" s="1" t="str">
        <f>Matches!B15</f>
        <v>Group</v>
      </c>
      <c r="C38" s="1" t="str">
        <f>Matches!C15</f>
        <v>C</v>
      </c>
      <c r="D38" s="1">
        <f>Matches!D15</f>
        <v>2</v>
      </c>
      <c r="E38" s="1" t="str">
        <f>Matches!E15</f>
        <v>2</v>
      </c>
      <c r="F38" s="11">
        <f>Matches!F15</f>
        <v>0.6875</v>
      </c>
      <c r="G38" s="1" t="str">
        <f>Matches!G15</f>
        <v>Pink 5ive</v>
      </c>
      <c r="H38" s="1" t="str">
        <f>Matches!H15</f>
        <v>Cani</v>
      </c>
      <c r="I38" s="1" t="str">
        <f>IF(Matches!I15="","",Matches!I15)</f>
        <v/>
      </c>
      <c r="J38" s="1" t="str">
        <f>IF(Matches!J15="","",Matches!J15)</f>
        <v/>
      </c>
      <c r="K38" s="1" t="str">
        <f>IF(Matches!K15="","",Matches!K15)</f>
        <v/>
      </c>
      <c r="L38" s="1" t="str">
        <f>Matches!L15</f>
        <v>Pending</v>
      </c>
      <c r="M38" s="1" t="str">
        <f>IF(Matches!M15="","",Matches!M15)</f>
        <v/>
      </c>
      <c r="N38" s="1" t="str">
        <f>IF(Matches!N15="","",Matches!N15)</f>
        <v/>
      </c>
      <c r="O38" s="1" t="str">
        <f>IF(Matches!O15="","",Matches!O15)</f>
        <v/>
      </c>
      <c r="P38" s="1" t="str">
        <f>IF(Matches!P15="","",Matches!P15)</f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 t="str">
        <f>Matches!A16</f>
        <v>M15</v>
      </c>
      <c r="B39" s="1" t="str">
        <f>Matches!B16</f>
        <v>Group</v>
      </c>
      <c r="C39" s="1" t="str">
        <f>Matches!C16</f>
        <v>A</v>
      </c>
      <c r="D39" s="1">
        <f>Matches!D16</f>
        <v>2</v>
      </c>
      <c r="E39" s="1" t="str">
        <f>Matches!E16</f>
        <v>3 (S)</v>
      </c>
      <c r="F39" s="11">
        <f>Matches!F16</f>
        <v>0.6875</v>
      </c>
      <c r="G39" s="1" t="str">
        <f>Matches!G16</f>
        <v>Fatine FC</v>
      </c>
      <c r="H39" s="1" t="str">
        <f>Matches!H16</f>
        <v>Moviola Utd</v>
      </c>
      <c r="I39" s="1" t="str">
        <f>IF(Matches!I16="","",Matches!I16)</f>
        <v/>
      </c>
      <c r="J39" s="1" t="str">
        <f>IF(Matches!J16="","",Matches!J16)</f>
        <v/>
      </c>
      <c r="K39" s="1" t="str">
        <f>IF(Matches!K16="","",Matches!K16)</f>
        <v/>
      </c>
      <c r="L39" s="1" t="str">
        <f>Matches!L16</f>
        <v>Pending</v>
      </c>
      <c r="M39" s="1" t="str">
        <f>IF(Matches!M16="","",Matches!M16)</f>
        <v/>
      </c>
      <c r="N39" s="1" t="str">
        <f>IF(Matches!N16="","",Matches!N16)</f>
        <v/>
      </c>
      <c r="O39" s="1" t="str">
        <f>IF(Matches!O16="","",Matches!O16)</f>
        <v/>
      </c>
      <c r="P39" s="1" t="str">
        <f>IF(Matches!P16="","",Matches!P16)</f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 t="str">
        <f>Matches!A17</f>
        <v>M16</v>
      </c>
      <c r="B40" s="1" t="str">
        <f>Matches!B17</f>
        <v>Group</v>
      </c>
      <c r="C40" s="1" t="str">
        <f>Matches!C17</f>
        <v>D</v>
      </c>
      <c r="D40" s="1">
        <f>Matches!D17</f>
        <v>3</v>
      </c>
      <c r="E40" s="1" t="str">
        <f>Matches!E17</f>
        <v>1</v>
      </c>
      <c r="F40" s="11">
        <f>Matches!F17</f>
        <v>0.70833333333333337</v>
      </c>
      <c r="G40" s="1" t="str">
        <f>Matches!G17</f>
        <v>All Blacks</v>
      </c>
      <c r="H40" s="1" t="str">
        <f>Matches!H17</f>
        <v>Piadineria la Salsiccia</v>
      </c>
      <c r="I40" s="1" t="str">
        <f>IF(Matches!I17="","",Matches!I17)</f>
        <v/>
      </c>
      <c r="J40" s="1" t="str">
        <f>IF(Matches!J17="","",Matches!J17)</f>
        <v/>
      </c>
      <c r="K40" s="1" t="str">
        <f>IF(Matches!K17="","",Matches!K17)</f>
        <v/>
      </c>
      <c r="L40" s="1" t="str">
        <f>Matches!L17</f>
        <v>Pending</v>
      </c>
      <c r="M40" s="1" t="str">
        <f>IF(Matches!M17="","",Matches!M17)</f>
        <v/>
      </c>
      <c r="N40" s="1" t="str">
        <f>IF(Matches!N17="","",Matches!N17)</f>
        <v/>
      </c>
      <c r="O40" s="1" t="str">
        <f>IF(Matches!O17="","",Matches!O17)</f>
        <v/>
      </c>
      <c r="P40" s="1" t="str">
        <f>IF(Matches!P17="","",Matches!P17)</f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tr">
        <f>Matches!A18</f>
        <v>M17</v>
      </c>
      <c r="B41" s="1" t="str">
        <f>Matches!B18</f>
        <v>Group</v>
      </c>
      <c r="C41" s="1" t="str">
        <f>Matches!C18</f>
        <v>D</v>
      </c>
      <c r="D41" s="1">
        <f>Matches!D18</f>
        <v>3</v>
      </c>
      <c r="E41" s="1" t="str">
        <f>Matches!E18</f>
        <v>2</v>
      </c>
      <c r="F41" s="11">
        <f>Matches!F18</f>
        <v>0.70833333333333337</v>
      </c>
      <c r="G41" s="1" t="str">
        <f>Matches!G18</f>
        <v>Boldò Glimt</v>
      </c>
      <c r="H41" s="1" t="str">
        <f>Matches!H18</f>
        <v>Coca Juniors</v>
      </c>
      <c r="I41" s="1" t="str">
        <f>IF(Matches!I18="","",Matches!I18)</f>
        <v/>
      </c>
      <c r="J41" s="1" t="str">
        <f>IF(Matches!J18="","",Matches!J18)</f>
        <v/>
      </c>
      <c r="K41" s="1" t="str">
        <f>IF(Matches!K18="","",Matches!K18)</f>
        <v/>
      </c>
      <c r="L41" s="1" t="str">
        <f>Matches!L18</f>
        <v>Pending</v>
      </c>
      <c r="M41" s="1" t="str">
        <f>IF(Matches!M18="","",Matches!M18)</f>
        <v/>
      </c>
      <c r="N41" s="1" t="str">
        <f>IF(Matches!N18="","",Matches!N18)</f>
        <v/>
      </c>
      <c r="O41" s="1" t="str">
        <f>IF(Matches!O18="","",Matches!O18)</f>
        <v/>
      </c>
      <c r="P41" s="1" t="str">
        <f>IF(Matches!P18="","",Matches!P18)</f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tr">
        <f>Matches!A19</f>
        <v>M18</v>
      </c>
      <c r="B42" s="1" t="str">
        <f>Matches!B19</f>
        <v>Group</v>
      </c>
      <c r="C42" s="1" t="str">
        <f>Matches!C19</f>
        <v>A</v>
      </c>
      <c r="D42" s="1">
        <f>Matches!D19</f>
        <v>2</v>
      </c>
      <c r="E42" s="1" t="str">
        <f>Matches!E19</f>
        <v>3 (S)</v>
      </c>
      <c r="F42" s="11">
        <f>Matches!F19</f>
        <v>0.70833333333333337</v>
      </c>
      <c r="G42" s="1" t="str">
        <f>Matches!G19</f>
        <v>FC Internazionale Rovigo</v>
      </c>
      <c r="H42" s="1" t="str">
        <f>Matches!H19</f>
        <v>Astolfi Impianti Elettrici</v>
      </c>
      <c r="I42" s="1" t="str">
        <f>IF(Matches!I19="","",Matches!I19)</f>
        <v/>
      </c>
      <c r="J42" s="1" t="str">
        <f>IF(Matches!J19="","",Matches!J19)</f>
        <v/>
      </c>
      <c r="K42" s="1" t="str">
        <f>IF(Matches!K19="","",Matches!K19)</f>
        <v/>
      </c>
      <c r="L42" s="1" t="str">
        <f>Matches!L19</f>
        <v>Pending</v>
      </c>
      <c r="M42" s="1" t="str">
        <f>IF(Matches!M19="","",Matches!M19)</f>
        <v/>
      </c>
      <c r="N42" s="1" t="str">
        <f>IF(Matches!N19="","",Matches!N19)</f>
        <v/>
      </c>
      <c r="O42" s="1" t="str">
        <f>IF(Matches!O19="","",Matches!O19)</f>
        <v/>
      </c>
      <c r="P42" s="1" t="str">
        <f>IF(Matches!P19="","",Matches!P19)</f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tr">
        <f>Matches!A20</f>
        <v>M19</v>
      </c>
      <c r="B43" s="1" t="str">
        <f>Matches!B20</f>
        <v>Group</v>
      </c>
      <c r="C43" s="1" t="str">
        <f>Matches!C20</f>
        <v>B</v>
      </c>
      <c r="D43" s="1">
        <f>Matches!D20</f>
        <v>3</v>
      </c>
      <c r="E43" s="1" t="str">
        <f>Matches!E20</f>
        <v>1</v>
      </c>
      <c r="F43" s="11">
        <f>Matches!F20</f>
        <v>0.72916666666666663</v>
      </c>
      <c r="G43" s="1" t="str">
        <f>Matches!G20</f>
        <v>Totani</v>
      </c>
      <c r="H43" s="1" t="str">
        <f>Matches!H20</f>
        <v>Beverton</v>
      </c>
      <c r="I43" s="1" t="str">
        <f>IF(Matches!I20="","",Matches!I20)</f>
        <v/>
      </c>
      <c r="J43" s="1" t="str">
        <f>IF(Matches!J20="","",Matches!J20)</f>
        <v/>
      </c>
      <c r="K43" s="1" t="str">
        <f>IF(Matches!K20="","",Matches!K20)</f>
        <v/>
      </c>
      <c r="L43" s="1" t="str">
        <f>Matches!L20</f>
        <v>Pending</v>
      </c>
      <c r="M43" s="1" t="str">
        <f>IF(Matches!M20="","",Matches!M20)</f>
        <v/>
      </c>
      <c r="N43" s="1" t="str">
        <f>IF(Matches!N20="","",Matches!N20)</f>
        <v/>
      </c>
      <c r="O43" s="1" t="str">
        <f>IF(Matches!O20="","",Matches!O20)</f>
        <v/>
      </c>
      <c r="P43" s="1" t="str">
        <f>IF(Matches!P20="","",Matches!P20)</f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 t="str">
        <f>Matches!A21</f>
        <v>M20</v>
      </c>
      <c r="B44" s="1" t="str">
        <f>Matches!B21</f>
        <v>Group</v>
      </c>
      <c r="C44" s="1" t="str">
        <f>Matches!C21</f>
        <v>B</v>
      </c>
      <c r="D44" s="1">
        <f>Matches!D21</f>
        <v>3</v>
      </c>
      <c r="E44" s="1" t="str">
        <f>Matches!E21</f>
        <v>2</v>
      </c>
      <c r="F44" s="11">
        <f>Matches!F21</f>
        <v>0.72916666666666663</v>
      </c>
      <c r="G44" s="1" t="str">
        <f>Matches!G21</f>
        <v>Vecchie Glorie Rovigo</v>
      </c>
      <c r="H44" s="1" t="str">
        <f>Matches!H21</f>
        <v>AS Bancatore</v>
      </c>
      <c r="I44" s="1" t="str">
        <f>IF(Matches!I21="","",Matches!I21)</f>
        <v/>
      </c>
      <c r="J44" s="1" t="str">
        <f>IF(Matches!J21="","",Matches!J21)</f>
        <v/>
      </c>
      <c r="K44" s="1" t="str">
        <f>IF(Matches!K21="","",Matches!K21)</f>
        <v/>
      </c>
      <c r="L44" s="1" t="str">
        <f>Matches!L21</f>
        <v>Pending</v>
      </c>
      <c r="M44" s="1" t="str">
        <f>IF(Matches!M21="","",Matches!M21)</f>
        <v/>
      </c>
      <c r="N44" s="1" t="str">
        <f>IF(Matches!N21="","",Matches!N21)</f>
        <v/>
      </c>
      <c r="O44" s="1" t="str">
        <f>IF(Matches!O21="","",Matches!O21)</f>
        <v/>
      </c>
      <c r="P44" s="1" t="str">
        <f>IF(Matches!P21="","",Matches!P21)</f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 t="str">
        <f>Matches!A22</f>
        <v>M21</v>
      </c>
      <c r="B45" s="1" t="str">
        <f>Matches!B22</f>
        <v>Group</v>
      </c>
      <c r="C45" s="1" t="str">
        <f>Matches!C22</f>
        <v>C</v>
      </c>
      <c r="D45" s="1">
        <f>Matches!D22</f>
        <v>3</v>
      </c>
      <c r="E45" s="1" t="str">
        <f>Matches!E22</f>
        <v>3 (S)</v>
      </c>
      <c r="F45" s="11">
        <f>Matches!F22</f>
        <v>0.69930555555555551</v>
      </c>
      <c r="G45" s="1" t="str">
        <f>Matches!G22</f>
        <v>Leoni di Ricky</v>
      </c>
      <c r="H45" s="1" t="str">
        <f>Matches!H22</f>
        <v>Cani</v>
      </c>
      <c r="I45" s="1" t="str">
        <f>IF(Matches!I22="","",Matches!I22)</f>
        <v/>
      </c>
      <c r="J45" s="1" t="str">
        <f>IF(Matches!J22="","",Matches!J22)</f>
        <v/>
      </c>
      <c r="K45" s="1" t="str">
        <f>IF(Matches!K22="","",Matches!K22)</f>
        <v/>
      </c>
      <c r="L45" s="1" t="str">
        <f>Matches!L22</f>
        <v>Pending</v>
      </c>
      <c r="M45" s="1" t="str">
        <f>IF(Matches!M22="","",Matches!M22)</f>
        <v/>
      </c>
      <c r="N45" s="1" t="str">
        <f>IF(Matches!N22="","",Matches!N22)</f>
        <v/>
      </c>
      <c r="O45" s="1" t="str">
        <f>IF(Matches!O22="","",Matches!O22)</f>
        <v/>
      </c>
      <c r="P45" s="1" t="str">
        <f>IF(Matches!P22="","",Matches!P22)</f>
        <v/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 t="str">
        <f>Matches!A23</f>
        <v>M22</v>
      </c>
      <c r="B46" s="1" t="str">
        <f>Matches!B23</f>
        <v>Group</v>
      </c>
      <c r="C46" s="1" t="str">
        <f>Matches!C23</f>
        <v>A</v>
      </c>
      <c r="D46" s="1">
        <f>Matches!D23</f>
        <v>3</v>
      </c>
      <c r="E46" s="1" t="str">
        <f>Matches!E23</f>
        <v>1</v>
      </c>
      <c r="F46" s="11">
        <f>Matches!F23</f>
        <v>0.75</v>
      </c>
      <c r="G46" s="1" t="str">
        <f>Matches!G23</f>
        <v>Fatine FC</v>
      </c>
      <c r="H46" s="1" t="str">
        <f>Matches!H23</f>
        <v>Astolfi Impianti Elettrici</v>
      </c>
      <c r="I46" s="1" t="str">
        <f>IF(Matches!I23="","",Matches!I23)</f>
        <v/>
      </c>
      <c r="J46" s="1" t="str">
        <f>IF(Matches!J23="","",Matches!J23)</f>
        <v/>
      </c>
      <c r="K46" s="1" t="str">
        <f>IF(Matches!K23="","",Matches!K23)</f>
        <v/>
      </c>
      <c r="L46" s="1" t="str">
        <f>Matches!L23</f>
        <v>Pending</v>
      </c>
      <c r="M46" s="1" t="str">
        <f>IF(Matches!M23="","",Matches!M23)</f>
        <v/>
      </c>
      <c r="N46" s="1" t="str">
        <f>IF(Matches!N23="","",Matches!N23)</f>
        <v/>
      </c>
      <c r="O46" s="1" t="str">
        <f>IF(Matches!O23="","",Matches!O23)</f>
        <v/>
      </c>
      <c r="P46" s="1" t="str">
        <f>IF(Matches!P23="","",Matches!P23)</f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 t="str">
        <f>Matches!A24</f>
        <v>M23</v>
      </c>
      <c r="B47" s="1" t="str">
        <f>Matches!B24</f>
        <v>Group</v>
      </c>
      <c r="C47" s="1" t="str">
        <f>Matches!C24</f>
        <v>A</v>
      </c>
      <c r="D47" s="1">
        <f>Matches!D24</f>
        <v>3</v>
      </c>
      <c r="E47" s="1" t="str">
        <f>Matches!E24</f>
        <v>2</v>
      </c>
      <c r="F47" s="11">
        <f>Matches!F24</f>
        <v>0.75</v>
      </c>
      <c r="G47" s="1" t="str">
        <f>Matches!G24</f>
        <v>FC Internazionale Rovigo</v>
      </c>
      <c r="H47" s="1" t="str">
        <f>Matches!H24</f>
        <v>Moviola Utd</v>
      </c>
      <c r="I47" s="1" t="str">
        <f>IF(Matches!I24="","",Matches!I24)</f>
        <v/>
      </c>
      <c r="J47" s="1" t="str">
        <f>IF(Matches!J24="","",Matches!J24)</f>
        <v/>
      </c>
      <c r="K47" s="1" t="str">
        <f>IF(Matches!K24="","",Matches!K24)</f>
        <v/>
      </c>
      <c r="L47" s="1" t="str">
        <f>Matches!L24</f>
        <v>Pending</v>
      </c>
      <c r="M47" s="1" t="str">
        <f>IF(Matches!M24="","",Matches!M24)</f>
        <v/>
      </c>
      <c r="N47" s="1" t="str">
        <f>IF(Matches!N24="","",Matches!N24)</f>
        <v/>
      </c>
      <c r="O47" s="1" t="str">
        <f>IF(Matches!O24="","",Matches!O24)</f>
        <v/>
      </c>
      <c r="P47" s="1" t="str">
        <f>IF(Matches!P24="","",Matches!P24)</f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 t="str">
        <f>Matches!A25</f>
        <v>M24</v>
      </c>
      <c r="B48" s="1" t="str">
        <f>Matches!B25</f>
        <v>Group</v>
      </c>
      <c r="C48" s="1" t="str">
        <f>Matches!C25</f>
        <v>C</v>
      </c>
      <c r="D48" s="1">
        <f>Matches!D25</f>
        <v>3</v>
      </c>
      <c r="E48" s="1" t="str">
        <f>Matches!E25</f>
        <v>3 (S)</v>
      </c>
      <c r="F48" s="11">
        <f>Matches!F25</f>
        <v>0.75</v>
      </c>
      <c r="G48" s="1" t="str">
        <f>Matches!G25</f>
        <v>Pink 5ive</v>
      </c>
      <c r="H48" s="1" t="str">
        <f>Matches!H25</f>
        <v>Barrio Boys</v>
      </c>
      <c r="I48" s="1" t="str">
        <f>IF(Matches!I25="","",Matches!I25)</f>
        <v/>
      </c>
      <c r="J48" s="1" t="str">
        <f>IF(Matches!J25="","",Matches!J25)</f>
        <v/>
      </c>
      <c r="K48" s="1" t="str">
        <f>IF(Matches!K25="","",Matches!K25)</f>
        <v/>
      </c>
      <c r="L48" s="1" t="str">
        <f>Matches!L25</f>
        <v>Pending</v>
      </c>
      <c r="M48" s="1" t="str">
        <f>IF(Matches!M25="","",Matches!M25)</f>
        <v/>
      </c>
      <c r="N48" s="1" t="str">
        <f>IF(Matches!N25="","",Matches!N25)</f>
        <v/>
      </c>
      <c r="O48" s="1" t="str">
        <f>IF(Matches!O25="","",Matches!O25)</f>
        <v/>
      </c>
      <c r="P48" s="1" t="str">
        <f>IF(Matches!P25="","",Matches!P25)</f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f>IF(TopScorers!A46="","",TopScorers!A46)</f>
        <v>45</v>
      </c>
      <c r="O49" s="1" t="str">
        <f>IF(TopScorers!B46="","",TopScorers!B46)</f>
        <v/>
      </c>
      <c r="P49" s="1" t="str">
        <f>IF(TopScorers!C46="","",TopScorers!C46)</f>
        <v/>
      </c>
      <c r="Q49" s="1" t="str">
        <f>IF(TopScorers!D46="","",TopScorers!D46)</f>
        <v/>
      </c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>
        <f>IF(TopScorers!A47="","",TopScorers!A47)</f>
        <v>46</v>
      </c>
      <c r="O50" s="1" t="str">
        <f>IF(TopScorers!B47="","",TopScorers!B47)</f>
        <v/>
      </c>
      <c r="P50" s="1" t="str">
        <f>IF(TopScorers!C47="","",TopScorers!C47)</f>
        <v/>
      </c>
      <c r="Q50" s="1" t="str">
        <f>IF(TopScorers!D47="","",TopScorers!D47)</f>
        <v/>
      </c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22" t="s">
        <v>380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">
        <f>IF(TopScorers!A48="","",TopScorers!A48)</f>
        <v>47</v>
      </c>
      <c r="O51" s="1" t="str">
        <f>IF(TopScorers!B48="","",TopScorers!B48)</f>
        <v/>
      </c>
      <c r="P51" s="1" t="str">
        <f>IF(TopScorers!C48="","",TopScorers!C48)</f>
        <v/>
      </c>
      <c r="Q51" s="1" t="str">
        <f>IF(TopScorers!D48="","",TopScorers!D48)</f>
        <v/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28.8" customHeight="1" x14ac:dyDescent="0.3">
      <c r="A52" s="7" t="s">
        <v>362</v>
      </c>
      <c r="B52" s="7" t="s">
        <v>363</v>
      </c>
      <c r="C52" s="7" t="s">
        <v>347</v>
      </c>
      <c r="D52" s="7" t="s">
        <v>364</v>
      </c>
      <c r="E52" s="7" t="s">
        <v>365</v>
      </c>
      <c r="F52" s="7" t="s">
        <v>366</v>
      </c>
      <c r="G52" s="1" t="s">
        <v>367</v>
      </c>
      <c r="H52" s="1" t="s">
        <v>368</v>
      </c>
      <c r="I52" s="1" t="s">
        <v>369</v>
      </c>
      <c r="J52" s="1" t="s">
        <v>370</v>
      </c>
      <c r="K52" s="1" t="s">
        <v>371</v>
      </c>
      <c r="L52" s="1" t="s">
        <v>375</v>
      </c>
      <c r="M52" s="1" t="s">
        <v>376</v>
      </c>
      <c r="N52" s="1">
        <f>IF(TopScorers!A49="","",TopScorers!A49)</f>
        <v>48</v>
      </c>
      <c r="O52" s="1" t="str">
        <f>IF(TopScorers!B49="","",TopScorers!B49)</f>
        <v/>
      </c>
      <c r="P52" s="1" t="str">
        <f>IF(TopScorers!C49="","",TopScorers!C49)</f>
        <v/>
      </c>
      <c r="Q52" s="1" t="str">
        <f>IF(TopScorers!D49="","",TopScorers!D49)</f>
        <v/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28.8" customHeight="1" x14ac:dyDescent="0.3">
      <c r="A53" s="1" t="str">
        <f>Knockout!A2</f>
        <v>QF1</v>
      </c>
      <c r="B53" s="1" t="str">
        <f>Knockout!B2</f>
        <v>Quarter-final</v>
      </c>
      <c r="C53" s="1">
        <f>Knockout!C2</f>
        <v>0</v>
      </c>
      <c r="D53" s="1">
        <f>Knockout!D2</f>
        <v>0</v>
      </c>
      <c r="E53" s="1" t="str">
        <f>Knockout!E2</f>
        <v>1</v>
      </c>
      <c r="F53" s="13">
        <f>Knockout!F2</f>
        <v>0.74027777777777781</v>
      </c>
      <c r="G53" s="1">
        <f>Knockout!G2</f>
        <v>0</v>
      </c>
      <c r="H53" s="1">
        <f>Knockout!H2</f>
        <v>0</v>
      </c>
      <c r="I53" s="1" t="str">
        <f>IF(Knockout!I2="","",Knockout!I2)</f>
        <v/>
      </c>
      <c r="J53" s="1" t="str">
        <f>IF(Knockout!J2="","",Knockout!J2)</f>
        <v/>
      </c>
      <c r="K53" s="1" t="str">
        <f>IF(Knockout!K2="","",Knockout!K2)</f>
        <v/>
      </c>
      <c r="L53" s="1" t="str">
        <f>IF(Knockout!L2="","",Knockout!L2)</f>
        <v/>
      </c>
      <c r="M53" s="1" t="str">
        <f>IF(Knockout!M2="","",Knockout!M2)</f>
        <v/>
      </c>
      <c r="N53" s="1">
        <f>IF(TopScorers!A50="","",TopScorers!A50)</f>
        <v>49</v>
      </c>
      <c r="O53" s="1" t="str">
        <f>IF(TopScorers!B50="","",TopScorers!B50)</f>
        <v/>
      </c>
      <c r="P53" s="1" t="str">
        <f>IF(TopScorers!C50="","",TopScorers!C50)</f>
        <v/>
      </c>
      <c r="Q53" s="1" t="str">
        <f>IF(TopScorers!D50="","",TopScorers!D50)</f>
        <v/>
      </c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 t="str">
        <f>Knockout!A3</f>
        <v>QF2</v>
      </c>
      <c r="B54" s="1" t="str">
        <f>Knockout!B3</f>
        <v>Quarter-final</v>
      </c>
      <c r="C54" s="1">
        <f>Knockout!C3</f>
        <v>0</v>
      </c>
      <c r="D54" s="1">
        <f>Knockout!D3</f>
        <v>0</v>
      </c>
      <c r="E54" s="1" t="str">
        <f>Knockout!E3</f>
        <v>2</v>
      </c>
      <c r="F54" s="13" t="str">
        <f>Knockout!F3</f>
        <v>20:00</v>
      </c>
      <c r="G54" s="1">
        <f>Knockout!G3</f>
        <v>0</v>
      </c>
      <c r="H54" s="1">
        <f>Knockout!H3</f>
        <v>0</v>
      </c>
      <c r="I54" s="1" t="str">
        <f>IF(Knockout!I3="","",Knockout!I3)</f>
        <v/>
      </c>
      <c r="J54" s="1" t="str">
        <f>IF(Knockout!J3="","",Knockout!J3)</f>
        <v/>
      </c>
      <c r="K54" s="1" t="str">
        <f>IF(Knockout!K3="","",Knockout!K3)</f>
        <v/>
      </c>
      <c r="L54" s="1" t="str">
        <f>IF(Knockout!L3="","",Knockout!L3)</f>
        <v/>
      </c>
      <c r="M54" s="1" t="str">
        <f>IF(Knockout!M3="","",Knockout!M3)</f>
        <v/>
      </c>
      <c r="N54" s="1">
        <f>IF(TopScorers!A51="","",TopScorers!A51)</f>
        <v>50</v>
      </c>
      <c r="O54" s="1" t="str">
        <f>IF(TopScorers!B51="","",TopScorers!B51)</f>
        <v/>
      </c>
      <c r="P54" s="1" t="str">
        <f>IF(TopScorers!C51="","",TopScorers!C51)</f>
        <v/>
      </c>
      <c r="Q54" s="1" t="str">
        <f>IF(TopScorers!D51="","",TopScorers!D51)</f>
        <v/>
      </c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 t="str">
        <f>Knockout!A4</f>
        <v>QF3</v>
      </c>
      <c r="B55" s="1" t="str">
        <f>Knockout!B4</f>
        <v>Quarter-final</v>
      </c>
      <c r="C55" s="1">
        <f>Knockout!C4</f>
        <v>0</v>
      </c>
      <c r="D55" s="1">
        <f>Knockout!D4</f>
        <v>0</v>
      </c>
      <c r="E55" s="1" t="str">
        <f>Knockout!E4</f>
        <v>1</v>
      </c>
      <c r="F55" s="13" t="str">
        <f>Knockout!F4</f>
        <v>20:45</v>
      </c>
      <c r="G55" s="1">
        <f>Knockout!G4</f>
        <v>0</v>
      </c>
      <c r="H55" s="1">
        <f>Knockout!H4</f>
        <v>0</v>
      </c>
      <c r="I55" s="1" t="str">
        <f>IF(Knockout!I4="","",Knockout!I4)</f>
        <v/>
      </c>
      <c r="J55" s="1" t="str">
        <f>IF(Knockout!J4="","",Knockout!J4)</f>
        <v/>
      </c>
      <c r="K55" s="1" t="str">
        <f>IF(Knockout!K4="","",Knockout!K4)</f>
        <v/>
      </c>
      <c r="L55" s="1" t="str">
        <f>IF(Knockout!L4="","",Knockout!L4)</f>
        <v/>
      </c>
      <c r="M55" s="1" t="str">
        <f>IF(Knockout!M4="","",Knockout!M4)</f>
        <v/>
      </c>
      <c r="N55" s="1" t="str">
        <f>IF(TopScorers!A52="","",TopScorers!A52)</f>
        <v/>
      </c>
      <c r="O55" s="1" t="str">
        <f>IF(TopScorers!B52="","",TopScorers!B52)</f>
        <v/>
      </c>
      <c r="P55" s="1" t="str">
        <f>IF(TopScorers!C52="","",TopScorers!C52)</f>
        <v/>
      </c>
      <c r="Q55" s="1" t="str">
        <f>IF(TopScorers!D52="","",TopScorers!D52)</f>
        <v/>
      </c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 t="str">
        <f>Knockout!A5</f>
        <v>QF4</v>
      </c>
      <c r="B56" s="1" t="str">
        <f>Knockout!B5</f>
        <v>Quarter-final</v>
      </c>
      <c r="C56" s="1">
        <f>Knockout!C5</f>
        <v>0</v>
      </c>
      <c r="D56" s="1">
        <f>Knockout!D5</f>
        <v>0</v>
      </c>
      <c r="E56" s="1" t="str">
        <f>Knockout!E5</f>
        <v>2</v>
      </c>
      <c r="F56" s="13" t="str">
        <f>Knockout!F5</f>
        <v>20:45</v>
      </c>
      <c r="G56" s="1">
        <f>Knockout!G5</f>
        <v>0</v>
      </c>
      <c r="H56" s="1">
        <f>Knockout!H5</f>
        <v>0</v>
      </c>
      <c r="I56" s="1" t="str">
        <f>IF(Knockout!I5="","",Knockout!I5)</f>
        <v/>
      </c>
      <c r="J56" s="1" t="str">
        <f>IF(Knockout!J5="","",Knockout!J5)</f>
        <v/>
      </c>
      <c r="K56" s="1" t="str">
        <f>IF(Knockout!K5="","",Knockout!K5)</f>
        <v/>
      </c>
      <c r="L56" s="1" t="str">
        <f>IF(Knockout!L5="","",Knockout!L5)</f>
        <v/>
      </c>
      <c r="M56" s="1" t="str">
        <f>IF(Knockout!M5="","",Knockout!M5)</f>
        <v/>
      </c>
      <c r="N56" s="1" t="str">
        <f>IF(TopScorers!A53="","",TopScorers!A53)</f>
        <v/>
      </c>
      <c r="O56" s="1" t="str">
        <f>IF(TopScorers!B53="","",TopScorers!B53)</f>
        <v/>
      </c>
      <c r="P56" s="1" t="str">
        <f>IF(TopScorers!C53="","",TopScorers!C53)</f>
        <v/>
      </c>
      <c r="Q56" s="1" t="str">
        <f>IF(TopScorers!D53="","",TopScorers!D53)</f>
        <v/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28.8" customHeight="1" x14ac:dyDescent="0.3">
      <c r="A57" s="1" t="str">
        <f>Knockout!A6</f>
        <v>SF1</v>
      </c>
      <c r="B57" s="1" t="str">
        <f>Knockout!B6</f>
        <v>Semi-final</v>
      </c>
      <c r="C57" s="1">
        <f>Knockout!C6</f>
        <v>0</v>
      </c>
      <c r="D57" s="1">
        <f>Knockout!D6</f>
        <v>0</v>
      </c>
      <c r="E57" s="1" t="str">
        <f>Knockout!E6</f>
        <v>1</v>
      </c>
      <c r="F57" s="13" t="str">
        <f>Knockout!F6</f>
        <v>21:45</v>
      </c>
      <c r="G57" s="1">
        <f>Knockout!G6</f>
        <v>0</v>
      </c>
      <c r="H57" s="1">
        <f>Knockout!H6</f>
        <v>0</v>
      </c>
      <c r="I57" s="1" t="str">
        <f>IF(Knockout!I6="","",Knockout!I6)</f>
        <v/>
      </c>
      <c r="J57" s="1" t="str">
        <f>IF(Knockout!J6="","",Knockout!J6)</f>
        <v/>
      </c>
      <c r="K57" s="1" t="str">
        <f>IF(Knockout!K6="","",Knockout!K6)</f>
        <v/>
      </c>
      <c r="L57" s="1" t="str">
        <f>IF(Knockout!L6="","",Knockout!L6)</f>
        <v/>
      </c>
      <c r="M57" s="1" t="str">
        <f>IF(Knockout!M6="","",Knockout!M6)</f>
        <v/>
      </c>
      <c r="N57" s="1" t="str">
        <f>IF(TopScorers!A54="","",TopScorers!A54)</f>
        <v/>
      </c>
      <c r="O57" s="1" t="str">
        <f>IF(TopScorers!B54="","",TopScorers!B54)</f>
        <v/>
      </c>
      <c r="P57" s="1" t="str">
        <f>IF(TopScorers!C54="","",TopScorers!C54)</f>
        <v/>
      </c>
      <c r="Q57" s="1" t="str">
        <f>IF(TopScorers!D54="","",TopScorers!D54)</f>
        <v/>
      </c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 t="str">
        <f>Knockout!A7</f>
        <v>SF2</v>
      </c>
      <c r="B58" s="1" t="str">
        <f>Knockout!B7</f>
        <v>Semi-final</v>
      </c>
      <c r="C58" s="1">
        <f>Knockout!C7</f>
        <v>0</v>
      </c>
      <c r="D58" s="1">
        <f>Knockout!D7</f>
        <v>0</v>
      </c>
      <c r="E58" s="1" t="str">
        <f>Knockout!E7</f>
        <v>2</v>
      </c>
      <c r="F58" s="13" t="str">
        <f>Knockout!F7</f>
        <v>21:45</v>
      </c>
      <c r="G58" s="1">
        <f>Knockout!G7</f>
        <v>0</v>
      </c>
      <c r="H58" s="1">
        <f>Knockout!H7</f>
        <v>0</v>
      </c>
      <c r="I58" s="1" t="str">
        <f>IF(Knockout!I7="","",Knockout!I7)</f>
        <v/>
      </c>
      <c r="J58" s="1" t="str">
        <f>IF(Knockout!J7="","",Knockout!J7)</f>
        <v/>
      </c>
      <c r="K58" s="1" t="str">
        <f>IF(Knockout!K7="","",Knockout!K7)</f>
        <v/>
      </c>
      <c r="L58" s="1" t="str">
        <f>IF(Knockout!L7="","",Knockout!L7)</f>
        <v/>
      </c>
      <c r="M58" s="1" t="str">
        <f>IF(Knockout!M7="","",Knockout!M7)</f>
        <v/>
      </c>
      <c r="N58" s="1" t="str">
        <f>IF(TopScorers!A55="","",TopScorers!A55)</f>
        <v/>
      </c>
      <c r="O58" s="1" t="str">
        <f>IF(TopScorers!B55="","",TopScorers!B55)</f>
        <v/>
      </c>
      <c r="P58" s="1" t="str">
        <f>IF(TopScorers!C55="","",TopScorers!C55)</f>
        <v/>
      </c>
      <c r="Q58" s="1" t="str">
        <f>IF(TopScorers!D55="","",TopScorers!D55)</f>
        <v/>
      </c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 t="str">
        <f>Knockout!A8</f>
        <v>FIN</v>
      </c>
      <c r="B59" s="1" t="str">
        <f>Knockout!B8</f>
        <v>Final</v>
      </c>
      <c r="C59" s="1">
        <f>Knockout!C8</f>
        <v>0</v>
      </c>
      <c r="D59" s="1">
        <f>Knockout!D8</f>
        <v>0</v>
      </c>
      <c r="E59" s="1">
        <f>Knockout!E8</f>
        <v>0</v>
      </c>
      <c r="F59" s="13">
        <f>Knockout!F8</f>
        <v>0.4548611111111111</v>
      </c>
      <c r="G59" s="1">
        <f>Knockout!G8</f>
        <v>0</v>
      </c>
      <c r="H59" s="1">
        <f>Knockout!H8</f>
        <v>0</v>
      </c>
      <c r="I59" s="1" t="str">
        <f>IF(Knockout!I8="","",Knockout!I8)</f>
        <v/>
      </c>
      <c r="J59" s="1" t="str">
        <f>IF(Knockout!J8="","",Knockout!J8)</f>
        <v/>
      </c>
      <c r="K59" s="1" t="str">
        <f>IF(Knockout!K8="","",Knockout!K8)</f>
        <v/>
      </c>
      <c r="L59" s="1" t="str">
        <f>IF(Knockout!L8="","",Knockout!L8)</f>
        <v/>
      </c>
      <c r="M59" s="1" t="str">
        <f>IF(Knockout!M8="","",Knockout!M8)</f>
        <v/>
      </c>
      <c r="N59" s="1" t="str">
        <f>IF(TopScorers!A56="","",TopScorers!A56)</f>
        <v/>
      </c>
      <c r="O59" s="1" t="str">
        <f>IF(TopScorers!B56="","",TopScorers!B56)</f>
        <v/>
      </c>
      <c r="P59" s="1" t="str">
        <f>IF(TopScorers!C56="","",TopScorers!C56)</f>
        <v/>
      </c>
      <c r="Q59" s="1" t="str">
        <f>IF(TopScorers!D56="","",TopScorers!D56)</f>
        <v/>
      </c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tr">
        <f>IF(TopScorers!A57="","",TopScorers!A57)</f>
        <v/>
      </c>
      <c r="O60" s="1" t="str">
        <f>IF(TopScorers!B57="","",TopScorers!B57)</f>
        <v/>
      </c>
      <c r="P60" s="1" t="str">
        <f>IF(TopScorers!C57="","",TopScorers!C57)</f>
        <v/>
      </c>
      <c r="Q60" s="1" t="str">
        <f>IF(TopScorers!D57="","",TopScorers!D57)</f>
        <v/>
      </c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22" t="s">
        <v>381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" t="str">
        <f>IF(TopScorers!A58="","",TopScorers!A58)</f>
        <v/>
      </c>
      <c r="O61" s="1" t="str">
        <f>IF(TopScorers!B58="","",TopScorers!B58)</f>
        <v/>
      </c>
      <c r="P61" s="1" t="str">
        <f>IF(TopScorers!C58="","",TopScorers!C58)</f>
        <v/>
      </c>
      <c r="Q61" s="1" t="str">
        <f>IF(TopScorers!D58="","",TopScorers!D58)</f>
        <v/>
      </c>
      <c r="R61" s="1"/>
      <c r="S61" s="1"/>
      <c r="T61" s="1"/>
      <c r="U61" s="1"/>
      <c r="V61" s="1"/>
      <c r="W61" s="1"/>
      <c r="X61" s="1"/>
      <c r="Y61" s="1"/>
      <c r="Z61" s="1"/>
    </row>
    <row r="62" spans="1:26" ht="28.8" customHeight="1" x14ac:dyDescent="0.3">
      <c r="A62" s="7" t="s">
        <v>362</v>
      </c>
      <c r="B62" s="7" t="s">
        <v>382</v>
      </c>
      <c r="C62" s="7" t="s">
        <v>383</v>
      </c>
      <c r="D62" s="7" t="s">
        <v>384</v>
      </c>
      <c r="E62" s="7" t="s">
        <v>359</v>
      </c>
      <c r="F62" s="7" t="s">
        <v>385</v>
      </c>
      <c r="G62" s="1"/>
      <c r="H62" s="1"/>
      <c r="I62" s="1"/>
      <c r="J62" s="1"/>
      <c r="K62" s="1"/>
      <c r="L62" s="1"/>
      <c r="M62" s="1"/>
      <c r="N62" s="1" t="str">
        <f>IF(TopScorers!A59="","",TopScorers!A59)</f>
        <v/>
      </c>
      <c r="O62" s="1" t="str">
        <f>IF(TopScorers!B59="","",TopScorers!B59)</f>
        <v/>
      </c>
      <c r="P62" s="1" t="str">
        <f>IF(TopScorers!C59="","",TopScorers!C59)</f>
        <v/>
      </c>
      <c r="Q62" s="1" t="str">
        <f>IF(TopScorers!D59="","",TopScorers!D59)</f>
        <v/>
      </c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 t="str">
        <f>IF(Goals!A2="","",Goals!A2)</f>
        <v>M01</v>
      </c>
      <c r="B63" s="1" t="str">
        <f>IF(Goals!A2="","",Goals!B2)</f>
        <v>All Blacks</v>
      </c>
      <c r="C63" s="1">
        <f>IF(Goals!A2="","",Goals!C2)</f>
        <v>1</v>
      </c>
      <c r="D63" s="1" t="str">
        <f>IF(Goals!A2="","",Goals!D2)</f>
        <v>Goal</v>
      </c>
      <c r="E63" s="1" t="str">
        <f>IF(Goals!A2="","",Goals!E2)</f>
        <v>5 - NICOLA BRESCIANI</v>
      </c>
      <c r="F63" s="1" t="str">
        <f>IF(Goals!A2="","",Goals!F2)</f>
        <v>All Blacks</v>
      </c>
      <c r="G63" s="1"/>
      <c r="H63" s="1"/>
      <c r="I63" s="1"/>
      <c r="J63" s="1"/>
      <c r="K63" s="1"/>
      <c r="L63" s="1"/>
      <c r="M63" s="1"/>
      <c r="N63" s="1" t="str">
        <f>IF(TopScorers!A60="","",TopScorers!A60)</f>
        <v/>
      </c>
      <c r="O63" s="1" t="str">
        <f>IF(TopScorers!B60="","",TopScorers!B60)</f>
        <v/>
      </c>
      <c r="P63" s="1" t="str">
        <f>IF(TopScorers!C60="","",TopScorers!C60)</f>
        <v/>
      </c>
      <c r="Q63" s="1" t="str">
        <f>IF(TopScorers!D60="","",TopScorers!D60)</f>
        <v/>
      </c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 t="str">
        <f>IF(Goals!A3="","",Goals!A3)</f>
        <v>M01</v>
      </c>
      <c r="B64" s="1" t="str">
        <f>IF(Goals!A3="","",Goals!B3)</f>
        <v>Boldò Glimt</v>
      </c>
      <c r="C64" s="1">
        <f>IF(Goals!A3="","",Goals!C3)</f>
        <v>1</v>
      </c>
      <c r="D64" s="1" t="str">
        <f>IF(Goals!A3="","",Goals!D3)</f>
        <v>Goal</v>
      </c>
      <c r="E64" s="1" t="str">
        <f>IF(Goals!A3="","",Goals!E3)</f>
        <v>21 - LUCA CECCONELLO</v>
      </c>
      <c r="F64" s="1" t="str">
        <f>IF(Goals!A3="","",Goals!F3)</f>
        <v>Boldò Glimt</v>
      </c>
      <c r="G64" s="1"/>
      <c r="H64" s="1"/>
      <c r="I64" s="1"/>
      <c r="J64" s="1"/>
      <c r="K64" s="1"/>
      <c r="L64" s="1"/>
      <c r="M64" s="1"/>
      <c r="N64" s="1" t="str">
        <f>IF(TopScorers!A61="","",TopScorers!A61)</f>
        <v/>
      </c>
      <c r="O64" s="1" t="str">
        <f>IF(TopScorers!B61="","",TopScorers!B61)</f>
        <v/>
      </c>
      <c r="P64" s="1" t="str">
        <f>IF(TopScorers!C61="","",TopScorers!C61)</f>
        <v/>
      </c>
      <c r="Q64" s="1" t="str">
        <f>IF(TopScorers!D61="","",TopScorers!D61)</f>
        <v/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28.8" customHeight="1" x14ac:dyDescent="0.3">
      <c r="A65" s="1" t="str">
        <f>IF(Goals!A4="","",Goals!A4)</f>
        <v>M01</v>
      </c>
      <c r="B65" s="1" t="str">
        <f>IF(Goals!A4="","",Goals!B4)</f>
        <v>Boldò Glimt</v>
      </c>
      <c r="C65" s="1">
        <f>IF(Goals!A4="","",Goals!C4)</f>
        <v>2</v>
      </c>
      <c r="D65" s="1" t="str">
        <f>IF(Goals!A4="","",Goals!D4)</f>
        <v>Goal</v>
      </c>
      <c r="E65" s="1" t="str">
        <f>IF(Goals!A4="","",Goals!E4)</f>
        <v>21 - LUCA CECCONELLO</v>
      </c>
      <c r="F65" s="1" t="str">
        <f>IF(Goals!A4="","",Goals!F4)</f>
        <v>Boldò Glimt</v>
      </c>
      <c r="G65" s="1"/>
      <c r="H65" s="1"/>
      <c r="I65" s="1"/>
      <c r="J65" s="1"/>
      <c r="K65" s="1"/>
      <c r="L65" s="1"/>
      <c r="M65" s="1"/>
      <c r="N65" s="1" t="str">
        <f>IF(TopScorers!A62="","",TopScorers!A62)</f>
        <v/>
      </c>
      <c r="O65" s="1" t="str">
        <f>IF(TopScorers!B62="","",TopScorers!B62)</f>
        <v/>
      </c>
      <c r="P65" s="1" t="str">
        <f>IF(TopScorers!C62="","",TopScorers!C62)</f>
        <v/>
      </c>
      <c r="Q65" s="1" t="str">
        <f>IF(TopScorers!D62="","",TopScorers!D62)</f>
        <v/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28.8" customHeight="1" x14ac:dyDescent="0.3">
      <c r="A66" s="1" t="str">
        <f>IF(Goals!A5="","",Goals!A5)</f>
        <v/>
      </c>
      <c r="B66" s="1" t="str">
        <f>IF(Goals!A5="","",Goals!B5)</f>
        <v/>
      </c>
      <c r="C66" s="1" t="str">
        <f>IF(Goals!A5="","",Goals!C5)</f>
        <v/>
      </c>
      <c r="D66" s="1" t="str">
        <f>IF(Goals!A5="","",Goals!D5)</f>
        <v/>
      </c>
      <c r="E66" s="1" t="str">
        <f>IF(Goals!A5="","",Goals!E5)</f>
        <v/>
      </c>
      <c r="F66" s="1" t="str">
        <f>IF(Goals!A5="","",Goals!F5)</f>
        <v/>
      </c>
      <c r="G66" s="1"/>
      <c r="H66" s="1"/>
      <c r="I66" s="1"/>
      <c r="J66" s="1"/>
      <c r="K66" s="1"/>
      <c r="L66" s="1"/>
      <c r="M66" s="1"/>
      <c r="N66" s="1" t="str">
        <f>IF(TopScorers!A63="","",TopScorers!A63)</f>
        <v/>
      </c>
      <c r="O66" s="1" t="str">
        <f>IF(TopScorers!B63="","",TopScorers!B63)</f>
        <v/>
      </c>
      <c r="P66" s="1" t="str">
        <f>IF(TopScorers!C63="","",TopScorers!C63)</f>
        <v/>
      </c>
      <c r="Q66" s="1" t="str">
        <f>IF(TopScorers!D63="","",TopScorers!D63)</f>
        <v/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28.8" customHeight="1" x14ac:dyDescent="0.3">
      <c r="A67" s="1" t="str">
        <f>IF(Goals!A6="","",Goals!A6)</f>
        <v/>
      </c>
      <c r="B67" s="1" t="str">
        <f>IF(Goals!A6="","",Goals!B6)</f>
        <v/>
      </c>
      <c r="C67" s="1" t="str">
        <f>IF(Goals!A6="","",Goals!C6)</f>
        <v/>
      </c>
      <c r="D67" s="1" t="str">
        <f>IF(Goals!A6="","",Goals!D6)</f>
        <v/>
      </c>
      <c r="E67" s="1" t="str">
        <f>IF(Goals!A6="","",Goals!E6)</f>
        <v/>
      </c>
      <c r="F67" s="1" t="str">
        <f>IF(Goals!A6="","",Goals!F6)</f>
        <v/>
      </c>
      <c r="G67" s="1"/>
      <c r="H67" s="1"/>
      <c r="I67" s="1"/>
      <c r="J67" s="1"/>
      <c r="K67" s="1"/>
      <c r="L67" s="1"/>
      <c r="M67" s="1"/>
      <c r="N67" s="1" t="str">
        <f>IF(TopScorers!A64="","",TopScorers!A64)</f>
        <v/>
      </c>
      <c r="O67" s="1" t="str">
        <f>IF(TopScorers!B64="","",TopScorers!B64)</f>
        <v/>
      </c>
      <c r="P67" s="1" t="str">
        <f>IF(TopScorers!C64="","",TopScorers!C64)</f>
        <v/>
      </c>
      <c r="Q67" s="1" t="str">
        <f>IF(TopScorers!D64="","",TopScorers!D64)</f>
        <v/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28.8" customHeight="1" x14ac:dyDescent="0.3">
      <c r="A68" s="1" t="str">
        <f>IF(Goals!A7="","",Goals!A7)</f>
        <v/>
      </c>
      <c r="B68" s="1" t="str">
        <f>IF(Goals!A7="","",Goals!B7)</f>
        <v/>
      </c>
      <c r="C68" s="1" t="str">
        <f>IF(Goals!A7="","",Goals!C7)</f>
        <v/>
      </c>
      <c r="D68" s="1" t="str">
        <f>IF(Goals!A7="","",Goals!D7)</f>
        <v/>
      </c>
      <c r="E68" s="1" t="str">
        <f>IF(Goals!A7="","",Goals!E7)</f>
        <v/>
      </c>
      <c r="F68" s="1" t="str">
        <f>IF(Goals!A7="","",Goals!F7)</f>
        <v/>
      </c>
      <c r="G68" s="1"/>
      <c r="H68" s="1"/>
      <c r="I68" s="1"/>
      <c r="J68" s="1"/>
      <c r="K68" s="1"/>
      <c r="L68" s="1"/>
      <c r="M68" s="1"/>
      <c r="N68" s="1" t="str">
        <f>IF(TopScorers!A65="","",TopScorers!A65)</f>
        <v/>
      </c>
      <c r="O68" s="1" t="str">
        <f>IF(TopScorers!B65="","",TopScorers!B65)</f>
        <v/>
      </c>
      <c r="P68" s="1" t="str">
        <f>IF(TopScorers!C65="","",TopScorers!C65)</f>
        <v/>
      </c>
      <c r="Q68" s="1" t="str">
        <f>IF(TopScorers!D65="","",TopScorers!D65)</f>
        <v/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28.8" customHeight="1" x14ac:dyDescent="0.3">
      <c r="A69" s="1" t="str">
        <f>IF(Goals!A8="","",Goals!A8)</f>
        <v/>
      </c>
      <c r="B69" s="1" t="str">
        <f>IF(Goals!A8="","",Goals!B8)</f>
        <v/>
      </c>
      <c r="C69" s="1" t="str">
        <f>IF(Goals!A8="","",Goals!C8)</f>
        <v/>
      </c>
      <c r="D69" s="1" t="str">
        <f>IF(Goals!A8="","",Goals!D8)</f>
        <v/>
      </c>
      <c r="E69" s="1" t="str">
        <f>IF(Goals!A8="","",Goals!E8)</f>
        <v/>
      </c>
      <c r="F69" s="1" t="str">
        <f>IF(Goals!A8="","",Goals!F8)</f>
        <v/>
      </c>
      <c r="G69" s="1"/>
      <c r="H69" s="1"/>
      <c r="I69" s="1"/>
      <c r="J69" s="1"/>
      <c r="K69" s="1"/>
      <c r="L69" s="1"/>
      <c r="M69" s="1"/>
      <c r="N69" s="1" t="str">
        <f>IF(TopScorers!A66="","",TopScorers!A66)</f>
        <v/>
      </c>
      <c r="O69" s="1" t="str">
        <f>IF(TopScorers!B66="","",TopScorers!B66)</f>
        <v/>
      </c>
      <c r="P69" s="1" t="str">
        <f>IF(TopScorers!C66="","",TopScorers!C66)</f>
        <v/>
      </c>
      <c r="Q69" s="1" t="str">
        <f>IF(TopScorers!D66="","",TopScorers!D66)</f>
        <v/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28.8" customHeight="1" x14ac:dyDescent="0.3">
      <c r="A70" s="1" t="str">
        <f>IF(Goals!A9="","",Goals!A9)</f>
        <v/>
      </c>
      <c r="B70" s="1" t="str">
        <f>IF(Goals!A9="","",Goals!B9)</f>
        <v/>
      </c>
      <c r="C70" s="1" t="str">
        <f>IF(Goals!A9="","",Goals!C9)</f>
        <v/>
      </c>
      <c r="D70" s="1" t="str">
        <f>IF(Goals!A9="","",Goals!D9)</f>
        <v/>
      </c>
      <c r="E70" s="1" t="str">
        <f>IF(Goals!A9="","",Goals!E9)</f>
        <v/>
      </c>
      <c r="F70" s="1" t="str">
        <f>IF(Goals!A9="","",Goals!F9)</f>
        <v/>
      </c>
      <c r="G70" s="1"/>
      <c r="H70" s="1"/>
      <c r="I70" s="1"/>
      <c r="J70" s="1"/>
      <c r="K70" s="1"/>
      <c r="L70" s="1"/>
      <c r="M70" s="1"/>
      <c r="N70" s="1" t="str">
        <f>IF(TopScorers!A67="","",TopScorers!A67)</f>
        <v/>
      </c>
      <c r="O70" s="1" t="str">
        <f>IF(TopScorers!B67="","",TopScorers!B67)</f>
        <v/>
      </c>
      <c r="P70" s="1" t="str">
        <f>IF(TopScorers!C67="","",TopScorers!C67)</f>
        <v/>
      </c>
      <c r="Q70" s="1" t="str">
        <f>IF(TopScorers!D67="","",TopScorers!D67)</f>
        <v/>
      </c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 t="str">
        <f>IF(Goals!A10="","",Goals!A10)</f>
        <v/>
      </c>
      <c r="B71" s="1" t="str">
        <f>IF(Goals!A10="","",Goals!B10)</f>
        <v/>
      </c>
      <c r="C71" s="1" t="str">
        <f>IF(Goals!A10="","",Goals!C10)</f>
        <v/>
      </c>
      <c r="D71" s="1" t="str">
        <f>IF(Goals!A10="","",Goals!D10)</f>
        <v/>
      </c>
      <c r="E71" s="1" t="str">
        <f>IF(Goals!A10="","",Goals!E10)</f>
        <v/>
      </c>
      <c r="F71" s="1" t="str">
        <f>IF(Goals!A10="","",Goals!F10)</f>
        <v/>
      </c>
      <c r="G71" s="1"/>
      <c r="H71" s="1"/>
      <c r="I71" s="1"/>
      <c r="J71" s="1"/>
      <c r="K71" s="1"/>
      <c r="L71" s="1"/>
      <c r="M71" s="1"/>
      <c r="N71" s="1" t="str">
        <f>IF(TopScorers!A68="","",TopScorers!A68)</f>
        <v/>
      </c>
      <c r="O71" s="1" t="str">
        <f>IF(TopScorers!B68="","",TopScorers!B68)</f>
        <v/>
      </c>
      <c r="P71" s="1" t="str">
        <f>IF(TopScorers!C68="","",TopScorers!C68)</f>
        <v/>
      </c>
      <c r="Q71" s="1" t="str">
        <f>IF(TopScorers!D68="","",TopScorers!D68)</f>
        <v/>
      </c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 t="str">
        <f>IF(Goals!A11="","",Goals!A11)</f>
        <v/>
      </c>
      <c r="B72" s="1" t="str">
        <f>IF(Goals!A11="","",Goals!B11)</f>
        <v/>
      </c>
      <c r="C72" s="1" t="str">
        <f>IF(Goals!A11="","",Goals!C11)</f>
        <v/>
      </c>
      <c r="D72" s="1" t="str">
        <f>IF(Goals!A11="","",Goals!D11)</f>
        <v/>
      </c>
      <c r="E72" s="1" t="str">
        <f>IF(Goals!A11="","",Goals!E11)</f>
        <v/>
      </c>
      <c r="F72" s="1" t="str">
        <f>IF(Goals!A11="","",Goals!F11)</f>
        <v/>
      </c>
      <c r="G72" s="1"/>
      <c r="H72" s="1"/>
      <c r="I72" s="1"/>
      <c r="J72" s="1"/>
      <c r="K72" s="1"/>
      <c r="L72" s="1"/>
      <c r="M72" s="1"/>
      <c r="N72" s="1" t="str">
        <f>IF(TopScorers!A69="","",TopScorers!A69)</f>
        <v/>
      </c>
      <c r="O72" s="1" t="str">
        <f>IF(TopScorers!B69="","",TopScorers!B69)</f>
        <v/>
      </c>
      <c r="P72" s="1" t="str">
        <f>IF(TopScorers!C69="","",TopScorers!C69)</f>
        <v/>
      </c>
      <c r="Q72" s="1" t="str">
        <f>IF(TopScorers!D69="","",TopScorers!D69)</f>
        <v/>
      </c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 t="str">
        <f>IF(Goals!A12="","",Goals!A12)</f>
        <v/>
      </c>
      <c r="B73" s="1" t="str">
        <f>IF(Goals!A12="","",Goals!B12)</f>
        <v/>
      </c>
      <c r="C73" s="1" t="str">
        <f>IF(Goals!A12="","",Goals!C12)</f>
        <v/>
      </c>
      <c r="D73" s="1" t="str">
        <f>IF(Goals!A12="","",Goals!D12)</f>
        <v/>
      </c>
      <c r="E73" s="1" t="str">
        <f>IF(Goals!A12="","",Goals!E12)</f>
        <v/>
      </c>
      <c r="F73" s="1" t="str">
        <f>IF(Goals!A12="","",Goals!F12)</f>
        <v/>
      </c>
      <c r="G73" s="1"/>
      <c r="H73" s="1"/>
      <c r="I73" s="1"/>
      <c r="J73" s="1"/>
      <c r="K73" s="1"/>
      <c r="L73" s="1"/>
      <c r="M73" s="1"/>
      <c r="N73" s="1" t="str">
        <f>IF(TopScorers!A70="","",TopScorers!A70)</f>
        <v/>
      </c>
      <c r="O73" s="1" t="str">
        <f>IF(TopScorers!B70="","",TopScorers!B70)</f>
        <v/>
      </c>
      <c r="P73" s="1" t="str">
        <f>IF(TopScorers!C70="","",TopScorers!C70)</f>
        <v/>
      </c>
      <c r="Q73" s="1" t="str">
        <f>IF(TopScorers!D70="","",TopScorers!D70)</f>
        <v/>
      </c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 t="str">
        <f>IF(Goals!A13="","",Goals!A13)</f>
        <v/>
      </c>
      <c r="B74" s="1" t="str">
        <f>IF(Goals!A13="","",Goals!B13)</f>
        <v/>
      </c>
      <c r="C74" s="1" t="str">
        <f>IF(Goals!A13="","",Goals!C13)</f>
        <v/>
      </c>
      <c r="D74" s="1" t="str">
        <f>IF(Goals!A13="","",Goals!D13)</f>
        <v/>
      </c>
      <c r="E74" s="1" t="str">
        <f>IF(Goals!A13="","",Goals!E13)</f>
        <v/>
      </c>
      <c r="F74" s="1" t="str">
        <f>IF(Goals!A13="","",Goals!F13)</f>
        <v/>
      </c>
      <c r="G74" s="1"/>
      <c r="H74" s="1"/>
      <c r="I74" s="1"/>
      <c r="J74" s="1"/>
      <c r="K74" s="1"/>
      <c r="L74" s="1"/>
      <c r="M74" s="1"/>
      <c r="N74" s="1" t="str">
        <f>IF(TopScorers!A71="","",TopScorers!A71)</f>
        <v/>
      </c>
      <c r="O74" s="1" t="str">
        <f>IF(TopScorers!B71="","",TopScorers!B71)</f>
        <v/>
      </c>
      <c r="P74" s="1" t="str">
        <f>IF(TopScorers!C71="","",TopScorers!C71)</f>
        <v/>
      </c>
      <c r="Q74" s="1" t="str">
        <f>IF(TopScorers!D71="","",TopScorers!D71)</f>
        <v/>
      </c>
      <c r="R74" s="1"/>
      <c r="S74" s="1"/>
      <c r="T74" s="1"/>
      <c r="U74" s="1"/>
      <c r="V74" s="1"/>
      <c r="W74" s="1"/>
      <c r="X74" s="1"/>
      <c r="Y74" s="1"/>
      <c r="Z74" s="1"/>
    </row>
    <row r="75" spans="1:26" ht="28.8" customHeight="1" x14ac:dyDescent="0.3">
      <c r="A75" s="1" t="str">
        <f>IF(Goals!A14="","",Goals!A14)</f>
        <v>M02</v>
      </c>
      <c r="B75" s="1" t="str">
        <f>IF(Goals!A14="","",Goals!B14)</f>
        <v>Piadineria la Salsiccia</v>
      </c>
      <c r="C75" s="1">
        <f>IF(Goals!A14="","",Goals!C14)</f>
        <v>1</v>
      </c>
      <c r="D75" s="1" t="str">
        <f>IF(Goals!A14="","",Goals!D14)</f>
        <v>Goal</v>
      </c>
      <c r="E75" s="1" t="str">
        <f>IF(Goals!A14="","",Goals!E14)</f>
        <v>8 - MATTIA AYRTON MARIOTTO</v>
      </c>
      <c r="F75" s="1" t="str">
        <f>IF(Goals!A14="","",Goals!F14)</f>
        <v>Piadineria la Salsiccia</v>
      </c>
      <c r="G75" s="1"/>
      <c r="H75" s="1"/>
      <c r="I75" s="1"/>
      <c r="J75" s="1"/>
      <c r="K75" s="1"/>
      <c r="L75" s="1"/>
      <c r="M75" s="1"/>
      <c r="N75" s="1" t="str">
        <f>IF(TopScorers!A72="","",TopScorers!A72)</f>
        <v/>
      </c>
      <c r="O75" s="1" t="str">
        <f>IF(TopScorers!B72="","",TopScorers!B72)</f>
        <v/>
      </c>
      <c r="P75" s="1" t="str">
        <f>IF(TopScorers!C72="","",TopScorers!C72)</f>
        <v/>
      </c>
      <c r="Q75" s="1" t="str">
        <f>IF(TopScorers!D72="","",TopScorers!D72)</f>
        <v/>
      </c>
      <c r="R75" s="1"/>
      <c r="S75" s="1"/>
      <c r="T75" s="1"/>
      <c r="U75" s="1"/>
      <c r="V75" s="1"/>
      <c r="W75" s="1"/>
      <c r="X75" s="1"/>
      <c r="Y75" s="1"/>
      <c r="Z75" s="1"/>
    </row>
    <row r="76" spans="1:26" ht="28.8" customHeight="1" x14ac:dyDescent="0.3">
      <c r="A76" s="1" t="str">
        <f>IF(Goals!A15="","",Goals!A15)</f>
        <v/>
      </c>
      <c r="B76" s="1" t="str">
        <f>IF(Goals!A15="","",Goals!B15)</f>
        <v/>
      </c>
      <c r="C76" s="1" t="str">
        <f>IF(Goals!A15="","",Goals!C15)</f>
        <v/>
      </c>
      <c r="D76" s="1" t="str">
        <f>IF(Goals!A15="","",Goals!D15)</f>
        <v/>
      </c>
      <c r="E76" s="1" t="str">
        <f>IF(Goals!A15="","",Goals!E15)</f>
        <v/>
      </c>
      <c r="F76" s="1" t="str">
        <f>IF(Goals!A15="","",Goals!F15)</f>
        <v/>
      </c>
      <c r="G76" s="1"/>
      <c r="H76" s="1"/>
      <c r="I76" s="1"/>
      <c r="J76" s="1"/>
      <c r="K76" s="1"/>
      <c r="L76" s="1"/>
      <c r="M76" s="1"/>
      <c r="N76" s="1" t="str">
        <f>IF(TopScorers!A73="","",TopScorers!A73)</f>
        <v/>
      </c>
      <c r="O76" s="1" t="str">
        <f>IF(TopScorers!B73="","",TopScorers!B73)</f>
        <v/>
      </c>
      <c r="P76" s="1" t="str">
        <f>IF(TopScorers!C73="","",TopScorers!C73)</f>
        <v/>
      </c>
      <c r="Q76" s="1" t="str">
        <f>IF(TopScorers!D73="","",TopScorers!D73)</f>
        <v/>
      </c>
      <c r="R76" s="1"/>
      <c r="S76" s="1"/>
      <c r="T76" s="1"/>
      <c r="U76" s="1"/>
      <c r="V76" s="1"/>
      <c r="W76" s="1"/>
      <c r="X76" s="1"/>
      <c r="Y76" s="1"/>
      <c r="Z76" s="1"/>
    </row>
    <row r="77" spans="1:26" ht="43.2" customHeight="1" x14ac:dyDescent="0.3">
      <c r="A77" s="1" t="str">
        <f>IF(Goals!A16="","",Goals!A16)</f>
        <v/>
      </c>
      <c r="B77" s="1" t="str">
        <f>IF(Goals!A16="","",Goals!B16)</f>
        <v/>
      </c>
      <c r="C77" s="1" t="str">
        <f>IF(Goals!A16="","",Goals!C16)</f>
        <v/>
      </c>
      <c r="D77" s="1" t="str">
        <f>IF(Goals!A16="","",Goals!D16)</f>
        <v/>
      </c>
      <c r="E77" s="1" t="str">
        <f>IF(Goals!A16="","",Goals!E16)</f>
        <v/>
      </c>
      <c r="F77" s="1" t="str">
        <f>IF(Goals!A16="","",Goals!F16)</f>
        <v/>
      </c>
      <c r="G77" s="1"/>
      <c r="H77" s="1"/>
      <c r="I77" s="1"/>
      <c r="J77" s="1"/>
      <c r="K77" s="1"/>
      <c r="L77" s="1"/>
      <c r="M77" s="1"/>
      <c r="N77" s="1" t="str">
        <f>IF(TopScorers!A74="","",TopScorers!A74)</f>
        <v/>
      </c>
      <c r="O77" s="1" t="str">
        <f>IF(TopScorers!B74="","",TopScorers!B74)</f>
        <v/>
      </c>
      <c r="P77" s="1" t="str">
        <f>IF(TopScorers!C74="","",TopScorers!C74)</f>
        <v/>
      </c>
      <c r="Q77" s="1" t="str">
        <f>IF(TopScorers!D74="","",TopScorers!D74)</f>
        <v/>
      </c>
      <c r="R77" s="1"/>
      <c r="S77" s="1"/>
      <c r="T77" s="1"/>
      <c r="U77" s="1"/>
      <c r="V77" s="1"/>
      <c r="W77" s="1"/>
      <c r="X77" s="1"/>
      <c r="Y77" s="1"/>
      <c r="Z77" s="1"/>
    </row>
    <row r="78" spans="1:26" ht="28.8" customHeight="1" x14ac:dyDescent="0.3">
      <c r="A78" s="1" t="str">
        <f>IF(Goals!A17="","",Goals!A17)</f>
        <v/>
      </c>
      <c r="B78" s="1" t="str">
        <f>IF(Goals!A17="","",Goals!B17)</f>
        <v/>
      </c>
      <c r="C78" s="1" t="str">
        <f>IF(Goals!A17="","",Goals!C17)</f>
        <v/>
      </c>
      <c r="D78" s="1" t="str">
        <f>IF(Goals!A17="","",Goals!D17)</f>
        <v/>
      </c>
      <c r="E78" s="1" t="str">
        <f>IF(Goals!A17="","",Goals!E17)</f>
        <v/>
      </c>
      <c r="F78" s="1" t="str">
        <f>IF(Goals!A17="","",Goals!F17)</f>
        <v/>
      </c>
      <c r="G78" s="1"/>
      <c r="H78" s="1"/>
      <c r="I78" s="1"/>
      <c r="J78" s="1"/>
      <c r="K78" s="1"/>
      <c r="L78" s="1"/>
      <c r="M78" s="1"/>
      <c r="N78" s="1" t="str">
        <f>IF(TopScorers!A75="","",TopScorers!A75)</f>
        <v/>
      </c>
      <c r="O78" s="1" t="str">
        <f>IF(TopScorers!B75="","",TopScorers!B75)</f>
        <v/>
      </c>
      <c r="P78" s="1" t="str">
        <f>IF(TopScorers!C75="","",TopScorers!C75)</f>
        <v/>
      </c>
      <c r="Q78" s="1" t="str">
        <f>IF(TopScorers!D75="","",TopScorers!D75)</f>
        <v/>
      </c>
      <c r="R78" s="1"/>
      <c r="S78" s="1"/>
      <c r="T78" s="1"/>
      <c r="U78" s="1"/>
      <c r="V78" s="1"/>
      <c r="W78" s="1"/>
      <c r="X78" s="1"/>
      <c r="Y78" s="1"/>
      <c r="Z78" s="1"/>
    </row>
    <row r="79" spans="1:26" ht="28.8" customHeight="1" x14ac:dyDescent="0.3">
      <c r="A79" s="1" t="str">
        <f>IF(Goals!A18="","",Goals!A18)</f>
        <v/>
      </c>
      <c r="B79" s="1" t="str">
        <f>IF(Goals!A18="","",Goals!B18)</f>
        <v/>
      </c>
      <c r="C79" s="1" t="str">
        <f>IF(Goals!A18="","",Goals!C18)</f>
        <v/>
      </c>
      <c r="D79" s="1" t="str">
        <f>IF(Goals!A18="","",Goals!D18)</f>
        <v/>
      </c>
      <c r="E79" s="1" t="str">
        <f>IF(Goals!A18="","",Goals!E18)</f>
        <v/>
      </c>
      <c r="F79" s="1" t="str">
        <f>IF(Goals!A18="","",Goals!F18)</f>
        <v/>
      </c>
      <c r="G79" s="1"/>
      <c r="H79" s="1"/>
      <c r="I79" s="1"/>
      <c r="J79" s="1"/>
      <c r="K79" s="1"/>
      <c r="L79" s="1"/>
      <c r="M79" s="1"/>
      <c r="N79" s="1" t="str">
        <f>IF(TopScorers!A76="","",TopScorers!A76)</f>
        <v/>
      </c>
      <c r="O79" s="1" t="str">
        <f>IF(TopScorers!B76="","",TopScorers!B76)</f>
        <v/>
      </c>
      <c r="P79" s="1" t="str">
        <f>IF(TopScorers!C76="","",TopScorers!C76)</f>
        <v/>
      </c>
      <c r="Q79" s="1" t="str">
        <f>IF(TopScorers!D76="","",TopScorers!D76)</f>
        <v/>
      </c>
      <c r="R79" s="1"/>
      <c r="S79" s="1"/>
      <c r="T79" s="1"/>
      <c r="U79" s="1"/>
      <c r="V79" s="1"/>
      <c r="W79" s="1"/>
      <c r="X79" s="1"/>
      <c r="Y79" s="1"/>
      <c r="Z79" s="1"/>
    </row>
    <row r="80" spans="1:26" ht="28.8" customHeight="1" x14ac:dyDescent="0.3">
      <c r="A80" s="1" t="str">
        <f>IF(Goals!A19="","",Goals!A19)</f>
        <v/>
      </c>
      <c r="B80" s="1" t="str">
        <f>IF(Goals!A19="","",Goals!B19)</f>
        <v/>
      </c>
      <c r="C80" s="1" t="str">
        <f>IF(Goals!A19="","",Goals!C19)</f>
        <v/>
      </c>
      <c r="D80" s="1" t="str">
        <f>IF(Goals!A19="","",Goals!D19)</f>
        <v/>
      </c>
      <c r="E80" s="1" t="str">
        <f>IF(Goals!A19="","",Goals!E19)</f>
        <v/>
      </c>
      <c r="F80" s="1" t="str">
        <f>IF(Goals!A19="","",Goals!F19)</f>
        <v/>
      </c>
      <c r="G80" s="1"/>
      <c r="H80" s="1"/>
      <c r="I80" s="1"/>
      <c r="J80" s="1"/>
      <c r="K80" s="1"/>
      <c r="L80" s="1"/>
      <c r="M80" s="1"/>
      <c r="N80" s="1" t="str">
        <f>IF(TopScorers!A77="","",TopScorers!A77)</f>
        <v/>
      </c>
      <c r="O80" s="1" t="str">
        <f>IF(TopScorers!B77="","",TopScorers!B77)</f>
        <v/>
      </c>
      <c r="P80" s="1" t="str">
        <f>IF(TopScorers!C77="","",TopScorers!C77)</f>
        <v/>
      </c>
      <c r="Q80" s="1" t="str">
        <f>IF(TopScorers!D77="","",TopScorers!D77)</f>
        <v/>
      </c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 t="str">
        <f>IF(Goals!A20="","",Goals!A20)</f>
        <v/>
      </c>
      <c r="B81" s="1" t="str">
        <f>IF(Goals!A20="","",Goals!B20)</f>
        <v/>
      </c>
      <c r="C81" s="1" t="str">
        <f>IF(Goals!A20="","",Goals!C20)</f>
        <v/>
      </c>
      <c r="D81" s="1" t="str">
        <f>IF(Goals!A20="","",Goals!D20)</f>
        <v/>
      </c>
      <c r="E81" s="1" t="str">
        <f>IF(Goals!A20="","",Goals!E20)</f>
        <v/>
      </c>
      <c r="F81" s="1" t="str">
        <f>IF(Goals!A20="","",Goals!F20)</f>
        <v/>
      </c>
      <c r="G81" s="1"/>
      <c r="H81" s="1"/>
      <c r="I81" s="1"/>
      <c r="J81" s="1"/>
      <c r="K81" s="1"/>
      <c r="L81" s="1"/>
      <c r="M81" s="1"/>
      <c r="N81" s="1" t="str">
        <f>IF(TopScorers!A78="","",TopScorers!A78)</f>
        <v/>
      </c>
      <c r="O81" s="1" t="str">
        <f>IF(TopScorers!B78="","",TopScorers!B78)</f>
        <v/>
      </c>
      <c r="P81" s="1" t="str">
        <f>IF(TopScorers!C78="","",TopScorers!C78)</f>
        <v/>
      </c>
      <c r="Q81" s="1" t="str">
        <f>IF(TopScorers!D78="","",TopScorers!D78)</f>
        <v/>
      </c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 t="str">
        <f>IF(Goals!A21="","",Goals!A21)</f>
        <v/>
      </c>
      <c r="B82" s="1" t="str">
        <f>IF(Goals!A21="","",Goals!B21)</f>
        <v/>
      </c>
      <c r="C82" s="1" t="str">
        <f>IF(Goals!A21="","",Goals!C21)</f>
        <v/>
      </c>
      <c r="D82" s="1" t="str">
        <f>IF(Goals!A21="","",Goals!D21)</f>
        <v/>
      </c>
      <c r="E82" s="1" t="str">
        <f>IF(Goals!A21="","",Goals!E21)</f>
        <v/>
      </c>
      <c r="F82" s="1" t="str">
        <f>IF(Goals!A21="","",Goals!F21)</f>
        <v/>
      </c>
      <c r="G82" s="1"/>
      <c r="H82" s="1"/>
      <c r="I82" s="1"/>
      <c r="J82" s="1"/>
      <c r="K82" s="1"/>
      <c r="L82" s="1"/>
      <c r="M82" s="1"/>
      <c r="N82" s="1" t="str">
        <f>IF(TopScorers!A79="","",TopScorers!A79)</f>
        <v/>
      </c>
      <c r="O82" s="1" t="str">
        <f>IF(TopScorers!B79="","",TopScorers!B79)</f>
        <v/>
      </c>
      <c r="P82" s="1" t="str">
        <f>IF(TopScorers!C79="","",TopScorers!C79)</f>
        <v/>
      </c>
      <c r="Q82" s="1" t="str">
        <f>IF(TopScorers!D79="","",TopScorers!D79)</f>
        <v/>
      </c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 t="str">
        <f>IF(Goals!A22="","",Goals!A22)</f>
        <v/>
      </c>
      <c r="B83" s="1" t="str">
        <f>IF(Goals!A22="","",Goals!B22)</f>
        <v/>
      </c>
      <c r="C83" s="1" t="str">
        <f>IF(Goals!A22="","",Goals!C22)</f>
        <v/>
      </c>
      <c r="D83" s="1" t="str">
        <f>IF(Goals!A22="","",Goals!D22)</f>
        <v/>
      </c>
      <c r="E83" s="1" t="str">
        <f>IF(Goals!A22="","",Goals!E22)</f>
        <v/>
      </c>
      <c r="F83" s="1" t="str">
        <f>IF(Goals!A22="","",Goals!F22)</f>
        <v/>
      </c>
      <c r="G83" s="1"/>
      <c r="H83" s="1"/>
      <c r="I83" s="1"/>
      <c r="J83" s="1"/>
      <c r="K83" s="1"/>
      <c r="L83" s="1"/>
      <c r="M83" s="1"/>
      <c r="N83" s="1" t="str">
        <f>IF(TopScorers!A80="","",TopScorers!A80)</f>
        <v/>
      </c>
      <c r="O83" s="1" t="str">
        <f>IF(TopScorers!B80="","",TopScorers!B80)</f>
        <v/>
      </c>
      <c r="P83" s="1" t="str">
        <f>IF(TopScorers!C80="","",TopScorers!C80)</f>
        <v/>
      </c>
      <c r="Q83" s="1" t="str">
        <f>IF(TopScorers!D80="","",TopScorers!D80)</f>
        <v/>
      </c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 t="str">
        <f>IF(Goals!A23="","",Goals!A23)</f>
        <v/>
      </c>
      <c r="B84" s="1" t="str">
        <f>IF(Goals!A23="","",Goals!B23)</f>
        <v/>
      </c>
      <c r="C84" s="1" t="str">
        <f>IF(Goals!A23="","",Goals!C23)</f>
        <v/>
      </c>
      <c r="D84" s="1" t="str">
        <f>IF(Goals!A23="","",Goals!D23)</f>
        <v/>
      </c>
      <c r="E84" s="1" t="str">
        <f>IF(Goals!A23="","",Goals!E23)</f>
        <v/>
      </c>
      <c r="F84" s="1" t="str">
        <f>IF(Goals!A23="","",Goals!F23)</f>
        <v/>
      </c>
      <c r="G84" s="1"/>
      <c r="H84" s="1"/>
      <c r="I84" s="1"/>
      <c r="J84" s="1"/>
      <c r="K84" s="1"/>
      <c r="L84" s="1"/>
      <c r="M84" s="1"/>
      <c r="N84" s="1" t="str">
        <f>IF(TopScorers!A81="","",TopScorers!A81)</f>
        <v/>
      </c>
      <c r="O84" s="1" t="str">
        <f>IF(TopScorers!B81="","",TopScorers!B81)</f>
        <v/>
      </c>
      <c r="P84" s="1" t="str">
        <f>IF(TopScorers!C81="","",TopScorers!C81)</f>
        <v/>
      </c>
      <c r="Q84" s="1" t="str">
        <f>IF(TopScorers!D81="","",TopScorers!D81)</f>
        <v/>
      </c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 t="str">
        <f>IF(Goals!A24="","",Goals!A24)</f>
        <v/>
      </c>
      <c r="B85" s="1" t="str">
        <f>IF(Goals!A24="","",Goals!B24)</f>
        <v/>
      </c>
      <c r="C85" s="1" t="str">
        <f>IF(Goals!A24="","",Goals!C24)</f>
        <v/>
      </c>
      <c r="D85" s="1" t="str">
        <f>IF(Goals!A24="","",Goals!D24)</f>
        <v/>
      </c>
      <c r="E85" s="1" t="str">
        <f>IF(Goals!A24="","",Goals!E24)</f>
        <v/>
      </c>
      <c r="F85" s="1" t="str">
        <f>IF(Goals!A24="","",Goals!F24)</f>
        <v/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 t="str">
        <f>IF(Goals!A25="","",Goals!A25)</f>
        <v/>
      </c>
      <c r="B86" s="1" t="str">
        <f>IF(Goals!A25="","",Goals!B25)</f>
        <v/>
      </c>
      <c r="C86" s="1" t="str">
        <f>IF(Goals!A25="","",Goals!C25)</f>
        <v/>
      </c>
      <c r="D86" s="1" t="str">
        <f>IF(Goals!A25="","",Goals!D25)</f>
        <v/>
      </c>
      <c r="E86" s="1" t="str">
        <f>IF(Goals!A25="","",Goals!E25)</f>
        <v/>
      </c>
      <c r="F86" s="1" t="str">
        <f>IF(Goals!A25="","",Goals!F25)</f>
        <v/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43.2" customHeight="1" x14ac:dyDescent="0.3">
      <c r="A87" s="1" t="str">
        <f>IF(Goals!A26="","",Goals!A26)</f>
        <v>M03</v>
      </c>
      <c r="B87" s="1" t="str">
        <f>IF(Goals!A26="","",Goals!B26)</f>
        <v>Vecchie Glorie Rovigo</v>
      </c>
      <c r="C87" s="1">
        <f>IF(Goals!A26="","",Goals!C26)</f>
        <v>1</v>
      </c>
      <c r="D87" s="1" t="str">
        <f>IF(Goals!A26="","",Goals!D26)</f>
        <v>Goal</v>
      </c>
      <c r="E87" s="1" t="str">
        <f>IF(Goals!A26="","",Goals!E26)</f>
        <v>3 - MATTEO ZAMBERLAN</v>
      </c>
      <c r="F87" s="1" t="str">
        <f>IF(Goals!A26="","",Goals!F26)</f>
        <v>Vecchie Glorie Rovigo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 t="str">
        <f>IF(Goals!A27="","",Goals!A27)</f>
        <v>M03</v>
      </c>
      <c r="B88" s="1" t="str">
        <f>IF(Goals!A27="","",Goals!B27)</f>
        <v>Vecchie Glorie Rovigo</v>
      </c>
      <c r="C88" s="1">
        <f>IF(Goals!A27="","",Goals!C27)</f>
        <v>2</v>
      </c>
      <c r="D88" s="1" t="str">
        <f>IF(Goals!A27="","",Goals!D27)</f>
        <v>Goal</v>
      </c>
      <c r="E88" s="1" t="str">
        <f>IF(Goals!A27="","",Goals!E27)</f>
        <v>3 - MATTEO ZAMBERLAN</v>
      </c>
      <c r="F88" s="1" t="str">
        <f>IF(Goals!A27="","",Goals!F27)</f>
        <v>Vecchie Glorie Rovigo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8.8" customHeight="1" x14ac:dyDescent="0.3">
      <c r="A89" s="1" t="str">
        <f>IF(Goals!A28="","",Goals!A28)</f>
        <v>M03</v>
      </c>
      <c r="B89" s="1" t="str">
        <f>IF(Goals!A28="","",Goals!B28)</f>
        <v>Vecchie Glorie Rovigo</v>
      </c>
      <c r="C89" s="1">
        <f>IF(Goals!A28="","",Goals!C28)</f>
        <v>3</v>
      </c>
      <c r="D89" s="1" t="str">
        <f>IF(Goals!A28="","",Goals!D28)</f>
        <v>Goal</v>
      </c>
      <c r="E89" s="1" t="str">
        <f>IF(Goals!A28="","",Goals!E28)</f>
        <v>3 - MATTEO ZAMBERLAN</v>
      </c>
      <c r="F89" s="1" t="str">
        <f>IF(Goals!A28="","",Goals!F28)</f>
        <v>Vecchie Glorie Rovigo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8.8" customHeight="1" x14ac:dyDescent="0.3">
      <c r="A90" s="1" t="str">
        <f>IF(Goals!A29="","",Goals!A29)</f>
        <v>M03</v>
      </c>
      <c r="B90" s="1" t="str">
        <f>IF(Goals!A29="","",Goals!B29)</f>
        <v>Vecchie Glorie Rovigo</v>
      </c>
      <c r="C90" s="1">
        <f>IF(Goals!A29="","",Goals!C29)</f>
        <v>4</v>
      </c>
      <c r="D90" s="1" t="str">
        <f>IF(Goals!A29="","",Goals!D29)</f>
        <v>Goal</v>
      </c>
      <c r="E90" s="1" t="str">
        <f>IF(Goals!A29="","",Goals!E29)</f>
        <v>10 - DAVIDE ZAGHI (C)</v>
      </c>
      <c r="F90" s="1" t="str">
        <f>IF(Goals!A29="","",Goals!F29)</f>
        <v>Vecchie Glorie Rovigo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8.8" customHeight="1" x14ac:dyDescent="0.3">
      <c r="A91" s="1" t="str">
        <f>IF(Goals!A30="","",Goals!A30)</f>
        <v>M03</v>
      </c>
      <c r="B91" s="1" t="str">
        <f>IF(Goals!A30="","",Goals!B30)</f>
        <v>Vecchie Glorie Rovigo</v>
      </c>
      <c r="C91" s="1">
        <f>IF(Goals!A30="","",Goals!C30)</f>
        <v>5</v>
      </c>
      <c r="D91" s="1" t="str">
        <f>IF(Goals!A30="","",Goals!D30)</f>
        <v>Goal</v>
      </c>
      <c r="E91" s="1" t="str">
        <f>IF(Goals!A30="","",Goals!E30)</f>
        <v>10 - DAVIDE ZAGHI (C)</v>
      </c>
      <c r="F91" s="1" t="str">
        <f>IF(Goals!A30="","",Goals!F30)</f>
        <v>Vecchie Glorie Rovigo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8.8" customHeight="1" x14ac:dyDescent="0.3">
      <c r="A92" s="1" t="str">
        <f>IF(Goals!A31="","",Goals!A31)</f>
        <v>M03</v>
      </c>
      <c r="B92" s="1" t="str">
        <f>IF(Goals!A31="","",Goals!B31)</f>
        <v>Vecchie Glorie Rovigo</v>
      </c>
      <c r="C92" s="1">
        <f>IF(Goals!A31="","",Goals!C31)</f>
        <v>6</v>
      </c>
      <c r="D92" s="1" t="str">
        <f>IF(Goals!A31="","",Goals!D31)</f>
        <v>Goal</v>
      </c>
      <c r="E92" s="1" t="str">
        <f>IF(Goals!A31="","",Goals!E31)</f>
        <v>20 - MATTEO DALL'ARA</v>
      </c>
      <c r="F92" s="1" t="str">
        <f>IF(Goals!A31="","",Goals!F31)</f>
        <v>Vecchie Glorie Rovigo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8.8" customHeight="1" x14ac:dyDescent="0.3">
      <c r="A93" s="1" t="str">
        <f>IF(Goals!A32="","",Goals!A32)</f>
        <v>M03</v>
      </c>
      <c r="B93" s="1" t="str">
        <f>IF(Goals!A32="","",Goals!B32)</f>
        <v>Vecchie Glorie Rovigo</v>
      </c>
      <c r="C93" s="1">
        <f>IF(Goals!A32="","",Goals!C32)</f>
        <v>7</v>
      </c>
      <c r="D93" s="1" t="str">
        <f>IF(Goals!A32="","",Goals!D32)</f>
        <v>Goal</v>
      </c>
      <c r="E93" s="1" t="str">
        <f>IF(Goals!A32="","",Goals!E32)</f>
        <v>5 - JACOPO VOLTOLINA</v>
      </c>
      <c r="F93" s="1" t="str">
        <f>IF(Goals!A32="","",Goals!F32)</f>
        <v>Vecchie Glorie Rovigo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 t="str">
        <f>IF(Goals!A33="","",Goals!A33)</f>
        <v>M03</v>
      </c>
      <c r="B94" s="1" t="str">
        <f>IF(Goals!A33="","",Goals!B33)</f>
        <v>Vecchie Glorie Rovigo</v>
      </c>
      <c r="C94" s="1">
        <f>IF(Goals!A33="","",Goals!C33)</f>
        <v>8</v>
      </c>
      <c r="D94" s="1" t="str">
        <f>IF(Goals!A33="","",Goals!D33)</f>
        <v>Goal</v>
      </c>
      <c r="E94" s="1" t="str">
        <f>IF(Goals!A33="","",Goals!E33)</f>
        <v>8 - LEONARDO FUSCO</v>
      </c>
      <c r="F94" s="1" t="str">
        <f>IF(Goals!A33="","",Goals!F33)</f>
        <v>Vecchie Glorie Rovigo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 t="str">
        <f>IF(Goals!A34="","",Goals!A34)</f>
        <v>M03</v>
      </c>
      <c r="B95" s="1" t="str">
        <f>IF(Goals!A34="","",Goals!B34)</f>
        <v>Vecchie Glorie Rovigo</v>
      </c>
      <c r="C95" s="1">
        <f>IF(Goals!A34="","",Goals!C34)</f>
        <v>9</v>
      </c>
      <c r="D95" s="1" t="str">
        <f>IF(Goals!A34="","",Goals!D34)</f>
        <v>Goal</v>
      </c>
      <c r="E95" s="1" t="str">
        <f>IF(Goals!A34="","",Goals!E34)</f>
        <v>17 - DOMENICO IACOVINO</v>
      </c>
      <c r="F95" s="1" t="str">
        <f>IF(Goals!A34="","",Goals!F34)</f>
        <v>Vecchie Glorie Rovigo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 t="str">
        <f>IF(Goals!A35="","",Goals!A35)</f>
        <v>M03</v>
      </c>
      <c r="B96" s="1" t="str">
        <f>IF(Goals!A35="","",Goals!B35)</f>
        <v>Vecchie Glorie Rovigo</v>
      </c>
      <c r="C96" s="1">
        <f>IF(Goals!A35="","",Goals!C35)</f>
        <v>10</v>
      </c>
      <c r="D96" s="1" t="str">
        <f>IF(Goals!A35="","",Goals!D35)</f>
        <v>Goal</v>
      </c>
      <c r="E96" s="1" t="str">
        <f>IF(Goals!A35="","",Goals!E35)</f>
        <v>7 - DENIS TIMPANARO</v>
      </c>
      <c r="F96" s="1" t="str">
        <f>IF(Goals!A35="","",Goals!F35)</f>
        <v>Vecchie Glorie Rovigo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 t="str">
        <f>IF(Goals!A36="","",Goals!A36)</f>
        <v/>
      </c>
      <c r="B97" s="1" t="str">
        <f>IF(Goals!A36="","",Goals!B36)</f>
        <v/>
      </c>
      <c r="C97" s="1" t="str">
        <f>IF(Goals!A36="","",Goals!C36)</f>
        <v/>
      </c>
      <c r="D97" s="1" t="str">
        <f>IF(Goals!A36="","",Goals!D36)</f>
        <v/>
      </c>
      <c r="E97" s="1" t="str">
        <f>IF(Goals!A36="","",Goals!E36)</f>
        <v/>
      </c>
      <c r="F97" s="1" t="str">
        <f>IF(Goals!A36="","",Goals!F36)</f>
        <v/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 t="str">
        <f>IF(Goals!A37="","",Goals!A37)</f>
        <v/>
      </c>
      <c r="B98" s="1" t="str">
        <f>IF(Goals!A37="","",Goals!B37)</f>
        <v/>
      </c>
      <c r="C98" s="1" t="str">
        <f>IF(Goals!A37="","",Goals!C37)</f>
        <v/>
      </c>
      <c r="D98" s="1" t="str">
        <f>IF(Goals!A37="","",Goals!D37)</f>
        <v/>
      </c>
      <c r="E98" s="1" t="str">
        <f>IF(Goals!A37="","",Goals!E37)</f>
        <v/>
      </c>
      <c r="F98" s="1" t="str">
        <f>IF(Goals!A37="","",Goals!F37)</f>
        <v/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8.8" customHeight="1" x14ac:dyDescent="0.3">
      <c r="A99" s="1" t="str">
        <f>IF(Goals!A38="","",Goals!A38)</f>
        <v>M04</v>
      </c>
      <c r="B99" s="1" t="str">
        <f>IF(Goals!A38="","",Goals!B38)</f>
        <v>Leoni di Ricky</v>
      </c>
      <c r="C99" s="1">
        <f>IF(Goals!A38="","",Goals!C38)</f>
        <v>1</v>
      </c>
      <c r="D99" s="1" t="str">
        <f>IF(Goals!A38="","",Goals!D38)</f>
        <v>Goal</v>
      </c>
      <c r="E99" s="1" t="str">
        <f>IF(Goals!A38="","",Goals!E38)</f>
        <v>3 - LEONARDO MAGGIO</v>
      </c>
      <c r="F99" s="1" t="str">
        <f>IF(Goals!A38="","",Goals!F38)</f>
        <v>Leoni di Ricky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8.8" customHeight="1" x14ac:dyDescent="0.3">
      <c r="A100" s="1" t="str">
        <f>IF(Goals!A39="","",Goals!A39)</f>
        <v>M04</v>
      </c>
      <c r="B100" s="1" t="str">
        <f>IF(Goals!A39="","",Goals!B39)</f>
        <v>Leoni di Ricky</v>
      </c>
      <c r="C100" s="1">
        <f>IF(Goals!A39="","",Goals!C39)</f>
        <v>2</v>
      </c>
      <c r="D100" s="1" t="str">
        <f>IF(Goals!A39="","",Goals!D39)</f>
        <v>Goal</v>
      </c>
      <c r="E100" s="1" t="str">
        <f>IF(Goals!A39="","",Goals!E39)</f>
        <v>3 - LEONARDO MAGGIO</v>
      </c>
      <c r="F100" s="1" t="str">
        <f>IF(Goals!A39="","",Goals!F39)</f>
        <v>Leoni di Ricky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8.8" customHeight="1" x14ac:dyDescent="0.3">
      <c r="A101" s="1" t="str">
        <f>IF(Goals!A40="","",Goals!A40)</f>
        <v>M04</v>
      </c>
      <c r="B101" s="1" t="str">
        <f>IF(Goals!A40="","",Goals!B40)</f>
        <v>Leoni di Ricky</v>
      </c>
      <c r="C101" s="1">
        <f>IF(Goals!A40="","",Goals!C40)</f>
        <v>3</v>
      </c>
      <c r="D101" s="1" t="str">
        <f>IF(Goals!A40="","",Goals!D40)</f>
        <v>Goal</v>
      </c>
      <c r="E101" s="1" t="str">
        <f>IF(Goals!A40="","",Goals!E40)</f>
        <v>3 - LEONARDO MAGGIO</v>
      </c>
      <c r="F101" s="1" t="str">
        <f>IF(Goals!A40="","",Goals!F40)</f>
        <v>Leoni di Ricky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8.8" customHeight="1" x14ac:dyDescent="0.3">
      <c r="A102" s="1" t="str">
        <f>IF(Goals!A41="","",Goals!A41)</f>
        <v>M04</v>
      </c>
      <c r="B102" s="1" t="str">
        <f>IF(Goals!A41="","",Goals!B41)</f>
        <v>Leoni di Ricky</v>
      </c>
      <c r="C102" s="1">
        <f>IF(Goals!A41="","",Goals!C41)</f>
        <v>4</v>
      </c>
      <c r="D102" s="1" t="str">
        <f>IF(Goals!A41="","",Goals!D41)</f>
        <v>Goal</v>
      </c>
      <c r="E102" s="1" t="str">
        <f>IF(Goals!A41="","",Goals!E41)</f>
        <v>10 - ANDREI BARZAGHIDEANU</v>
      </c>
      <c r="F102" s="1" t="str">
        <f>IF(Goals!A41="","",Goals!F41)</f>
        <v>Leoni di Ricky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8.8" customHeight="1" x14ac:dyDescent="0.3">
      <c r="A103" s="1" t="str">
        <f>IF(Goals!A42="","",Goals!A42)</f>
        <v>M04</v>
      </c>
      <c r="B103" s="1" t="str">
        <f>IF(Goals!A42="","",Goals!B42)</f>
        <v>Leoni di Ricky</v>
      </c>
      <c r="C103" s="1">
        <f>IF(Goals!A42="","",Goals!C42)</f>
        <v>5</v>
      </c>
      <c r="D103" s="1" t="str">
        <f>IF(Goals!A42="","",Goals!D42)</f>
        <v>Goal</v>
      </c>
      <c r="E103" s="1" t="str">
        <f>IF(Goals!A42="","",Goals!E42)</f>
        <v>14 - VLAD GABRIEL DUMINICA</v>
      </c>
      <c r="F103" s="1" t="str">
        <f>IF(Goals!A42="","",Goals!F42)</f>
        <v>Leoni di Ricky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8.8" customHeight="1" x14ac:dyDescent="0.3">
      <c r="A104" s="1" t="str">
        <f>IF(Goals!A43="","",Goals!A43)</f>
        <v/>
      </c>
      <c r="B104" s="1" t="str">
        <f>IF(Goals!A43="","",Goals!B43)</f>
        <v/>
      </c>
      <c r="C104" s="1" t="str">
        <f>IF(Goals!A43="","",Goals!C43)</f>
        <v/>
      </c>
      <c r="D104" s="1" t="str">
        <f>IF(Goals!A43="","",Goals!D43)</f>
        <v/>
      </c>
      <c r="E104" s="1" t="str">
        <f>IF(Goals!A43="","",Goals!E43)</f>
        <v/>
      </c>
      <c r="F104" s="1" t="str">
        <f>IF(Goals!A43="","",Goals!F43)</f>
        <v/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 t="str">
        <f>IF(Goals!A44="","",Goals!A44)</f>
        <v/>
      </c>
      <c r="B105" s="1" t="str">
        <f>IF(Goals!A44="","",Goals!B44)</f>
        <v/>
      </c>
      <c r="C105" s="1" t="str">
        <f>IF(Goals!A44="","",Goals!C44)</f>
        <v/>
      </c>
      <c r="D105" s="1" t="str">
        <f>IF(Goals!A44="","",Goals!D44)</f>
        <v/>
      </c>
      <c r="E105" s="1" t="str">
        <f>IF(Goals!A44="","",Goals!E44)</f>
        <v/>
      </c>
      <c r="F105" s="1" t="str">
        <f>IF(Goals!A44="","",Goals!F44)</f>
        <v/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 t="str">
        <f>IF(Goals!A45="","",Goals!A45)</f>
        <v/>
      </c>
      <c r="B106" s="1" t="str">
        <f>IF(Goals!A45="","",Goals!B45)</f>
        <v/>
      </c>
      <c r="C106" s="1" t="str">
        <f>IF(Goals!A45="","",Goals!C45)</f>
        <v/>
      </c>
      <c r="D106" s="1" t="str">
        <f>IF(Goals!A45="","",Goals!D45)</f>
        <v/>
      </c>
      <c r="E106" s="1" t="str">
        <f>IF(Goals!A45="","",Goals!E45)</f>
        <v/>
      </c>
      <c r="F106" s="1" t="str">
        <f>IF(Goals!A45="","",Goals!F45)</f>
        <v/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 t="str">
        <f>IF(Goals!A46="","",Goals!A46)</f>
        <v/>
      </c>
      <c r="B107" s="1" t="str">
        <f>IF(Goals!A46="","",Goals!B46)</f>
        <v/>
      </c>
      <c r="C107" s="1" t="str">
        <f>IF(Goals!A46="","",Goals!C46)</f>
        <v/>
      </c>
      <c r="D107" s="1" t="str">
        <f>IF(Goals!A46="","",Goals!D46)</f>
        <v/>
      </c>
      <c r="E107" s="1" t="str">
        <f>IF(Goals!A46="","",Goals!E46)</f>
        <v/>
      </c>
      <c r="F107" s="1" t="str">
        <f>IF(Goals!A46="","",Goals!F46)</f>
        <v/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 t="str">
        <f>IF(Goals!A47="","",Goals!A47)</f>
        <v/>
      </c>
      <c r="B108" s="1" t="str">
        <f>IF(Goals!A47="","",Goals!B47)</f>
        <v/>
      </c>
      <c r="C108" s="1" t="str">
        <f>IF(Goals!A47="","",Goals!C47)</f>
        <v/>
      </c>
      <c r="D108" s="1" t="str">
        <f>IF(Goals!A47="","",Goals!D47)</f>
        <v/>
      </c>
      <c r="E108" s="1" t="str">
        <f>IF(Goals!A47="","",Goals!E47)</f>
        <v/>
      </c>
      <c r="F108" s="1" t="str">
        <f>IF(Goals!A47="","",Goals!F47)</f>
        <v/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 t="str">
        <f>IF(Goals!A48="","",Goals!A48)</f>
        <v/>
      </c>
      <c r="B109" s="1" t="str">
        <f>IF(Goals!A48="","",Goals!B48)</f>
        <v/>
      </c>
      <c r="C109" s="1" t="str">
        <f>IF(Goals!A48="","",Goals!C48)</f>
        <v/>
      </c>
      <c r="D109" s="1" t="str">
        <f>IF(Goals!A48="","",Goals!D48)</f>
        <v/>
      </c>
      <c r="E109" s="1" t="str">
        <f>IF(Goals!A48="","",Goals!E48)</f>
        <v/>
      </c>
      <c r="F109" s="1" t="str">
        <f>IF(Goals!A48="","",Goals!F48)</f>
        <v/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 t="str">
        <f>IF(Goals!A49="","",Goals!A49)</f>
        <v/>
      </c>
      <c r="B110" s="1" t="str">
        <f>IF(Goals!A49="","",Goals!B49)</f>
        <v/>
      </c>
      <c r="C110" s="1" t="str">
        <f>IF(Goals!A49="","",Goals!C49)</f>
        <v/>
      </c>
      <c r="D110" s="1" t="str">
        <f>IF(Goals!A49="","",Goals!D49)</f>
        <v/>
      </c>
      <c r="E110" s="1" t="str">
        <f>IF(Goals!A49="","",Goals!E49)</f>
        <v/>
      </c>
      <c r="F110" s="1" t="str">
        <f>IF(Goals!A49="","",Goals!F49)</f>
        <v/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8.8" customHeight="1" x14ac:dyDescent="0.3">
      <c r="A111" s="1" t="str">
        <f>IF(Goals!A50="","",Goals!A50)</f>
        <v>M05</v>
      </c>
      <c r="B111" s="1" t="str">
        <f>IF(Goals!A50="","",Goals!B50)</f>
        <v>Barrio Boys</v>
      </c>
      <c r="C111" s="1">
        <f>IF(Goals!A50="","",Goals!C50)</f>
        <v>1</v>
      </c>
      <c r="D111" s="1" t="str">
        <f>IF(Goals!A50="","",Goals!D50)</f>
        <v>Goal</v>
      </c>
      <c r="E111" s="1" t="str">
        <f>IF(Goals!A50="","",Goals!E50)</f>
        <v>14 - EDOARDO CAVALLARI</v>
      </c>
      <c r="F111" s="1" t="str">
        <f>IF(Goals!A50="","",Goals!F50)</f>
        <v>Barrio Boys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8.8" customHeight="1" x14ac:dyDescent="0.3">
      <c r="A112" s="1" t="str">
        <f>IF(Goals!A51="","",Goals!A51)</f>
        <v>M05</v>
      </c>
      <c r="B112" s="1" t="str">
        <f>IF(Goals!A51="","",Goals!B51)</f>
        <v>Barrio Boys</v>
      </c>
      <c r="C112" s="1">
        <f>IF(Goals!A51="","",Goals!C51)</f>
        <v>2</v>
      </c>
      <c r="D112" s="1" t="str">
        <f>IF(Goals!A51="","",Goals!D51)</f>
        <v>Goal</v>
      </c>
      <c r="E112" s="1" t="str">
        <f>IF(Goals!A51="","",Goals!E51)</f>
        <v>18 - MATTEO FERRO</v>
      </c>
      <c r="F112" s="1" t="str">
        <f>IF(Goals!A51="","",Goals!F51)</f>
        <v>Barrio Boys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8.8" customHeight="1" x14ac:dyDescent="0.3">
      <c r="A113" s="1" t="str">
        <f>IF(Goals!A52="","",Goals!A52)</f>
        <v/>
      </c>
      <c r="B113" s="1" t="str">
        <f>IF(Goals!A52="","",Goals!B52)</f>
        <v/>
      </c>
      <c r="C113" s="1" t="str">
        <f>IF(Goals!A52="","",Goals!C52)</f>
        <v/>
      </c>
      <c r="D113" s="1" t="str">
        <f>IF(Goals!A52="","",Goals!D52)</f>
        <v/>
      </c>
      <c r="E113" s="1" t="str">
        <f>IF(Goals!A52="","",Goals!E52)</f>
        <v/>
      </c>
      <c r="F113" s="1" t="str">
        <f>IF(Goals!A52="","",Goals!F52)</f>
        <v/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8.8" customHeight="1" x14ac:dyDescent="0.3">
      <c r="A114" s="1" t="str">
        <f>IF(Goals!A53="","",Goals!A53)</f>
        <v/>
      </c>
      <c r="B114" s="1" t="str">
        <f>IF(Goals!A53="","",Goals!B53)</f>
        <v/>
      </c>
      <c r="C114" s="1" t="str">
        <f>IF(Goals!A53="","",Goals!C53)</f>
        <v/>
      </c>
      <c r="D114" s="1" t="str">
        <f>IF(Goals!A53="","",Goals!D53)</f>
        <v/>
      </c>
      <c r="E114" s="1" t="str">
        <f>IF(Goals!A53="","",Goals!E53)</f>
        <v/>
      </c>
      <c r="F114" s="1" t="str">
        <f>IF(Goals!A53="","",Goals!F53)</f>
        <v/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 t="str">
        <f>IF(Goals!A54="","",Goals!A54)</f>
        <v/>
      </c>
      <c r="B115" s="1" t="str">
        <f>IF(Goals!A54="","",Goals!B54)</f>
        <v/>
      </c>
      <c r="C115" s="1" t="str">
        <f>IF(Goals!A54="","",Goals!C54)</f>
        <v/>
      </c>
      <c r="D115" s="1" t="str">
        <f>IF(Goals!A54="","",Goals!D54)</f>
        <v/>
      </c>
      <c r="E115" s="1" t="str">
        <f>IF(Goals!A54="","",Goals!E54)</f>
        <v/>
      </c>
      <c r="F115" s="1" t="str">
        <f>IF(Goals!A54="","",Goals!F54)</f>
        <v/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 t="str">
        <f>IF(Goals!A55="","",Goals!A55)</f>
        <v/>
      </c>
      <c r="B116" s="1" t="str">
        <f>IF(Goals!A55="","",Goals!B55)</f>
        <v/>
      </c>
      <c r="C116" s="1" t="str">
        <f>IF(Goals!A55="","",Goals!C55)</f>
        <v/>
      </c>
      <c r="D116" s="1" t="str">
        <f>IF(Goals!A55="","",Goals!D55)</f>
        <v/>
      </c>
      <c r="E116" s="1" t="str">
        <f>IF(Goals!A55="","",Goals!E55)</f>
        <v/>
      </c>
      <c r="F116" s="1" t="str">
        <f>IF(Goals!A55="","",Goals!F55)</f>
        <v/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 t="str">
        <f>IF(Goals!A56="","",Goals!A56)</f>
        <v/>
      </c>
      <c r="B117" s="1" t="str">
        <f>IF(Goals!A56="","",Goals!B56)</f>
        <v/>
      </c>
      <c r="C117" s="1" t="str">
        <f>IF(Goals!A56="","",Goals!C56)</f>
        <v/>
      </c>
      <c r="D117" s="1" t="str">
        <f>IF(Goals!A56="","",Goals!D56)</f>
        <v/>
      </c>
      <c r="E117" s="1" t="str">
        <f>IF(Goals!A56="","",Goals!E56)</f>
        <v/>
      </c>
      <c r="F117" s="1" t="str">
        <f>IF(Goals!A56="","",Goals!F56)</f>
        <v/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 t="str">
        <f>IF(Goals!A57="","",Goals!A57)</f>
        <v/>
      </c>
      <c r="B118" s="1" t="str">
        <f>IF(Goals!A57="","",Goals!B57)</f>
        <v/>
      </c>
      <c r="C118" s="1" t="str">
        <f>IF(Goals!A57="","",Goals!C57)</f>
        <v/>
      </c>
      <c r="D118" s="1" t="str">
        <f>IF(Goals!A57="","",Goals!D57)</f>
        <v/>
      </c>
      <c r="E118" s="1" t="str">
        <f>IF(Goals!A57="","",Goals!E57)</f>
        <v/>
      </c>
      <c r="F118" s="1" t="str">
        <f>IF(Goals!A57="","",Goals!F57)</f>
        <v/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 t="str">
        <f>IF(Goals!A58="","",Goals!A58)</f>
        <v/>
      </c>
      <c r="B119" s="1" t="str">
        <f>IF(Goals!A58="","",Goals!B58)</f>
        <v/>
      </c>
      <c r="C119" s="1" t="str">
        <f>IF(Goals!A58="","",Goals!C58)</f>
        <v/>
      </c>
      <c r="D119" s="1" t="str">
        <f>IF(Goals!A58="","",Goals!D58)</f>
        <v/>
      </c>
      <c r="E119" s="1" t="str">
        <f>IF(Goals!A58="","",Goals!E58)</f>
        <v/>
      </c>
      <c r="F119" s="1" t="str">
        <f>IF(Goals!A58="","",Goals!F58)</f>
        <v/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 t="str">
        <f>IF(Goals!A59="","",Goals!A59)</f>
        <v/>
      </c>
      <c r="B120" s="1" t="str">
        <f>IF(Goals!A59="","",Goals!B59)</f>
        <v/>
      </c>
      <c r="C120" s="1" t="str">
        <f>IF(Goals!A59="","",Goals!C59)</f>
        <v/>
      </c>
      <c r="D120" s="1" t="str">
        <f>IF(Goals!A59="","",Goals!D59)</f>
        <v/>
      </c>
      <c r="E120" s="1" t="str">
        <f>IF(Goals!A59="","",Goals!E59)</f>
        <v/>
      </c>
      <c r="F120" s="1" t="str">
        <f>IF(Goals!A59="","",Goals!F59)</f>
        <v/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 t="str">
        <f>IF(Goals!A60="","",Goals!A60)</f>
        <v/>
      </c>
      <c r="B121" s="1" t="str">
        <f>IF(Goals!A60="","",Goals!B60)</f>
        <v/>
      </c>
      <c r="C121" s="1" t="str">
        <f>IF(Goals!A60="","",Goals!C60)</f>
        <v/>
      </c>
      <c r="D121" s="1" t="str">
        <f>IF(Goals!A60="","",Goals!D60)</f>
        <v/>
      </c>
      <c r="E121" s="1" t="str">
        <f>IF(Goals!A60="","",Goals!E60)</f>
        <v/>
      </c>
      <c r="F121" s="1" t="str">
        <f>IF(Goals!A60="","",Goals!F60)</f>
        <v/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 t="str">
        <f>IF(Goals!A61="","",Goals!A61)</f>
        <v/>
      </c>
      <c r="B122" s="1" t="str">
        <f>IF(Goals!A61="","",Goals!B61)</f>
        <v/>
      </c>
      <c r="C122" s="1" t="str">
        <f>IF(Goals!A61="","",Goals!C61)</f>
        <v/>
      </c>
      <c r="D122" s="1" t="str">
        <f>IF(Goals!A61="","",Goals!D61)</f>
        <v/>
      </c>
      <c r="E122" s="1" t="str">
        <f>IF(Goals!A61="","",Goals!E61)</f>
        <v/>
      </c>
      <c r="F122" s="1" t="str">
        <f>IF(Goals!A61="","",Goals!F61)</f>
        <v/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8.8" customHeight="1" x14ac:dyDescent="0.3">
      <c r="A123" s="1" t="str">
        <f>IF(Goals!A62="","",Goals!A62)</f>
        <v>M06</v>
      </c>
      <c r="B123" s="1" t="str">
        <f>IF(Goals!A62="","",Goals!B62)</f>
        <v>AS Bancatore</v>
      </c>
      <c r="C123" s="1">
        <f>IF(Goals!A62="","",Goals!C62)</f>
        <v>1</v>
      </c>
      <c r="D123" s="1" t="str">
        <f>IF(Goals!A62="","",Goals!D62)</f>
        <v>Goal</v>
      </c>
      <c r="E123" s="1" t="str">
        <f>IF(Goals!A62="","",Goals!E62)</f>
        <v>9 - IGNAZIO BADALÌ</v>
      </c>
      <c r="F123" s="1" t="str">
        <f>IF(Goals!A62="","",Goals!F62)</f>
        <v>AS Bancatore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 t="str">
        <f>IF(Goals!A63="","",Goals!A63)</f>
        <v>M06</v>
      </c>
      <c r="B124" s="1" t="str">
        <f>IF(Goals!A63="","",Goals!B63)</f>
        <v>AS Bancatore</v>
      </c>
      <c r="C124" s="1">
        <f>IF(Goals!A63="","",Goals!C63)</f>
        <v>2</v>
      </c>
      <c r="D124" s="1" t="str">
        <f>IF(Goals!A63="","",Goals!D63)</f>
        <v>Goal</v>
      </c>
      <c r="E124" s="1" t="str">
        <f>IF(Goals!A63="","",Goals!E63)</f>
        <v>9 - IGNAZIO BADALÌ</v>
      </c>
      <c r="F124" s="1" t="str">
        <f>IF(Goals!A63="","",Goals!F63)</f>
        <v>AS Bancatore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 t="str">
        <f>IF(Goals!A64="","",Goals!A64)</f>
        <v>M06</v>
      </c>
      <c r="B125" s="1" t="str">
        <f>IF(Goals!A64="","",Goals!B64)</f>
        <v>AS Bancatore</v>
      </c>
      <c r="C125" s="1">
        <f>IF(Goals!A64="","",Goals!C64)</f>
        <v>3</v>
      </c>
      <c r="D125" s="1" t="str">
        <f>IF(Goals!A64="","",Goals!D64)</f>
        <v>Goal</v>
      </c>
      <c r="E125" s="1" t="str">
        <f>IF(Goals!A64="","",Goals!E64)</f>
        <v>5 - MATTEO LONGO</v>
      </c>
      <c r="F125" s="1" t="str">
        <f>IF(Goals!A64="","",Goals!F64)</f>
        <v>AS Bancatore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 t="str">
        <f>IF(Goals!A65="","",Goals!A65)</f>
        <v>M06</v>
      </c>
      <c r="B126" s="1" t="str">
        <f>IF(Goals!A65="","",Goals!B65)</f>
        <v>AS Bancatore</v>
      </c>
      <c r="C126" s="1">
        <f>IF(Goals!A65="","",Goals!C65)</f>
        <v>4</v>
      </c>
      <c r="D126" s="1" t="str">
        <f>IF(Goals!A65="","",Goals!D65)</f>
        <v>Goal</v>
      </c>
      <c r="E126" s="1" t="str">
        <f>IF(Goals!A65="","",Goals!E65)</f>
        <v>10 - GIANLUCA FREZZATI</v>
      </c>
      <c r="F126" s="1" t="str">
        <f>IF(Goals!A65="","",Goals!F65)</f>
        <v>AS Bancatore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 t="str">
        <f>IF(Goals!A66="","",Goals!A66)</f>
        <v>M06</v>
      </c>
      <c r="B127" s="1" t="str">
        <f>IF(Goals!A66="","",Goals!B66)</f>
        <v>AS Bancatore</v>
      </c>
      <c r="C127" s="1">
        <f>IF(Goals!A66="","",Goals!C66)</f>
        <v>5</v>
      </c>
      <c r="D127" s="1" t="str">
        <f>IF(Goals!A66="","",Goals!D66)</f>
        <v>Goal</v>
      </c>
      <c r="E127" s="1" t="str">
        <f>IF(Goals!A66="","",Goals!E66)</f>
        <v>17 - NICOLA BARONI</v>
      </c>
      <c r="F127" s="1" t="str">
        <f>IF(Goals!A66="","",Goals!F66)</f>
        <v>AS Bancatore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 t="str">
        <f>IF(Goals!A67="","",Goals!A67)</f>
        <v/>
      </c>
      <c r="B128" s="1" t="str">
        <f>IF(Goals!A67="","",Goals!B67)</f>
        <v/>
      </c>
      <c r="C128" s="1" t="str">
        <f>IF(Goals!A67="","",Goals!C67)</f>
        <v/>
      </c>
      <c r="D128" s="1" t="str">
        <f>IF(Goals!A67="","",Goals!D67)</f>
        <v/>
      </c>
      <c r="E128" s="1" t="str">
        <f>IF(Goals!A67="","",Goals!E67)</f>
        <v/>
      </c>
      <c r="F128" s="1" t="str">
        <f>IF(Goals!A67="","",Goals!F67)</f>
        <v/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 t="str">
        <f>IF(Goals!A68="","",Goals!A68)</f>
        <v/>
      </c>
      <c r="B129" s="1" t="str">
        <f>IF(Goals!A68="","",Goals!B68)</f>
        <v/>
      </c>
      <c r="C129" s="1" t="str">
        <f>IF(Goals!A68="","",Goals!C68)</f>
        <v/>
      </c>
      <c r="D129" s="1" t="str">
        <f>IF(Goals!A68="","",Goals!D68)</f>
        <v/>
      </c>
      <c r="E129" s="1" t="str">
        <f>IF(Goals!A68="","",Goals!E68)</f>
        <v/>
      </c>
      <c r="F129" s="1" t="str">
        <f>IF(Goals!A68="","",Goals!F68)</f>
        <v/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 t="str">
        <f>IF(Goals!A69="","",Goals!A69)</f>
        <v/>
      </c>
      <c r="B130" s="1" t="str">
        <f>IF(Goals!A69="","",Goals!B69)</f>
        <v/>
      </c>
      <c r="C130" s="1" t="str">
        <f>IF(Goals!A69="","",Goals!C69)</f>
        <v/>
      </c>
      <c r="D130" s="1" t="str">
        <f>IF(Goals!A69="","",Goals!D69)</f>
        <v/>
      </c>
      <c r="E130" s="1" t="str">
        <f>IF(Goals!A69="","",Goals!E69)</f>
        <v/>
      </c>
      <c r="F130" s="1" t="str">
        <f>IF(Goals!A69="","",Goals!F69)</f>
        <v/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 t="str">
        <f>IF(Goals!A70="","",Goals!A70)</f>
        <v/>
      </c>
      <c r="B131" s="1" t="str">
        <f>IF(Goals!A70="","",Goals!B70)</f>
        <v/>
      </c>
      <c r="C131" s="1" t="str">
        <f>IF(Goals!A70="","",Goals!C70)</f>
        <v/>
      </c>
      <c r="D131" s="1" t="str">
        <f>IF(Goals!A70="","",Goals!D70)</f>
        <v/>
      </c>
      <c r="E131" s="1" t="str">
        <f>IF(Goals!A70="","",Goals!E70)</f>
        <v/>
      </c>
      <c r="F131" s="1" t="str">
        <f>IF(Goals!A70="","",Goals!F70)</f>
        <v/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 t="str">
        <f>IF(Goals!A71="","",Goals!A71)</f>
        <v/>
      </c>
      <c r="B132" s="1" t="str">
        <f>IF(Goals!A71="","",Goals!B71)</f>
        <v/>
      </c>
      <c r="C132" s="1" t="str">
        <f>IF(Goals!A71="","",Goals!C71)</f>
        <v/>
      </c>
      <c r="D132" s="1" t="str">
        <f>IF(Goals!A71="","",Goals!D71)</f>
        <v/>
      </c>
      <c r="E132" s="1" t="str">
        <f>IF(Goals!A71="","",Goals!E71)</f>
        <v/>
      </c>
      <c r="F132" s="1" t="str">
        <f>IF(Goals!A71="","",Goals!F71)</f>
        <v/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 t="str">
        <f>IF(Goals!A72="","",Goals!A72)</f>
        <v/>
      </c>
      <c r="B133" s="1" t="str">
        <f>IF(Goals!A72="","",Goals!B72)</f>
        <v/>
      </c>
      <c r="C133" s="1" t="str">
        <f>IF(Goals!A72="","",Goals!C72)</f>
        <v/>
      </c>
      <c r="D133" s="1" t="str">
        <f>IF(Goals!A72="","",Goals!D72)</f>
        <v/>
      </c>
      <c r="E133" s="1" t="str">
        <f>IF(Goals!A72="","",Goals!E72)</f>
        <v/>
      </c>
      <c r="F133" s="1" t="str">
        <f>IF(Goals!A72="","",Goals!F72)</f>
        <v/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 t="str">
        <f>IF(Goals!A73="","",Goals!A73)</f>
        <v/>
      </c>
      <c r="B134" s="1" t="str">
        <f>IF(Goals!A73="","",Goals!B73)</f>
        <v/>
      </c>
      <c r="C134" s="1" t="str">
        <f>IF(Goals!A73="","",Goals!C73)</f>
        <v/>
      </c>
      <c r="D134" s="1" t="str">
        <f>IF(Goals!A73="","",Goals!D73)</f>
        <v/>
      </c>
      <c r="E134" s="1" t="str">
        <f>IF(Goals!A73="","",Goals!E73)</f>
        <v/>
      </c>
      <c r="F134" s="1" t="str">
        <f>IF(Goals!A73="","",Goals!F73)</f>
        <v/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 t="str">
        <f>IF(Goals!A74="","",Goals!A74)</f>
        <v/>
      </c>
      <c r="B135" s="1" t="str">
        <f>IF(Goals!A74="","",Goals!B74)</f>
        <v/>
      </c>
      <c r="C135" s="1" t="str">
        <f>IF(Goals!A74="","",Goals!C74)</f>
        <v/>
      </c>
      <c r="D135" s="1" t="str">
        <f>IF(Goals!A74="","",Goals!D74)</f>
        <v/>
      </c>
      <c r="E135" s="1" t="str">
        <f>IF(Goals!A74="","",Goals!E74)</f>
        <v/>
      </c>
      <c r="F135" s="1" t="str">
        <f>IF(Goals!A74="","",Goals!F74)</f>
        <v/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 t="str">
        <f>IF(Goals!A75="","",Goals!A75)</f>
        <v/>
      </c>
      <c r="B136" s="1" t="str">
        <f>IF(Goals!A75="","",Goals!B75)</f>
        <v/>
      </c>
      <c r="C136" s="1" t="str">
        <f>IF(Goals!A75="","",Goals!C75)</f>
        <v/>
      </c>
      <c r="D136" s="1" t="str">
        <f>IF(Goals!A75="","",Goals!D75)</f>
        <v/>
      </c>
      <c r="E136" s="1" t="str">
        <f>IF(Goals!A75="","",Goals!E75)</f>
        <v/>
      </c>
      <c r="F136" s="1" t="str">
        <f>IF(Goals!A75="","",Goals!F75)</f>
        <v/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8.8" customHeight="1" x14ac:dyDescent="0.3">
      <c r="A137" s="1" t="str">
        <f>IF(Goals!A76="","",Goals!A76)</f>
        <v/>
      </c>
      <c r="B137" s="1" t="str">
        <f>IF(Goals!A76="","",Goals!B76)</f>
        <v/>
      </c>
      <c r="C137" s="1" t="str">
        <f>IF(Goals!A76="","",Goals!C76)</f>
        <v/>
      </c>
      <c r="D137" s="1" t="str">
        <f>IF(Goals!A76="","",Goals!D76)</f>
        <v/>
      </c>
      <c r="E137" s="1" t="str">
        <f>IF(Goals!A76="","",Goals!E76)</f>
        <v/>
      </c>
      <c r="F137" s="1" t="str">
        <f>IF(Goals!A76="","",Goals!F76)</f>
        <v/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8.8" customHeight="1" x14ac:dyDescent="0.3">
      <c r="A138" s="1" t="str">
        <f>IF(Goals!A77="","",Goals!A77)</f>
        <v/>
      </c>
      <c r="B138" s="1" t="str">
        <f>IF(Goals!A77="","",Goals!B77)</f>
        <v/>
      </c>
      <c r="C138" s="1" t="str">
        <f>IF(Goals!A77="","",Goals!C77)</f>
        <v/>
      </c>
      <c r="D138" s="1" t="str">
        <f>IF(Goals!A77="","",Goals!D77)</f>
        <v/>
      </c>
      <c r="E138" s="1" t="str">
        <f>IF(Goals!A77="","",Goals!E77)</f>
        <v/>
      </c>
      <c r="F138" s="1" t="str">
        <f>IF(Goals!A77="","",Goals!F77)</f>
        <v/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3.2" customHeight="1" x14ac:dyDescent="0.3">
      <c r="A139" s="1" t="str">
        <f>IF(Goals!A78="","",Goals!A78)</f>
        <v/>
      </c>
      <c r="B139" s="1" t="str">
        <f>IF(Goals!A78="","",Goals!B78)</f>
        <v/>
      </c>
      <c r="C139" s="1" t="str">
        <f>IF(Goals!A78="","",Goals!C78)</f>
        <v/>
      </c>
      <c r="D139" s="1" t="str">
        <f>IF(Goals!A78="","",Goals!D78)</f>
        <v/>
      </c>
      <c r="E139" s="1" t="str">
        <f>IF(Goals!A78="","",Goals!E78)</f>
        <v/>
      </c>
      <c r="F139" s="1" t="str">
        <f>IF(Goals!A78="","",Goals!F78)</f>
        <v/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3.2" customHeight="1" x14ac:dyDescent="0.3">
      <c r="A140" s="1" t="str">
        <f>IF(Goals!A79="","",Goals!A79)</f>
        <v/>
      </c>
      <c r="B140" s="1" t="str">
        <f>IF(Goals!A79="","",Goals!B79)</f>
        <v/>
      </c>
      <c r="C140" s="1" t="str">
        <f>IF(Goals!A79="","",Goals!C79)</f>
        <v/>
      </c>
      <c r="D140" s="1" t="str">
        <f>IF(Goals!A79="","",Goals!D79)</f>
        <v/>
      </c>
      <c r="E140" s="1" t="str">
        <f>IF(Goals!A79="","",Goals!E79)</f>
        <v/>
      </c>
      <c r="F140" s="1" t="str">
        <f>IF(Goals!A79="","",Goals!F79)</f>
        <v/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3.2" customHeight="1" x14ac:dyDescent="0.3">
      <c r="A141" s="1" t="str">
        <f>IF(Goals!A80="","",Goals!A80)</f>
        <v/>
      </c>
      <c r="B141" s="1" t="str">
        <f>IF(Goals!A80="","",Goals!B80)</f>
        <v/>
      </c>
      <c r="C141" s="1" t="str">
        <f>IF(Goals!A80="","",Goals!C80)</f>
        <v/>
      </c>
      <c r="D141" s="1" t="str">
        <f>IF(Goals!A80="","",Goals!D80)</f>
        <v/>
      </c>
      <c r="E141" s="1" t="str">
        <f>IF(Goals!A80="","",Goals!E80)</f>
        <v/>
      </c>
      <c r="F141" s="1" t="str">
        <f>IF(Goals!A80="","",Goals!F80)</f>
        <v/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43.2" customHeight="1" x14ac:dyDescent="0.3">
      <c r="A142" s="1" t="str">
        <f>IF(Goals!A81="","",Goals!A81)</f>
        <v/>
      </c>
      <c r="B142" s="1" t="str">
        <f>IF(Goals!A81="","",Goals!B81)</f>
        <v/>
      </c>
      <c r="C142" s="1" t="str">
        <f>IF(Goals!A81="","",Goals!C81)</f>
        <v/>
      </c>
      <c r="D142" s="1" t="str">
        <f>IF(Goals!A81="","",Goals!D81)</f>
        <v/>
      </c>
      <c r="E142" s="1" t="str">
        <f>IF(Goals!A81="","",Goals!E81)</f>
        <v/>
      </c>
      <c r="F142" s="1" t="str">
        <f>IF(Goals!A81="","",Goals!F81)</f>
        <v/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3.2" customHeight="1" x14ac:dyDescent="0.3">
      <c r="A143" s="1" t="str">
        <f>IF(Goals!A82="","",Goals!A82)</f>
        <v/>
      </c>
      <c r="B143" s="1" t="str">
        <f>IF(Goals!A82="","",Goals!B82)</f>
        <v/>
      </c>
      <c r="C143" s="1" t="str">
        <f>IF(Goals!A82="","",Goals!C82)</f>
        <v/>
      </c>
      <c r="D143" s="1" t="str">
        <f>IF(Goals!A82="","",Goals!D82)</f>
        <v/>
      </c>
      <c r="E143" s="1" t="str">
        <f>IF(Goals!A82="","",Goals!E82)</f>
        <v/>
      </c>
      <c r="F143" s="1" t="str">
        <f>IF(Goals!A82="","",Goals!F82)</f>
        <v/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 t="str">
        <f>IF(Goals!A83="","",Goals!A83)</f>
        <v/>
      </c>
      <c r="B144" s="1" t="str">
        <f>IF(Goals!A83="","",Goals!B83)</f>
        <v/>
      </c>
      <c r="C144" s="1" t="str">
        <f>IF(Goals!A83="","",Goals!C83)</f>
        <v/>
      </c>
      <c r="D144" s="1" t="str">
        <f>IF(Goals!A83="","",Goals!D83)</f>
        <v/>
      </c>
      <c r="E144" s="1" t="str">
        <f>IF(Goals!A83="","",Goals!E83)</f>
        <v/>
      </c>
      <c r="F144" s="1" t="str">
        <f>IF(Goals!A83="","",Goals!F83)</f>
        <v/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 t="str">
        <f>IF(Goals!A84="","",Goals!A84)</f>
        <v/>
      </c>
      <c r="B145" s="1" t="str">
        <f>IF(Goals!A84="","",Goals!B84)</f>
        <v/>
      </c>
      <c r="C145" s="1" t="str">
        <f>IF(Goals!A84="","",Goals!C84)</f>
        <v/>
      </c>
      <c r="D145" s="1" t="str">
        <f>IF(Goals!A84="","",Goals!D84)</f>
        <v/>
      </c>
      <c r="E145" s="1" t="str">
        <f>IF(Goals!A84="","",Goals!E84)</f>
        <v/>
      </c>
      <c r="F145" s="1" t="str">
        <f>IF(Goals!A84="","",Goals!F84)</f>
        <v/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 t="str">
        <f>IF(Goals!A85="","",Goals!A85)</f>
        <v/>
      </c>
      <c r="B146" s="1" t="str">
        <f>IF(Goals!A85="","",Goals!B85)</f>
        <v/>
      </c>
      <c r="C146" s="1" t="str">
        <f>IF(Goals!A85="","",Goals!C85)</f>
        <v/>
      </c>
      <c r="D146" s="1" t="str">
        <f>IF(Goals!A85="","",Goals!D85)</f>
        <v/>
      </c>
      <c r="E146" s="1" t="str">
        <f>IF(Goals!A85="","",Goals!E85)</f>
        <v/>
      </c>
      <c r="F146" s="1" t="str">
        <f>IF(Goals!A85="","",Goals!F85)</f>
        <v/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8.8" customHeight="1" x14ac:dyDescent="0.3">
      <c r="A147" s="1" t="str">
        <f>IF(Goals!A86="","",Goals!A86)</f>
        <v/>
      </c>
      <c r="B147" s="1" t="str">
        <f>IF(Goals!A86="","",Goals!B86)</f>
        <v/>
      </c>
      <c r="C147" s="1" t="str">
        <f>IF(Goals!A86="","",Goals!C86)</f>
        <v/>
      </c>
      <c r="D147" s="1" t="str">
        <f>IF(Goals!A86="","",Goals!D86)</f>
        <v/>
      </c>
      <c r="E147" s="1" t="str">
        <f>IF(Goals!A86="","",Goals!E86)</f>
        <v/>
      </c>
      <c r="F147" s="1" t="str">
        <f>IF(Goals!A86="","",Goals!F86)</f>
        <v/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8.8" customHeight="1" x14ac:dyDescent="0.3">
      <c r="A148" s="1" t="str">
        <f>IF(Goals!A87="","",Goals!A87)</f>
        <v/>
      </c>
      <c r="B148" s="1" t="str">
        <f>IF(Goals!A87="","",Goals!B87)</f>
        <v/>
      </c>
      <c r="C148" s="1" t="str">
        <f>IF(Goals!A87="","",Goals!C87)</f>
        <v/>
      </c>
      <c r="D148" s="1" t="str">
        <f>IF(Goals!A87="","",Goals!D87)</f>
        <v/>
      </c>
      <c r="E148" s="1" t="str">
        <f>IF(Goals!A87="","",Goals!E87)</f>
        <v/>
      </c>
      <c r="F148" s="1" t="str">
        <f>IF(Goals!A87="","",Goals!F87)</f>
        <v/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43.2" customHeight="1" x14ac:dyDescent="0.3">
      <c r="A149" s="1" t="str">
        <f>IF(Goals!A88="","",Goals!A88)</f>
        <v/>
      </c>
      <c r="B149" s="1" t="str">
        <f>IF(Goals!A88="","",Goals!B88)</f>
        <v/>
      </c>
      <c r="C149" s="1" t="str">
        <f>IF(Goals!A88="","",Goals!C88)</f>
        <v/>
      </c>
      <c r="D149" s="1" t="str">
        <f>IF(Goals!A88="","",Goals!D88)</f>
        <v/>
      </c>
      <c r="E149" s="1" t="str">
        <f>IF(Goals!A88="","",Goals!E88)</f>
        <v/>
      </c>
      <c r="F149" s="1" t="str">
        <f>IF(Goals!A88="","",Goals!F88)</f>
        <v/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43.2" customHeight="1" x14ac:dyDescent="0.3">
      <c r="A150" s="1" t="str">
        <f>IF(Goals!A89="","",Goals!A89)</f>
        <v/>
      </c>
      <c r="B150" s="1" t="str">
        <f>IF(Goals!A89="","",Goals!B89)</f>
        <v/>
      </c>
      <c r="C150" s="1" t="str">
        <f>IF(Goals!A89="","",Goals!C89)</f>
        <v/>
      </c>
      <c r="D150" s="1" t="str">
        <f>IF(Goals!A89="","",Goals!D89)</f>
        <v/>
      </c>
      <c r="E150" s="1" t="str">
        <f>IF(Goals!A89="","",Goals!E89)</f>
        <v/>
      </c>
      <c r="F150" s="1" t="str">
        <f>IF(Goals!A89="","",Goals!F89)</f>
        <v/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43.2" customHeight="1" x14ac:dyDescent="0.3">
      <c r="A151" s="1" t="str">
        <f>IF(Goals!A90="","",Goals!A90)</f>
        <v/>
      </c>
      <c r="B151" s="1" t="str">
        <f>IF(Goals!A90="","",Goals!B90)</f>
        <v/>
      </c>
      <c r="C151" s="1" t="str">
        <f>IF(Goals!A90="","",Goals!C90)</f>
        <v/>
      </c>
      <c r="D151" s="1" t="str">
        <f>IF(Goals!A90="","",Goals!D90)</f>
        <v/>
      </c>
      <c r="E151" s="1" t="str">
        <f>IF(Goals!A90="","",Goals!E90)</f>
        <v/>
      </c>
      <c r="F151" s="1" t="str">
        <f>IF(Goals!A90="","",Goals!F90)</f>
        <v/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8.8" customHeight="1" x14ac:dyDescent="0.3">
      <c r="A152" s="1" t="str">
        <f>IF(Goals!A91="","",Goals!A91)</f>
        <v/>
      </c>
      <c r="B152" s="1" t="str">
        <f>IF(Goals!A91="","",Goals!B91)</f>
        <v/>
      </c>
      <c r="C152" s="1" t="str">
        <f>IF(Goals!A91="","",Goals!C91)</f>
        <v/>
      </c>
      <c r="D152" s="1" t="str">
        <f>IF(Goals!A91="","",Goals!D91)</f>
        <v/>
      </c>
      <c r="E152" s="1" t="str">
        <f>IF(Goals!A91="","",Goals!E91)</f>
        <v/>
      </c>
      <c r="F152" s="1" t="str">
        <f>IF(Goals!A91="","",Goals!F91)</f>
        <v/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8.8" customHeight="1" x14ac:dyDescent="0.3">
      <c r="A153" s="1" t="str">
        <f>IF(Goals!A92="","",Goals!A92)</f>
        <v/>
      </c>
      <c r="B153" s="1" t="str">
        <f>IF(Goals!A92="","",Goals!B92)</f>
        <v/>
      </c>
      <c r="C153" s="1" t="str">
        <f>IF(Goals!A92="","",Goals!C92)</f>
        <v/>
      </c>
      <c r="D153" s="1" t="str">
        <f>IF(Goals!A92="","",Goals!D92)</f>
        <v/>
      </c>
      <c r="E153" s="1" t="str">
        <f>IF(Goals!A92="","",Goals!E92)</f>
        <v/>
      </c>
      <c r="F153" s="1" t="str">
        <f>IF(Goals!A92="","",Goals!F92)</f>
        <v/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8.8" customHeight="1" x14ac:dyDescent="0.3">
      <c r="A154" s="1" t="str">
        <f>IF(Goals!A93="","",Goals!A93)</f>
        <v/>
      </c>
      <c r="B154" s="1" t="str">
        <f>IF(Goals!A93="","",Goals!B93)</f>
        <v/>
      </c>
      <c r="C154" s="1" t="str">
        <f>IF(Goals!A93="","",Goals!C93)</f>
        <v/>
      </c>
      <c r="D154" s="1" t="str">
        <f>IF(Goals!A93="","",Goals!D93)</f>
        <v/>
      </c>
      <c r="E154" s="1" t="str">
        <f>IF(Goals!A93="","",Goals!E93)</f>
        <v/>
      </c>
      <c r="F154" s="1" t="str">
        <f>IF(Goals!A93="","",Goals!F93)</f>
        <v/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8.8" customHeight="1" x14ac:dyDescent="0.3">
      <c r="A155" s="1" t="str">
        <f>IF(Goals!A94="","",Goals!A94)</f>
        <v/>
      </c>
      <c r="B155" s="1" t="str">
        <f>IF(Goals!A94="","",Goals!B94)</f>
        <v/>
      </c>
      <c r="C155" s="1" t="str">
        <f>IF(Goals!A94="","",Goals!C94)</f>
        <v/>
      </c>
      <c r="D155" s="1" t="str">
        <f>IF(Goals!A94="","",Goals!D94)</f>
        <v/>
      </c>
      <c r="E155" s="1" t="str">
        <f>IF(Goals!A94="","",Goals!E94)</f>
        <v/>
      </c>
      <c r="F155" s="1" t="str">
        <f>IF(Goals!A94="","",Goals!F94)</f>
        <v/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 t="str">
        <f>IF(Goals!A95="","",Goals!A95)</f>
        <v/>
      </c>
      <c r="B156" s="1" t="str">
        <f>IF(Goals!A95="","",Goals!B95)</f>
        <v/>
      </c>
      <c r="C156" s="1" t="str">
        <f>IF(Goals!A95="","",Goals!C95)</f>
        <v/>
      </c>
      <c r="D156" s="1" t="str">
        <f>IF(Goals!A95="","",Goals!D95)</f>
        <v/>
      </c>
      <c r="E156" s="1" t="str">
        <f>IF(Goals!A95="","",Goals!E95)</f>
        <v/>
      </c>
      <c r="F156" s="1" t="str">
        <f>IF(Goals!A95="","",Goals!F95)</f>
        <v/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 t="str">
        <f>IF(Goals!A96="","",Goals!A96)</f>
        <v/>
      </c>
      <c r="B157" s="1" t="str">
        <f>IF(Goals!A96="","",Goals!B96)</f>
        <v/>
      </c>
      <c r="C157" s="1" t="str">
        <f>IF(Goals!A96="","",Goals!C96)</f>
        <v/>
      </c>
      <c r="D157" s="1" t="str">
        <f>IF(Goals!A96="","",Goals!D96)</f>
        <v/>
      </c>
      <c r="E157" s="1" t="str">
        <f>IF(Goals!A96="","",Goals!E96)</f>
        <v/>
      </c>
      <c r="F157" s="1" t="str">
        <f>IF(Goals!A96="","",Goals!F96)</f>
        <v/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 t="str">
        <f>IF(Goals!A97="","",Goals!A97)</f>
        <v/>
      </c>
      <c r="B158" s="1" t="str">
        <f>IF(Goals!A97="","",Goals!B97)</f>
        <v/>
      </c>
      <c r="C158" s="1" t="str">
        <f>IF(Goals!A97="","",Goals!C97)</f>
        <v/>
      </c>
      <c r="D158" s="1" t="str">
        <f>IF(Goals!A97="","",Goals!D97)</f>
        <v/>
      </c>
      <c r="E158" s="1" t="str">
        <f>IF(Goals!A97="","",Goals!E97)</f>
        <v/>
      </c>
      <c r="F158" s="1" t="str">
        <f>IF(Goals!A97="","",Goals!F97)</f>
        <v/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 t="str">
        <f>IF(Goals!A98="","",Goals!A98)</f>
        <v/>
      </c>
      <c r="B159" s="1" t="str">
        <f>IF(Goals!A98="","",Goals!B98)</f>
        <v/>
      </c>
      <c r="C159" s="1" t="str">
        <f>IF(Goals!A98="","",Goals!C98)</f>
        <v/>
      </c>
      <c r="D159" s="1" t="str">
        <f>IF(Goals!A98="","",Goals!D98)</f>
        <v/>
      </c>
      <c r="E159" s="1" t="str">
        <f>IF(Goals!A98="","",Goals!E98)</f>
        <v/>
      </c>
      <c r="F159" s="1" t="str">
        <f>IF(Goals!A98="","",Goals!F98)</f>
        <v/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 t="str">
        <f>IF(Goals!A99="","",Goals!A99)</f>
        <v/>
      </c>
      <c r="B160" s="1" t="str">
        <f>IF(Goals!A99="","",Goals!B99)</f>
        <v/>
      </c>
      <c r="C160" s="1" t="str">
        <f>IF(Goals!A99="","",Goals!C99)</f>
        <v/>
      </c>
      <c r="D160" s="1" t="str">
        <f>IF(Goals!A99="","",Goals!D99)</f>
        <v/>
      </c>
      <c r="E160" s="1" t="str">
        <f>IF(Goals!A99="","",Goals!E99)</f>
        <v/>
      </c>
      <c r="F160" s="1" t="str">
        <f>IF(Goals!A99="","",Goals!F99)</f>
        <v/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 t="str">
        <f>IF(Goals!A100="","",Goals!A100)</f>
        <v/>
      </c>
      <c r="B161" s="1" t="str">
        <f>IF(Goals!A100="","",Goals!B100)</f>
        <v/>
      </c>
      <c r="C161" s="1" t="str">
        <f>IF(Goals!A100="","",Goals!C100)</f>
        <v/>
      </c>
      <c r="D161" s="1" t="str">
        <f>IF(Goals!A100="","",Goals!D100)</f>
        <v/>
      </c>
      <c r="E161" s="1" t="str">
        <f>IF(Goals!A100="","",Goals!E100)</f>
        <v/>
      </c>
      <c r="F161" s="1" t="str">
        <f>IF(Goals!A100="","",Goals!F100)</f>
        <v/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8.8" customHeight="1" x14ac:dyDescent="0.3">
      <c r="A162" s="1" t="str">
        <f>IF(Goals!A101="","",Goals!A101)</f>
        <v/>
      </c>
      <c r="B162" s="1" t="str">
        <f>IF(Goals!A101="","",Goals!B101)</f>
        <v/>
      </c>
      <c r="C162" s="1" t="str">
        <f>IF(Goals!A101="","",Goals!C101)</f>
        <v/>
      </c>
      <c r="D162" s="1" t="str">
        <f>IF(Goals!A101="","",Goals!D101)</f>
        <v/>
      </c>
      <c r="E162" s="1" t="str">
        <f>IF(Goals!A101="","",Goals!E101)</f>
        <v/>
      </c>
      <c r="F162" s="1" t="str">
        <f>IF(Goals!A101="","",Goals!F101)</f>
        <v/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8.8" customHeight="1" x14ac:dyDescent="0.3">
      <c r="A163" s="1" t="str">
        <f>IF(Goals!A102="","",Goals!A102)</f>
        <v/>
      </c>
      <c r="B163" s="1" t="str">
        <f>IF(Goals!A102="","",Goals!B102)</f>
        <v/>
      </c>
      <c r="C163" s="1" t="str">
        <f>IF(Goals!A102="","",Goals!C102)</f>
        <v/>
      </c>
      <c r="D163" s="1" t="str">
        <f>IF(Goals!A102="","",Goals!D102)</f>
        <v/>
      </c>
      <c r="E163" s="1" t="str">
        <f>IF(Goals!A102="","",Goals!E102)</f>
        <v/>
      </c>
      <c r="F163" s="1" t="str">
        <f>IF(Goals!A102="","",Goals!F102)</f>
        <v/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8.8" customHeight="1" x14ac:dyDescent="0.3">
      <c r="A164" s="1" t="str">
        <f>IF(Goals!A103="","",Goals!A103)</f>
        <v/>
      </c>
      <c r="B164" s="1" t="str">
        <f>IF(Goals!A103="","",Goals!B103)</f>
        <v/>
      </c>
      <c r="C164" s="1" t="str">
        <f>IF(Goals!A103="","",Goals!C103)</f>
        <v/>
      </c>
      <c r="D164" s="1" t="str">
        <f>IF(Goals!A103="","",Goals!D103)</f>
        <v/>
      </c>
      <c r="E164" s="1" t="str">
        <f>IF(Goals!A103="","",Goals!E103)</f>
        <v/>
      </c>
      <c r="F164" s="1" t="str">
        <f>IF(Goals!A103="","",Goals!F103)</f>
        <v/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8.8" customHeight="1" x14ac:dyDescent="0.3">
      <c r="A165" s="1" t="str">
        <f>IF(Goals!A104="","",Goals!A104)</f>
        <v/>
      </c>
      <c r="B165" s="1" t="str">
        <f>IF(Goals!A104="","",Goals!B104)</f>
        <v/>
      </c>
      <c r="C165" s="1" t="str">
        <f>IF(Goals!A104="","",Goals!C104)</f>
        <v/>
      </c>
      <c r="D165" s="1" t="str">
        <f>IF(Goals!A104="","",Goals!D104)</f>
        <v/>
      </c>
      <c r="E165" s="1" t="str">
        <f>IF(Goals!A104="","",Goals!E104)</f>
        <v/>
      </c>
      <c r="F165" s="1" t="str">
        <f>IF(Goals!A104="","",Goals!F104)</f>
        <v/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 t="str">
        <f>IF(Goals!A105="","",Goals!A105)</f>
        <v/>
      </c>
      <c r="B166" s="1" t="str">
        <f>IF(Goals!A105="","",Goals!B105)</f>
        <v/>
      </c>
      <c r="C166" s="1" t="str">
        <f>IF(Goals!A105="","",Goals!C105)</f>
        <v/>
      </c>
      <c r="D166" s="1" t="str">
        <f>IF(Goals!A105="","",Goals!D105)</f>
        <v/>
      </c>
      <c r="E166" s="1" t="str">
        <f>IF(Goals!A105="","",Goals!E105)</f>
        <v/>
      </c>
      <c r="F166" s="1" t="str">
        <f>IF(Goals!A105="","",Goals!F105)</f>
        <v/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 t="str">
        <f>IF(Goals!A106="","",Goals!A106)</f>
        <v/>
      </c>
      <c r="B167" s="1" t="str">
        <f>IF(Goals!A106="","",Goals!B106)</f>
        <v/>
      </c>
      <c r="C167" s="1" t="str">
        <f>IF(Goals!A106="","",Goals!C106)</f>
        <v/>
      </c>
      <c r="D167" s="1" t="str">
        <f>IF(Goals!A106="","",Goals!D106)</f>
        <v/>
      </c>
      <c r="E167" s="1" t="str">
        <f>IF(Goals!A106="","",Goals!E106)</f>
        <v/>
      </c>
      <c r="F167" s="1" t="str">
        <f>IF(Goals!A106="","",Goals!F106)</f>
        <v/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 t="str">
        <f>IF(Goals!A107="","",Goals!A107)</f>
        <v/>
      </c>
      <c r="B168" s="1" t="str">
        <f>IF(Goals!A107="","",Goals!B107)</f>
        <v/>
      </c>
      <c r="C168" s="1" t="str">
        <f>IF(Goals!A107="","",Goals!C107)</f>
        <v/>
      </c>
      <c r="D168" s="1" t="str">
        <f>IF(Goals!A107="","",Goals!D107)</f>
        <v/>
      </c>
      <c r="E168" s="1" t="str">
        <f>IF(Goals!A107="","",Goals!E107)</f>
        <v/>
      </c>
      <c r="F168" s="1" t="str">
        <f>IF(Goals!A107="","",Goals!F107)</f>
        <v/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 t="str">
        <f>IF(Goals!A108="","",Goals!A108)</f>
        <v/>
      </c>
      <c r="B169" s="1" t="str">
        <f>IF(Goals!A108="","",Goals!B108)</f>
        <v/>
      </c>
      <c r="C169" s="1" t="str">
        <f>IF(Goals!A108="","",Goals!C108)</f>
        <v/>
      </c>
      <c r="D169" s="1" t="str">
        <f>IF(Goals!A108="","",Goals!D108)</f>
        <v/>
      </c>
      <c r="E169" s="1" t="str">
        <f>IF(Goals!A108="","",Goals!E108)</f>
        <v/>
      </c>
      <c r="F169" s="1" t="str">
        <f>IF(Goals!A108="","",Goals!F108)</f>
        <v/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 t="str">
        <f>IF(Goals!A109="","",Goals!A109)</f>
        <v/>
      </c>
      <c r="B170" s="1" t="str">
        <f>IF(Goals!A109="","",Goals!B109)</f>
        <v/>
      </c>
      <c r="C170" s="1" t="str">
        <f>IF(Goals!A109="","",Goals!C109)</f>
        <v/>
      </c>
      <c r="D170" s="1" t="str">
        <f>IF(Goals!A109="","",Goals!D109)</f>
        <v/>
      </c>
      <c r="E170" s="1" t="str">
        <f>IF(Goals!A109="","",Goals!E109)</f>
        <v/>
      </c>
      <c r="F170" s="1" t="str">
        <f>IF(Goals!A109="","",Goals!F109)</f>
        <v/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 t="str">
        <f>IF(Goals!A110="","",Goals!A110)</f>
        <v/>
      </c>
      <c r="B171" s="1" t="str">
        <f>IF(Goals!A110="","",Goals!B110)</f>
        <v/>
      </c>
      <c r="C171" s="1" t="str">
        <f>IF(Goals!A110="","",Goals!C110)</f>
        <v/>
      </c>
      <c r="D171" s="1" t="str">
        <f>IF(Goals!A110="","",Goals!D110)</f>
        <v/>
      </c>
      <c r="E171" s="1" t="str">
        <f>IF(Goals!A110="","",Goals!E110)</f>
        <v/>
      </c>
      <c r="F171" s="1" t="str">
        <f>IF(Goals!A110="","",Goals!F110)</f>
        <v/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8.8" customHeight="1" x14ac:dyDescent="0.3">
      <c r="A172" s="1" t="str">
        <f>IF(Goals!A111="","",Goals!A111)</f>
        <v/>
      </c>
      <c r="B172" s="1" t="str">
        <f>IF(Goals!A111="","",Goals!B111)</f>
        <v/>
      </c>
      <c r="C172" s="1" t="str">
        <f>IF(Goals!A111="","",Goals!C111)</f>
        <v/>
      </c>
      <c r="D172" s="1" t="str">
        <f>IF(Goals!A111="","",Goals!D111)</f>
        <v/>
      </c>
      <c r="E172" s="1" t="str">
        <f>IF(Goals!A111="","",Goals!E111)</f>
        <v/>
      </c>
      <c r="F172" s="1" t="str">
        <f>IF(Goals!A111="","",Goals!F111)</f>
        <v/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8.8" customHeight="1" x14ac:dyDescent="0.3">
      <c r="A173" s="1" t="str">
        <f>IF(Goals!A112="","",Goals!A112)</f>
        <v/>
      </c>
      <c r="B173" s="1" t="str">
        <f>IF(Goals!A112="","",Goals!B112)</f>
        <v/>
      </c>
      <c r="C173" s="1" t="str">
        <f>IF(Goals!A112="","",Goals!C112)</f>
        <v/>
      </c>
      <c r="D173" s="1" t="str">
        <f>IF(Goals!A112="","",Goals!D112)</f>
        <v/>
      </c>
      <c r="E173" s="1" t="str">
        <f>IF(Goals!A112="","",Goals!E112)</f>
        <v/>
      </c>
      <c r="F173" s="1" t="str">
        <f>IF(Goals!A112="","",Goals!F112)</f>
        <v/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8.8" customHeight="1" x14ac:dyDescent="0.3">
      <c r="A174" s="1" t="str">
        <f>IF(Goals!A113="","",Goals!A113)</f>
        <v/>
      </c>
      <c r="B174" s="1" t="str">
        <f>IF(Goals!A113="","",Goals!B113)</f>
        <v/>
      </c>
      <c r="C174" s="1" t="str">
        <f>IF(Goals!A113="","",Goals!C113)</f>
        <v/>
      </c>
      <c r="D174" s="1" t="str">
        <f>IF(Goals!A113="","",Goals!D113)</f>
        <v/>
      </c>
      <c r="E174" s="1" t="str">
        <f>IF(Goals!A113="","",Goals!E113)</f>
        <v/>
      </c>
      <c r="F174" s="1" t="str">
        <f>IF(Goals!A113="","",Goals!F113)</f>
        <v/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8.8" customHeight="1" x14ac:dyDescent="0.3">
      <c r="A175" s="1" t="str">
        <f>IF(Goals!A114="","",Goals!A114)</f>
        <v/>
      </c>
      <c r="B175" s="1" t="str">
        <f>IF(Goals!A114="","",Goals!B114)</f>
        <v/>
      </c>
      <c r="C175" s="1" t="str">
        <f>IF(Goals!A114="","",Goals!C114)</f>
        <v/>
      </c>
      <c r="D175" s="1" t="str">
        <f>IF(Goals!A114="","",Goals!D114)</f>
        <v/>
      </c>
      <c r="E175" s="1" t="str">
        <f>IF(Goals!A114="","",Goals!E114)</f>
        <v/>
      </c>
      <c r="F175" s="1" t="str">
        <f>IF(Goals!A114="","",Goals!F114)</f>
        <v/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 t="str">
        <f>IF(Goals!A115="","",Goals!A115)</f>
        <v/>
      </c>
      <c r="B176" s="1" t="str">
        <f>IF(Goals!A115="","",Goals!B115)</f>
        <v/>
      </c>
      <c r="C176" s="1" t="str">
        <f>IF(Goals!A115="","",Goals!C115)</f>
        <v/>
      </c>
      <c r="D176" s="1" t="str">
        <f>IF(Goals!A115="","",Goals!D115)</f>
        <v/>
      </c>
      <c r="E176" s="1" t="str">
        <f>IF(Goals!A115="","",Goals!E115)</f>
        <v/>
      </c>
      <c r="F176" s="1" t="str">
        <f>IF(Goals!A115="","",Goals!F115)</f>
        <v/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 t="str">
        <f>IF(Goals!A116="","",Goals!A116)</f>
        <v/>
      </c>
      <c r="B177" s="1" t="str">
        <f>IF(Goals!A116="","",Goals!B116)</f>
        <v/>
      </c>
      <c r="C177" s="1" t="str">
        <f>IF(Goals!A116="","",Goals!C116)</f>
        <v/>
      </c>
      <c r="D177" s="1" t="str">
        <f>IF(Goals!A116="","",Goals!D116)</f>
        <v/>
      </c>
      <c r="E177" s="1" t="str">
        <f>IF(Goals!A116="","",Goals!E116)</f>
        <v/>
      </c>
      <c r="F177" s="1" t="str">
        <f>IF(Goals!A116="","",Goals!F116)</f>
        <v/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 t="str">
        <f>IF(Goals!A117="","",Goals!A117)</f>
        <v/>
      </c>
      <c r="B178" s="1" t="str">
        <f>IF(Goals!A117="","",Goals!B117)</f>
        <v/>
      </c>
      <c r="C178" s="1" t="str">
        <f>IF(Goals!A117="","",Goals!C117)</f>
        <v/>
      </c>
      <c r="D178" s="1" t="str">
        <f>IF(Goals!A117="","",Goals!D117)</f>
        <v/>
      </c>
      <c r="E178" s="1" t="str">
        <f>IF(Goals!A117="","",Goals!E117)</f>
        <v/>
      </c>
      <c r="F178" s="1" t="str">
        <f>IF(Goals!A117="","",Goals!F117)</f>
        <v/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 t="str">
        <f>IF(Goals!A118="","",Goals!A118)</f>
        <v/>
      </c>
      <c r="B179" s="1" t="str">
        <f>IF(Goals!A118="","",Goals!B118)</f>
        <v/>
      </c>
      <c r="C179" s="1" t="str">
        <f>IF(Goals!A118="","",Goals!C118)</f>
        <v/>
      </c>
      <c r="D179" s="1" t="str">
        <f>IF(Goals!A118="","",Goals!D118)</f>
        <v/>
      </c>
      <c r="E179" s="1" t="str">
        <f>IF(Goals!A118="","",Goals!E118)</f>
        <v/>
      </c>
      <c r="F179" s="1" t="str">
        <f>IF(Goals!A118="","",Goals!F118)</f>
        <v/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 t="str">
        <f>IF(Goals!A119="","",Goals!A119)</f>
        <v/>
      </c>
      <c r="B180" s="1" t="str">
        <f>IF(Goals!A119="","",Goals!B119)</f>
        <v/>
      </c>
      <c r="C180" s="1" t="str">
        <f>IF(Goals!A119="","",Goals!C119)</f>
        <v/>
      </c>
      <c r="D180" s="1" t="str">
        <f>IF(Goals!A119="","",Goals!D119)</f>
        <v/>
      </c>
      <c r="E180" s="1" t="str">
        <f>IF(Goals!A119="","",Goals!E119)</f>
        <v/>
      </c>
      <c r="F180" s="1" t="str">
        <f>IF(Goals!A119="","",Goals!F119)</f>
        <v/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 t="str">
        <f>IF(Goals!A120="","",Goals!A120)</f>
        <v/>
      </c>
      <c r="B181" s="1" t="str">
        <f>IF(Goals!A120="","",Goals!B120)</f>
        <v/>
      </c>
      <c r="C181" s="1" t="str">
        <f>IF(Goals!A120="","",Goals!C120)</f>
        <v/>
      </c>
      <c r="D181" s="1" t="str">
        <f>IF(Goals!A120="","",Goals!D120)</f>
        <v/>
      </c>
      <c r="E181" s="1" t="str">
        <f>IF(Goals!A120="","",Goals!E120)</f>
        <v/>
      </c>
      <c r="F181" s="1" t="str">
        <f>IF(Goals!A120="","",Goals!F120)</f>
        <v/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 t="str">
        <f>IF(Goals!A121="","",Goals!A121)</f>
        <v/>
      </c>
      <c r="B182" s="1" t="str">
        <f>IF(Goals!A121="","",Goals!B121)</f>
        <v/>
      </c>
      <c r="C182" s="1" t="str">
        <f>IF(Goals!A121="","",Goals!C121)</f>
        <v/>
      </c>
      <c r="D182" s="1" t="str">
        <f>IF(Goals!A121="","",Goals!D121)</f>
        <v/>
      </c>
      <c r="E182" s="1" t="str">
        <f>IF(Goals!A121="","",Goals!E121)</f>
        <v/>
      </c>
      <c r="F182" s="1" t="str">
        <f>IF(Goals!A121="","",Goals!F121)</f>
        <v/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 t="str">
        <f>IF(Goals!A122="","",Goals!A122)</f>
        <v/>
      </c>
      <c r="B183" s="1" t="str">
        <f>IF(Goals!A122="","",Goals!B122)</f>
        <v/>
      </c>
      <c r="C183" s="1" t="str">
        <f>IF(Goals!A122="","",Goals!C122)</f>
        <v/>
      </c>
      <c r="D183" s="1" t="str">
        <f>IF(Goals!A122="","",Goals!D122)</f>
        <v/>
      </c>
      <c r="E183" s="1" t="str">
        <f>IF(Goals!A122="","",Goals!E122)</f>
        <v/>
      </c>
      <c r="F183" s="1" t="str">
        <f>IF(Goals!A122="","",Goals!F122)</f>
        <v/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 t="str">
        <f>IF(Goals!A123="","",Goals!A123)</f>
        <v/>
      </c>
      <c r="B184" s="1" t="str">
        <f>IF(Goals!A123="","",Goals!B123)</f>
        <v/>
      </c>
      <c r="C184" s="1" t="str">
        <f>IF(Goals!A123="","",Goals!C123)</f>
        <v/>
      </c>
      <c r="D184" s="1" t="str">
        <f>IF(Goals!A123="","",Goals!D123)</f>
        <v/>
      </c>
      <c r="E184" s="1" t="str">
        <f>IF(Goals!A123="","",Goals!E123)</f>
        <v/>
      </c>
      <c r="F184" s="1" t="str">
        <f>IF(Goals!A123="","",Goals!F123)</f>
        <v/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 t="str">
        <f>IF(Goals!A124="","",Goals!A124)</f>
        <v/>
      </c>
      <c r="B185" s="1" t="str">
        <f>IF(Goals!A124="","",Goals!B124)</f>
        <v/>
      </c>
      <c r="C185" s="1" t="str">
        <f>IF(Goals!A124="","",Goals!C124)</f>
        <v/>
      </c>
      <c r="D185" s="1" t="str">
        <f>IF(Goals!A124="","",Goals!D124)</f>
        <v/>
      </c>
      <c r="E185" s="1" t="str">
        <f>IF(Goals!A124="","",Goals!E124)</f>
        <v/>
      </c>
      <c r="F185" s="1" t="str">
        <f>IF(Goals!A124="","",Goals!F124)</f>
        <v/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 t="str">
        <f>IF(Goals!A125="","",Goals!A125)</f>
        <v/>
      </c>
      <c r="B186" s="1" t="str">
        <f>IF(Goals!A125="","",Goals!B125)</f>
        <v/>
      </c>
      <c r="C186" s="1" t="str">
        <f>IF(Goals!A125="","",Goals!C125)</f>
        <v/>
      </c>
      <c r="D186" s="1" t="str">
        <f>IF(Goals!A125="","",Goals!D125)</f>
        <v/>
      </c>
      <c r="E186" s="1" t="str">
        <f>IF(Goals!A125="","",Goals!E125)</f>
        <v/>
      </c>
      <c r="F186" s="1" t="str">
        <f>IF(Goals!A125="","",Goals!F125)</f>
        <v/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 t="str">
        <f>IF(Goals!A126="","",Goals!A126)</f>
        <v/>
      </c>
      <c r="B187" s="1" t="str">
        <f>IF(Goals!A126="","",Goals!B126)</f>
        <v/>
      </c>
      <c r="C187" s="1" t="str">
        <f>IF(Goals!A126="","",Goals!C126)</f>
        <v/>
      </c>
      <c r="D187" s="1" t="str">
        <f>IF(Goals!A126="","",Goals!D126)</f>
        <v/>
      </c>
      <c r="E187" s="1" t="str">
        <f>IF(Goals!A126="","",Goals!E126)</f>
        <v/>
      </c>
      <c r="F187" s="1" t="str">
        <f>IF(Goals!A126="","",Goals!F126)</f>
        <v/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 t="str">
        <f>IF(Goals!A127="","",Goals!A127)</f>
        <v/>
      </c>
      <c r="B188" s="1" t="str">
        <f>IF(Goals!A127="","",Goals!B127)</f>
        <v/>
      </c>
      <c r="C188" s="1" t="str">
        <f>IF(Goals!A127="","",Goals!C127)</f>
        <v/>
      </c>
      <c r="D188" s="1" t="str">
        <f>IF(Goals!A127="","",Goals!D127)</f>
        <v/>
      </c>
      <c r="E188" s="1" t="str">
        <f>IF(Goals!A127="","",Goals!E127)</f>
        <v/>
      </c>
      <c r="F188" s="1" t="str">
        <f>IF(Goals!A127="","",Goals!F127)</f>
        <v/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 t="str">
        <f>IF(Goals!A128="","",Goals!A128)</f>
        <v/>
      </c>
      <c r="B189" s="1" t="str">
        <f>IF(Goals!A128="","",Goals!B128)</f>
        <v/>
      </c>
      <c r="C189" s="1" t="str">
        <f>IF(Goals!A128="","",Goals!C128)</f>
        <v/>
      </c>
      <c r="D189" s="1" t="str">
        <f>IF(Goals!A128="","",Goals!D128)</f>
        <v/>
      </c>
      <c r="E189" s="1" t="str">
        <f>IF(Goals!A128="","",Goals!E128)</f>
        <v/>
      </c>
      <c r="F189" s="1" t="str">
        <f>IF(Goals!A128="","",Goals!F128)</f>
        <v/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 t="str">
        <f>IF(Goals!A129="","",Goals!A129)</f>
        <v/>
      </c>
      <c r="B190" s="1" t="str">
        <f>IF(Goals!A129="","",Goals!B129)</f>
        <v/>
      </c>
      <c r="C190" s="1" t="str">
        <f>IF(Goals!A129="","",Goals!C129)</f>
        <v/>
      </c>
      <c r="D190" s="1" t="str">
        <f>IF(Goals!A129="","",Goals!D129)</f>
        <v/>
      </c>
      <c r="E190" s="1" t="str">
        <f>IF(Goals!A129="","",Goals!E129)</f>
        <v/>
      </c>
      <c r="F190" s="1" t="str">
        <f>IF(Goals!A129="","",Goals!F129)</f>
        <v/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 t="str">
        <f>IF(Goals!A130="","",Goals!A130)</f>
        <v/>
      </c>
      <c r="B191" s="1" t="str">
        <f>IF(Goals!A130="","",Goals!B130)</f>
        <v/>
      </c>
      <c r="C191" s="1" t="str">
        <f>IF(Goals!A130="","",Goals!C130)</f>
        <v/>
      </c>
      <c r="D191" s="1" t="str">
        <f>IF(Goals!A130="","",Goals!D130)</f>
        <v/>
      </c>
      <c r="E191" s="1" t="str">
        <f>IF(Goals!A130="","",Goals!E130)</f>
        <v/>
      </c>
      <c r="F191" s="1" t="str">
        <f>IF(Goals!A130="","",Goals!F130)</f>
        <v/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 t="str">
        <f>IF(Goals!A131="","",Goals!A131)</f>
        <v/>
      </c>
      <c r="B192" s="1" t="str">
        <f>IF(Goals!A131="","",Goals!B131)</f>
        <v/>
      </c>
      <c r="C192" s="1" t="str">
        <f>IF(Goals!A131="","",Goals!C131)</f>
        <v/>
      </c>
      <c r="D192" s="1" t="str">
        <f>IF(Goals!A131="","",Goals!D131)</f>
        <v/>
      </c>
      <c r="E192" s="1" t="str">
        <f>IF(Goals!A131="","",Goals!E131)</f>
        <v/>
      </c>
      <c r="F192" s="1" t="str">
        <f>IF(Goals!A131="","",Goals!F131)</f>
        <v/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 t="str">
        <f>IF(Goals!A132="","",Goals!A132)</f>
        <v/>
      </c>
      <c r="B193" s="1" t="str">
        <f>IF(Goals!A132="","",Goals!B132)</f>
        <v/>
      </c>
      <c r="C193" s="1" t="str">
        <f>IF(Goals!A132="","",Goals!C132)</f>
        <v/>
      </c>
      <c r="D193" s="1" t="str">
        <f>IF(Goals!A132="","",Goals!D132)</f>
        <v/>
      </c>
      <c r="E193" s="1" t="str">
        <f>IF(Goals!A132="","",Goals!E132)</f>
        <v/>
      </c>
      <c r="F193" s="1" t="str">
        <f>IF(Goals!A132="","",Goals!F132)</f>
        <v/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 t="str">
        <f>IF(Goals!A133="","",Goals!A133)</f>
        <v/>
      </c>
      <c r="B194" s="1" t="str">
        <f>IF(Goals!A133="","",Goals!B133)</f>
        <v/>
      </c>
      <c r="C194" s="1" t="str">
        <f>IF(Goals!A133="","",Goals!C133)</f>
        <v/>
      </c>
      <c r="D194" s="1" t="str">
        <f>IF(Goals!A133="","",Goals!D133)</f>
        <v/>
      </c>
      <c r="E194" s="1" t="str">
        <f>IF(Goals!A133="","",Goals!E133)</f>
        <v/>
      </c>
      <c r="F194" s="1" t="str">
        <f>IF(Goals!A133="","",Goals!F133)</f>
        <v/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 t="str">
        <f>IF(Goals!A134="","",Goals!A134)</f>
        <v/>
      </c>
      <c r="B195" s="1" t="str">
        <f>IF(Goals!A134="","",Goals!B134)</f>
        <v/>
      </c>
      <c r="C195" s="1" t="str">
        <f>IF(Goals!A134="","",Goals!C134)</f>
        <v/>
      </c>
      <c r="D195" s="1" t="str">
        <f>IF(Goals!A134="","",Goals!D134)</f>
        <v/>
      </c>
      <c r="E195" s="1" t="str">
        <f>IF(Goals!A134="","",Goals!E134)</f>
        <v/>
      </c>
      <c r="F195" s="1" t="str">
        <f>IF(Goals!A134="","",Goals!F134)</f>
        <v/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 t="str">
        <f>IF(Goals!A135="","",Goals!A135)</f>
        <v/>
      </c>
      <c r="B196" s="1" t="str">
        <f>IF(Goals!A135="","",Goals!B135)</f>
        <v/>
      </c>
      <c r="C196" s="1" t="str">
        <f>IF(Goals!A135="","",Goals!C135)</f>
        <v/>
      </c>
      <c r="D196" s="1" t="str">
        <f>IF(Goals!A135="","",Goals!D135)</f>
        <v/>
      </c>
      <c r="E196" s="1" t="str">
        <f>IF(Goals!A135="","",Goals!E135)</f>
        <v/>
      </c>
      <c r="F196" s="1" t="str">
        <f>IF(Goals!A135="","",Goals!F135)</f>
        <v/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 t="str">
        <f>IF(Goals!A136="","",Goals!A136)</f>
        <v/>
      </c>
      <c r="B197" s="1" t="str">
        <f>IF(Goals!A136="","",Goals!B136)</f>
        <v/>
      </c>
      <c r="C197" s="1" t="str">
        <f>IF(Goals!A136="","",Goals!C136)</f>
        <v/>
      </c>
      <c r="D197" s="1" t="str">
        <f>IF(Goals!A136="","",Goals!D136)</f>
        <v/>
      </c>
      <c r="E197" s="1" t="str">
        <f>IF(Goals!A136="","",Goals!E136)</f>
        <v/>
      </c>
      <c r="F197" s="1" t="str">
        <f>IF(Goals!A136="","",Goals!F136)</f>
        <v/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 t="str">
        <f>IF(Goals!A137="","",Goals!A137)</f>
        <v/>
      </c>
      <c r="B198" s="1" t="str">
        <f>IF(Goals!A137="","",Goals!B137)</f>
        <v/>
      </c>
      <c r="C198" s="1" t="str">
        <f>IF(Goals!A137="","",Goals!C137)</f>
        <v/>
      </c>
      <c r="D198" s="1" t="str">
        <f>IF(Goals!A137="","",Goals!D137)</f>
        <v/>
      </c>
      <c r="E198" s="1" t="str">
        <f>IF(Goals!A137="","",Goals!E137)</f>
        <v/>
      </c>
      <c r="F198" s="1" t="str">
        <f>IF(Goals!A137="","",Goals!F137)</f>
        <v/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 t="str">
        <f>IF(Goals!A138="","",Goals!A138)</f>
        <v/>
      </c>
      <c r="B199" s="1" t="str">
        <f>IF(Goals!A138="","",Goals!B138)</f>
        <v/>
      </c>
      <c r="C199" s="1" t="str">
        <f>IF(Goals!A138="","",Goals!C138)</f>
        <v/>
      </c>
      <c r="D199" s="1" t="str">
        <f>IF(Goals!A138="","",Goals!D138)</f>
        <v/>
      </c>
      <c r="E199" s="1" t="str">
        <f>IF(Goals!A138="","",Goals!E138)</f>
        <v/>
      </c>
      <c r="F199" s="1" t="str">
        <f>IF(Goals!A138="","",Goals!F138)</f>
        <v/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 t="str">
        <f>IF(Goals!A139="","",Goals!A139)</f>
        <v/>
      </c>
      <c r="B200" s="1" t="str">
        <f>IF(Goals!A139="","",Goals!B139)</f>
        <v/>
      </c>
      <c r="C200" s="1" t="str">
        <f>IF(Goals!A139="","",Goals!C139)</f>
        <v/>
      </c>
      <c r="D200" s="1" t="str">
        <f>IF(Goals!A139="","",Goals!D139)</f>
        <v/>
      </c>
      <c r="E200" s="1" t="str">
        <f>IF(Goals!A139="","",Goals!E139)</f>
        <v/>
      </c>
      <c r="F200" s="1" t="str">
        <f>IF(Goals!A139="","",Goals!F139)</f>
        <v/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 t="str">
        <f>IF(Goals!A140="","",Goals!A140)</f>
        <v/>
      </c>
      <c r="B201" s="1" t="str">
        <f>IF(Goals!A140="","",Goals!B140)</f>
        <v/>
      </c>
      <c r="C201" s="1" t="str">
        <f>IF(Goals!A140="","",Goals!C140)</f>
        <v/>
      </c>
      <c r="D201" s="1" t="str">
        <f>IF(Goals!A140="","",Goals!D140)</f>
        <v/>
      </c>
      <c r="E201" s="1" t="str">
        <f>IF(Goals!A140="","",Goals!E140)</f>
        <v/>
      </c>
      <c r="F201" s="1" t="str">
        <f>IF(Goals!A140="","",Goals!F140)</f>
        <v/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 t="str">
        <f>IF(Goals!A141="","",Goals!A141)</f>
        <v/>
      </c>
      <c r="B202" s="1" t="str">
        <f>IF(Goals!A141="","",Goals!B141)</f>
        <v/>
      </c>
      <c r="C202" s="1" t="str">
        <f>IF(Goals!A141="","",Goals!C141)</f>
        <v/>
      </c>
      <c r="D202" s="1" t="str">
        <f>IF(Goals!A141="","",Goals!D141)</f>
        <v/>
      </c>
      <c r="E202" s="1" t="str">
        <f>IF(Goals!A141="","",Goals!E141)</f>
        <v/>
      </c>
      <c r="F202" s="1" t="str">
        <f>IF(Goals!A141="","",Goals!F141)</f>
        <v/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 t="str">
        <f>IF(Goals!A142="","",Goals!A142)</f>
        <v/>
      </c>
      <c r="B203" s="1" t="str">
        <f>IF(Goals!A142="","",Goals!B142)</f>
        <v/>
      </c>
      <c r="C203" s="1" t="str">
        <f>IF(Goals!A142="","",Goals!C142)</f>
        <v/>
      </c>
      <c r="D203" s="1" t="str">
        <f>IF(Goals!A142="","",Goals!D142)</f>
        <v/>
      </c>
      <c r="E203" s="1" t="str">
        <f>IF(Goals!A142="","",Goals!E142)</f>
        <v/>
      </c>
      <c r="F203" s="1" t="str">
        <f>IF(Goals!A142="","",Goals!F142)</f>
        <v/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 t="str">
        <f>IF(Goals!A143="","",Goals!A143)</f>
        <v/>
      </c>
      <c r="B204" s="1" t="str">
        <f>IF(Goals!A143="","",Goals!B143)</f>
        <v/>
      </c>
      <c r="C204" s="1" t="str">
        <f>IF(Goals!A143="","",Goals!C143)</f>
        <v/>
      </c>
      <c r="D204" s="1" t="str">
        <f>IF(Goals!A143="","",Goals!D143)</f>
        <v/>
      </c>
      <c r="E204" s="1" t="str">
        <f>IF(Goals!A143="","",Goals!E143)</f>
        <v/>
      </c>
      <c r="F204" s="1" t="str">
        <f>IF(Goals!A143="","",Goals!F143)</f>
        <v/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 t="str">
        <f>IF(Goals!A144="","",Goals!A144)</f>
        <v/>
      </c>
      <c r="B205" s="1" t="str">
        <f>IF(Goals!A144="","",Goals!B144)</f>
        <v/>
      </c>
      <c r="C205" s="1" t="str">
        <f>IF(Goals!A144="","",Goals!C144)</f>
        <v/>
      </c>
      <c r="D205" s="1" t="str">
        <f>IF(Goals!A144="","",Goals!D144)</f>
        <v/>
      </c>
      <c r="E205" s="1" t="str">
        <f>IF(Goals!A144="","",Goals!E144)</f>
        <v/>
      </c>
      <c r="F205" s="1" t="str">
        <f>IF(Goals!A144="","",Goals!F144)</f>
        <v/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 t="str">
        <f>IF(Goals!A145="","",Goals!A145)</f>
        <v/>
      </c>
      <c r="B206" s="1" t="str">
        <f>IF(Goals!A145="","",Goals!B145)</f>
        <v/>
      </c>
      <c r="C206" s="1" t="str">
        <f>IF(Goals!A145="","",Goals!C145)</f>
        <v/>
      </c>
      <c r="D206" s="1" t="str">
        <f>IF(Goals!A145="","",Goals!D145)</f>
        <v/>
      </c>
      <c r="E206" s="1" t="str">
        <f>IF(Goals!A145="","",Goals!E145)</f>
        <v/>
      </c>
      <c r="F206" s="1" t="str">
        <f>IF(Goals!A145="","",Goals!F145)</f>
        <v/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 t="str">
        <f>IF(Goals!A146="","",Goals!A146)</f>
        <v/>
      </c>
      <c r="B207" s="1" t="str">
        <f>IF(Goals!A146="","",Goals!B146)</f>
        <v/>
      </c>
      <c r="C207" s="1" t="str">
        <f>IF(Goals!A146="","",Goals!C146)</f>
        <v/>
      </c>
      <c r="D207" s="1" t="str">
        <f>IF(Goals!A146="","",Goals!D146)</f>
        <v/>
      </c>
      <c r="E207" s="1" t="str">
        <f>IF(Goals!A146="","",Goals!E146)</f>
        <v/>
      </c>
      <c r="F207" s="1" t="str">
        <f>IF(Goals!A146="","",Goals!F146)</f>
        <v/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 t="str">
        <f>IF(Goals!A147="","",Goals!A147)</f>
        <v/>
      </c>
      <c r="B208" s="1" t="str">
        <f>IF(Goals!A147="","",Goals!B147)</f>
        <v/>
      </c>
      <c r="C208" s="1" t="str">
        <f>IF(Goals!A147="","",Goals!C147)</f>
        <v/>
      </c>
      <c r="D208" s="1" t="str">
        <f>IF(Goals!A147="","",Goals!D147)</f>
        <v/>
      </c>
      <c r="E208" s="1" t="str">
        <f>IF(Goals!A147="","",Goals!E147)</f>
        <v/>
      </c>
      <c r="F208" s="1" t="str">
        <f>IF(Goals!A147="","",Goals!F147)</f>
        <v/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 t="str">
        <f>IF(Goals!A148="","",Goals!A148)</f>
        <v/>
      </c>
      <c r="B209" s="1" t="str">
        <f>IF(Goals!A148="","",Goals!B148)</f>
        <v/>
      </c>
      <c r="C209" s="1" t="str">
        <f>IF(Goals!A148="","",Goals!C148)</f>
        <v/>
      </c>
      <c r="D209" s="1" t="str">
        <f>IF(Goals!A148="","",Goals!D148)</f>
        <v/>
      </c>
      <c r="E209" s="1" t="str">
        <f>IF(Goals!A148="","",Goals!E148)</f>
        <v/>
      </c>
      <c r="F209" s="1" t="str">
        <f>IF(Goals!A148="","",Goals!F148)</f>
        <v/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 t="str">
        <f>IF(Goals!A149="","",Goals!A149)</f>
        <v/>
      </c>
      <c r="B210" s="1" t="str">
        <f>IF(Goals!A149="","",Goals!B149)</f>
        <v/>
      </c>
      <c r="C210" s="1" t="str">
        <f>IF(Goals!A149="","",Goals!C149)</f>
        <v/>
      </c>
      <c r="D210" s="1" t="str">
        <f>IF(Goals!A149="","",Goals!D149)</f>
        <v/>
      </c>
      <c r="E210" s="1" t="str">
        <f>IF(Goals!A149="","",Goals!E149)</f>
        <v/>
      </c>
      <c r="F210" s="1" t="str">
        <f>IF(Goals!A149="","",Goals!F149)</f>
        <v/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 t="str">
        <f>IF(Goals!A150="","",Goals!A150)</f>
        <v/>
      </c>
      <c r="B211" s="1" t="str">
        <f>IF(Goals!A150="","",Goals!B150)</f>
        <v/>
      </c>
      <c r="C211" s="1" t="str">
        <f>IF(Goals!A150="","",Goals!C150)</f>
        <v/>
      </c>
      <c r="D211" s="1" t="str">
        <f>IF(Goals!A150="","",Goals!D150)</f>
        <v/>
      </c>
      <c r="E211" s="1" t="str">
        <f>IF(Goals!A150="","",Goals!E150)</f>
        <v/>
      </c>
      <c r="F211" s="1" t="str">
        <f>IF(Goals!A150="","",Goals!F150)</f>
        <v/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 t="str">
        <f>IF(Goals!A151="","",Goals!A151)</f>
        <v/>
      </c>
      <c r="B212" s="1" t="str">
        <f>IF(Goals!A151="","",Goals!B151)</f>
        <v/>
      </c>
      <c r="C212" s="1" t="str">
        <f>IF(Goals!A151="","",Goals!C151)</f>
        <v/>
      </c>
      <c r="D212" s="1" t="str">
        <f>IF(Goals!A151="","",Goals!D151)</f>
        <v/>
      </c>
      <c r="E212" s="1" t="str">
        <f>IF(Goals!A151="","",Goals!E151)</f>
        <v/>
      </c>
      <c r="F212" s="1" t="str">
        <f>IF(Goals!A151="","",Goals!F151)</f>
        <v/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 t="str">
        <f>IF(Goals!A152="","",Goals!A152)</f>
        <v/>
      </c>
      <c r="B213" s="1" t="str">
        <f>IF(Goals!A152="","",Goals!B152)</f>
        <v/>
      </c>
      <c r="C213" s="1" t="str">
        <f>IF(Goals!A152="","",Goals!C152)</f>
        <v/>
      </c>
      <c r="D213" s="1" t="str">
        <f>IF(Goals!A152="","",Goals!D152)</f>
        <v/>
      </c>
      <c r="E213" s="1" t="str">
        <f>IF(Goals!A152="","",Goals!E152)</f>
        <v/>
      </c>
      <c r="F213" s="1" t="str">
        <f>IF(Goals!A152="","",Goals!F152)</f>
        <v/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 t="str">
        <f>IF(Goals!A153="","",Goals!A153)</f>
        <v/>
      </c>
      <c r="B214" s="1" t="str">
        <f>IF(Goals!A153="","",Goals!B153)</f>
        <v/>
      </c>
      <c r="C214" s="1" t="str">
        <f>IF(Goals!A153="","",Goals!C153)</f>
        <v/>
      </c>
      <c r="D214" s="1" t="str">
        <f>IF(Goals!A153="","",Goals!D153)</f>
        <v/>
      </c>
      <c r="E214" s="1" t="str">
        <f>IF(Goals!A153="","",Goals!E153)</f>
        <v/>
      </c>
      <c r="F214" s="1" t="str">
        <f>IF(Goals!A153="","",Goals!F153)</f>
        <v/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 t="str">
        <f>IF(Goals!A154="","",Goals!A154)</f>
        <v/>
      </c>
      <c r="B215" s="1" t="str">
        <f>IF(Goals!A154="","",Goals!B154)</f>
        <v/>
      </c>
      <c r="C215" s="1" t="str">
        <f>IF(Goals!A154="","",Goals!C154)</f>
        <v/>
      </c>
      <c r="D215" s="1" t="str">
        <f>IF(Goals!A154="","",Goals!D154)</f>
        <v/>
      </c>
      <c r="E215" s="1" t="str">
        <f>IF(Goals!A154="","",Goals!E154)</f>
        <v/>
      </c>
      <c r="F215" s="1" t="str">
        <f>IF(Goals!A154="","",Goals!F154)</f>
        <v/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 t="str">
        <f>IF(Goals!A155="","",Goals!A155)</f>
        <v/>
      </c>
      <c r="B216" s="1" t="str">
        <f>IF(Goals!A155="","",Goals!B155)</f>
        <v/>
      </c>
      <c r="C216" s="1" t="str">
        <f>IF(Goals!A155="","",Goals!C155)</f>
        <v/>
      </c>
      <c r="D216" s="1" t="str">
        <f>IF(Goals!A155="","",Goals!D155)</f>
        <v/>
      </c>
      <c r="E216" s="1" t="str">
        <f>IF(Goals!A155="","",Goals!E155)</f>
        <v/>
      </c>
      <c r="F216" s="1" t="str">
        <f>IF(Goals!A155="","",Goals!F155)</f>
        <v/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 t="str">
        <f>IF(Goals!A156="","",Goals!A156)</f>
        <v/>
      </c>
      <c r="B217" s="1" t="str">
        <f>IF(Goals!A156="","",Goals!B156)</f>
        <v/>
      </c>
      <c r="C217" s="1" t="str">
        <f>IF(Goals!A156="","",Goals!C156)</f>
        <v/>
      </c>
      <c r="D217" s="1" t="str">
        <f>IF(Goals!A156="","",Goals!D156)</f>
        <v/>
      </c>
      <c r="E217" s="1" t="str">
        <f>IF(Goals!A156="","",Goals!E156)</f>
        <v/>
      </c>
      <c r="F217" s="1" t="str">
        <f>IF(Goals!A156="","",Goals!F156)</f>
        <v/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 t="str">
        <f>IF(Goals!A157="","",Goals!A157)</f>
        <v/>
      </c>
      <c r="B218" s="1" t="str">
        <f>IF(Goals!A157="","",Goals!B157)</f>
        <v/>
      </c>
      <c r="C218" s="1" t="str">
        <f>IF(Goals!A157="","",Goals!C157)</f>
        <v/>
      </c>
      <c r="D218" s="1" t="str">
        <f>IF(Goals!A157="","",Goals!D157)</f>
        <v/>
      </c>
      <c r="E218" s="1" t="str">
        <f>IF(Goals!A157="","",Goals!E157)</f>
        <v/>
      </c>
      <c r="F218" s="1" t="str">
        <f>IF(Goals!A157="","",Goals!F157)</f>
        <v/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 t="str">
        <f>IF(Goals!A158="","",Goals!A158)</f>
        <v/>
      </c>
      <c r="B219" s="1" t="str">
        <f>IF(Goals!A158="","",Goals!B158)</f>
        <v/>
      </c>
      <c r="C219" s="1" t="str">
        <f>IF(Goals!A158="","",Goals!C158)</f>
        <v/>
      </c>
      <c r="D219" s="1" t="str">
        <f>IF(Goals!A158="","",Goals!D158)</f>
        <v/>
      </c>
      <c r="E219" s="1" t="str">
        <f>IF(Goals!A158="","",Goals!E158)</f>
        <v/>
      </c>
      <c r="F219" s="1" t="str">
        <f>IF(Goals!A158="","",Goals!F158)</f>
        <v/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 t="str">
        <f>IF(Goals!A159="","",Goals!A159)</f>
        <v/>
      </c>
      <c r="B220" s="1" t="str">
        <f>IF(Goals!A159="","",Goals!B159)</f>
        <v/>
      </c>
      <c r="C220" s="1" t="str">
        <f>IF(Goals!A159="","",Goals!C159)</f>
        <v/>
      </c>
      <c r="D220" s="1" t="str">
        <f>IF(Goals!A159="","",Goals!D159)</f>
        <v/>
      </c>
      <c r="E220" s="1" t="str">
        <f>IF(Goals!A159="","",Goals!E159)</f>
        <v/>
      </c>
      <c r="F220" s="1" t="str">
        <f>IF(Goals!A159="","",Goals!F159)</f>
        <v/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 t="str">
        <f>IF(Goals!A160="","",Goals!A160)</f>
        <v/>
      </c>
      <c r="B221" s="1" t="str">
        <f>IF(Goals!A160="","",Goals!B160)</f>
        <v/>
      </c>
      <c r="C221" s="1" t="str">
        <f>IF(Goals!A160="","",Goals!C160)</f>
        <v/>
      </c>
      <c r="D221" s="1" t="str">
        <f>IF(Goals!A160="","",Goals!D160)</f>
        <v/>
      </c>
      <c r="E221" s="1" t="str">
        <f>IF(Goals!A160="","",Goals!E160)</f>
        <v/>
      </c>
      <c r="F221" s="1" t="str">
        <f>IF(Goals!A160="","",Goals!F160)</f>
        <v/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 t="str">
        <f>IF(Goals!A161="","",Goals!A161)</f>
        <v/>
      </c>
      <c r="B222" s="1" t="str">
        <f>IF(Goals!A161="","",Goals!B161)</f>
        <v/>
      </c>
      <c r="C222" s="1" t="str">
        <f>IF(Goals!A161="","",Goals!C161)</f>
        <v/>
      </c>
      <c r="D222" s="1" t="str">
        <f>IF(Goals!A161="","",Goals!D161)</f>
        <v/>
      </c>
      <c r="E222" s="1" t="str">
        <f>IF(Goals!A161="","",Goals!E161)</f>
        <v/>
      </c>
      <c r="F222" s="1" t="str">
        <f>IF(Goals!A161="","",Goals!F161)</f>
        <v/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 t="str">
        <f>IF(Goals!A162="","",Goals!A162)</f>
        <v/>
      </c>
      <c r="B223" s="1" t="str">
        <f>IF(Goals!A162="","",Goals!B162)</f>
        <v/>
      </c>
      <c r="C223" s="1" t="str">
        <f>IF(Goals!A162="","",Goals!C162)</f>
        <v/>
      </c>
      <c r="D223" s="1" t="str">
        <f>IF(Goals!A162="","",Goals!D162)</f>
        <v/>
      </c>
      <c r="E223" s="1" t="str">
        <f>IF(Goals!A162="","",Goals!E162)</f>
        <v/>
      </c>
      <c r="F223" s="1" t="str">
        <f>IF(Goals!A162="","",Goals!F162)</f>
        <v/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 t="str">
        <f>IF(Goals!A163="","",Goals!A163)</f>
        <v/>
      </c>
      <c r="B224" s="1" t="str">
        <f>IF(Goals!A163="","",Goals!B163)</f>
        <v/>
      </c>
      <c r="C224" s="1" t="str">
        <f>IF(Goals!A163="","",Goals!C163)</f>
        <v/>
      </c>
      <c r="D224" s="1" t="str">
        <f>IF(Goals!A163="","",Goals!D163)</f>
        <v/>
      </c>
      <c r="E224" s="1" t="str">
        <f>IF(Goals!A163="","",Goals!E163)</f>
        <v/>
      </c>
      <c r="F224" s="1" t="str">
        <f>IF(Goals!A163="","",Goals!F163)</f>
        <v/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 t="str">
        <f>IF(Goals!A164="","",Goals!A164)</f>
        <v/>
      </c>
      <c r="B225" s="1" t="str">
        <f>IF(Goals!A164="","",Goals!B164)</f>
        <v/>
      </c>
      <c r="C225" s="1" t="str">
        <f>IF(Goals!A164="","",Goals!C164)</f>
        <v/>
      </c>
      <c r="D225" s="1" t="str">
        <f>IF(Goals!A164="","",Goals!D164)</f>
        <v/>
      </c>
      <c r="E225" s="1" t="str">
        <f>IF(Goals!A164="","",Goals!E164)</f>
        <v/>
      </c>
      <c r="F225" s="1" t="str">
        <f>IF(Goals!A164="","",Goals!F164)</f>
        <v/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 t="str">
        <f>IF(Goals!A165="","",Goals!A165)</f>
        <v/>
      </c>
      <c r="B226" s="1" t="str">
        <f>IF(Goals!A165="","",Goals!B165)</f>
        <v/>
      </c>
      <c r="C226" s="1" t="str">
        <f>IF(Goals!A165="","",Goals!C165)</f>
        <v/>
      </c>
      <c r="D226" s="1" t="str">
        <f>IF(Goals!A165="","",Goals!D165)</f>
        <v/>
      </c>
      <c r="E226" s="1" t="str">
        <f>IF(Goals!A165="","",Goals!E165)</f>
        <v/>
      </c>
      <c r="F226" s="1" t="str">
        <f>IF(Goals!A165="","",Goals!F165)</f>
        <v/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 t="str">
        <f>IF(Goals!A166="","",Goals!A166)</f>
        <v/>
      </c>
      <c r="B227" s="1" t="str">
        <f>IF(Goals!A166="","",Goals!B166)</f>
        <v/>
      </c>
      <c r="C227" s="1" t="str">
        <f>IF(Goals!A166="","",Goals!C166)</f>
        <v/>
      </c>
      <c r="D227" s="1" t="str">
        <f>IF(Goals!A166="","",Goals!D166)</f>
        <v/>
      </c>
      <c r="E227" s="1" t="str">
        <f>IF(Goals!A166="","",Goals!E166)</f>
        <v/>
      </c>
      <c r="F227" s="1" t="str">
        <f>IF(Goals!A166="","",Goals!F166)</f>
        <v/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 t="str">
        <f>IF(Goals!A167="","",Goals!A167)</f>
        <v/>
      </c>
      <c r="B228" s="1" t="str">
        <f>IF(Goals!A167="","",Goals!B167)</f>
        <v/>
      </c>
      <c r="C228" s="1" t="str">
        <f>IF(Goals!A167="","",Goals!C167)</f>
        <v/>
      </c>
      <c r="D228" s="1" t="str">
        <f>IF(Goals!A167="","",Goals!D167)</f>
        <v/>
      </c>
      <c r="E228" s="1" t="str">
        <f>IF(Goals!A167="","",Goals!E167)</f>
        <v/>
      </c>
      <c r="F228" s="1" t="str">
        <f>IF(Goals!A167="","",Goals!F167)</f>
        <v/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 t="str">
        <f>IF(Goals!A168="","",Goals!A168)</f>
        <v/>
      </c>
      <c r="B229" s="1" t="str">
        <f>IF(Goals!A168="","",Goals!B168)</f>
        <v/>
      </c>
      <c r="C229" s="1" t="str">
        <f>IF(Goals!A168="","",Goals!C168)</f>
        <v/>
      </c>
      <c r="D229" s="1" t="str">
        <f>IF(Goals!A168="","",Goals!D168)</f>
        <v/>
      </c>
      <c r="E229" s="1" t="str">
        <f>IF(Goals!A168="","",Goals!E168)</f>
        <v/>
      </c>
      <c r="F229" s="1" t="str">
        <f>IF(Goals!A168="","",Goals!F168)</f>
        <v/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 t="str">
        <f>IF(Goals!A169="","",Goals!A169)</f>
        <v/>
      </c>
      <c r="B230" s="1" t="str">
        <f>IF(Goals!A169="","",Goals!B169)</f>
        <v/>
      </c>
      <c r="C230" s="1" t="str">
        <f>IF(Goals!A169="","",Goals!C169)</f>
        <v/>
      </c>
      <c r="D230" s="1" t="str">
        <f>IF(Goals!A169="","",Goals!D169)</f>
        <v/>
      </c>
      <c r="E230" s="1" t="str">
        <f>IF(Goals!A169="","",Goals!E169)</f>
        <v/>
      </c>
      <c r="F230" s="1" t="str">
        <f>IF(Goals!A169="","",Goals!F169)</f>
        <v/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 t="str">
        <f>IF(Goals!A170="","",Goals!A170)</f>
        <v/>
      </c>
      <c r="B231" s="1" t="str">
        <f>IF(Goals!A170="","",Goals!B170)</f>
        <v/>
      </c>
      <c r="C231" s="1" t="str">
        <f>IF(Goals!A170="","",Goals!C170)</f>
        <v/>
      </c>
      <c r="D231" s="1" t="str">
        <f>IF(Goals!A170="","",Goals!D170)</f>
        <v/>
      </c>
      <c r="E231" s="1" t="str">
        <f>IF(Goals!A170="","",Goals!E170)</f>
        <v/>
      </c>
      <c r="F231" s="1" t="str">
        <f>IF(Goals!A170="","",Goals!F170)</f>
        <v/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 t="str">
        <f>IF(Goals!A171="","",Goals!A171)</f>
        <v/>
      </c>
      <c r="B232" s="1" t="str">
        <f>IF(Goals!A171="","",Goals!B171)</f>
        <v/>
      </c>
      <c r="C232" s="1" t="str">
        <f>IF(Goals!A171="","",Goals!C171)</f>
        <v/>
      </c>
      <c r="D232" s="1" t="str">
        <f>IF(Goals!A171="","",Goals!D171)</f>
        <v/>
      </c>
      <c r="E232" s="1" t="str">
        <f>IF(Goals!A171="","",Goals!E171)</f>
        <v/>
      </c>
      <c r="F232" s="1" t="str">
        <f>IF(Goals!A171="","",Goals!F171)</f>
        <v/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 t="str">
        <f>IF(Goals!A172="","",Goals!A172)</f>
        <v/>
      </c>
      <c r="B233" s="1" t="str">
        <f>IF(Goals!A172="","",Goals!B172)</f>
        <v/>
      </c>
      <c r="C233" s="1" t="str">
        <f>IF(Goals!A172="","",Goals!C172)</f>
        <v/>
      </c>
      <c r="D233" s="1" t="str">
        <f>IF(Goals!A172="","",Goals!D172)</f>
        <v/>
      </c>
      <c r="E233" s="1" t="str">
        <f>IF(Goals!A172="","",Goals!E172)</f>
        <v/>
      </c>
      <c r="F233" s="1" t="str">
        <f>IF(Goals!A172="","",Goals!F172)</f>
        <v/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 t="str">
        <f>IF(Goals!A173="","",Goals!A173)</f>
        <v/>
      </c>
      <c r="B234" s="1" t="str">
        <f>IF(Goals!A173="","",Goals!B173)</f>
        <v/>
      </c>
      <c r="C234" s="1" t="str">
        <f>IF(Goals!A173="","",Goals!C173)</f>
        <v/>
      </c>
      <c r="D234" s="1" t="str">
        <f>IF(Goals!A173="","",Goals!D173)</f>
        <v/>
      </c>
      <c r="E234" s="1" t="str">
        <f>IF(Goals!A173="","",Goals!E173)</f>
        <v/>
      </c>
      <c r="F234" s="1" t="str">
        <f>IF(Goals!A173="","",Goals!F173)</f>
        <v/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 t="str">
        <f>IF(Goals!A174="","",Goals!A174)</f>
        <v/>
      </c>
      <c r="B235" s="1" t="str">
        <f>IF(Goals!A174="","",Goals!B174)</f>
        <v/>
      </c>
      <c r="C235" s="1" t="str">
        <f>IF(Goals!A174="","",Goals!C174)</f>
        <v/>
      </c>
      <c r="D235" s="1" t="str">
        <f>IF(Goals!A174="","",Goals!D174)</f>
        <v/>
      </c>
      <c r="E235" s="1" t="str">
        <f>IF(Goals!A174="","",Goals!E174)</f>
        <v/>
      </c>
      <c r="F235" s="1" t="str">
        <f>IF(Goals!A174="","",Goals!F174)</f>
        <v/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 t="str">
        <f>IF(Goals!A175="","",Goals!A175)</f>
        <v/>
      </c>
      <c r="B236" s="1" t="str">
        <f>IF(Goals!A175="","",Goals!B175)</f>
        <v/>
      </c>
      <c r="C236" s="1" t="str">
        <f>IF(Goals!A175="","",Goals!C175)</f>
        <v/>
      </c>
      <c r="D236" s="1" t="str">
        <f>IF(Goals!A175="","",Goals!D175)</f>
        <v/>
      </c>
      <c r="E236" s="1" t="str">
        <f>IF(Goals!A175="","",Goals!E175)</f>
        <v/>
      </c>
      <c r="F236" s="1" t="str">
        <f>IF(Goals!A175="","",Goals!F175)</f>
        <v/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 t="str">
        <f>IF(Goals!A176="","",Goals!A176)</f>
        <v/>
      </c>
      <c r="B237" s="1" t="str">
        <f>IF(Goals!A176="","",Goals!B176)</f>
        <v/>
      </c>
      <c r="C237" s="1" t="str">
        <f>IF(Goals!A176="","",Goals!C176)</f>
        <v/>
      </c>
      <c r="D237" s="1" t="str">
        <f>IF(Goals!A176="","",Goals!D176)</f>
        <v/>
      </c>
      <c r="E237" s="1" t="str">
        <f>IF(Goals!A176="","",Goals!E176)</f>
        <v/>
      </c>
      <c r="F237" s="1" t="str">
        <f>IF(Goals!A176="","",Goals!F176)</f>
        <v/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 t="str">
        <f>IF(Goals!A177="","",Goals!A177)</f>
        <v/>
      </c>
      <c r="B238" s="1" t="str">
        <f>IF(Goals!A177="","",Goals!B177)</f>
        <v/>
      </c>
      <c r="C238" s="1" t="str">
        <f>IF(Goals!A177="","",Goals!C177)</f>
        <v/>
      </c>
      <c r="D238" s="1" t="str">
        <f>IF(Goals!A177="","",Goals!D177)</f>
        <v/>
      </c>
      <c r="E238" s="1" t="str">
        <f>IF(Goals!A177="","",Goals!E177)</f>
        <v/>
      </c>
      <c r="F238" s="1" t="str">
        <f>IF(Goals!A177="","",Goals!F177)</f>
        <v/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 t="str">
        <f>IF(Goals!A178="","",Goals!A178)</f>
        <v/>
      </c>
      <c r="B239" s="1" t="str">
        <f>IF(Goals!A178="","",Goals!B178)</f>
        <v/>
      </c>
      <c r="C239" s="1" t="str">
        <f>IF(Goals!A178="","",Goals!C178)</f>
        <v/>
      </c>
      <c r="D239" s="1" t="str">
        <f>IF(Goals!A178="","",Goals!D178)</f>
        <v/>
      </c>
      <c r="E239" s="1" t="str">
        <f>IF(Goals!A178="","",Goals!E178)</f>
        <v/>
      </c>
      <c r="F239" s="1" t="str">
        <f>IF(Goals!A178="","",Goals!F178)</f>
        <v/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 t="str">
        <f>IF(Goals!A179="","",Goals!A179)</f>
        <v/>
      </c>
      <c r="B240" s="1" t="str">
        <f>IF(Goals!A179="","",Goals!B179)</f>
        <v/>
      </c>
      <c r="C240" s="1" t="str">
        <f>IF(Goals!A179="","",Goals!C179)</f>
        <v/>
      </c>
      <c r="D240" s="1" t="str">
        <f>IF(Goals!A179="","",Goals!D179)</f>
        <v/>
      </c>
      <c r="E240" s="1" t="str">
        <f>IF(Goals!A179="","",Goals!E179)</f>
        <v/>
      </c>
      <c r="F240" s="1" t="str">
        <f>IF(Goals!A179="","",Goals!F179)</f>
        <v/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 t="str">
        <f>IF(Goals!A180="","",Goals!A180)</f>
        <v/>
      </c>
      <c r="B241" s="1" t="str">
        <f>IF(Goals!A180="","",Goals!B180)</f>
        <v/>
      </c>
      <c r="C241" s="1" t="str">
        <f>IF(Goals!A180="","",Goals!C180)</f>
        <v/>
      </c>
      <c r="D241" s="1" t="str">
        <f>IF(Goals!A180="","",Goals!D180)</f>
        <v/>
      </c>
      <c r="E241" s="1" t="str">
        <f>IF(Goals!A180="","",Goals!E180)</f>
        <v/>
      </c>
      <c r="F241" s="1" t="str">
        <f>IF(Goals!A180="","",Goals!F180)</f>
        <v/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 t="str">
        <f>IF(Goals!A181="","",Goals!A181)</f>
        <v/>
      </c>
      <c r="B242" s="1" t="str">
        <f>IF(Goals!A181="","",Goals!B181)</f>
        <v/>
      </c>
      <c r="C242" s="1" t="str">
        <f>IF(Goals!A181="","",Goals!C181)</f>
        <v/>
      </c>
      <c r="D242" s="1" t="str">
        <f>IF(Goals!A181="","",Goals!D181)</f>
        <v/>
      </c>
      <c r="E242" s="1" t="str">
        <f>IF(Goals!A181="","",Goals!E181)</f>
        <v/>
      </c>
      <c r="F242" s="1" t="str">
        <f>IF(Goals!A181="","",Goals!F181)</f>
        <v/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 t="str">
        <f>IF(Goals!A182="","",Goals!A182)</f>
        <v/>
      </c>
      <c r="B243" s="1" t="str">
        <f>IF(Goals!A182="","",Goals!B182)</f>
        <v/>
      </c>
      <c r="C243" s="1" t="str">
        <f>IF(Goals!A182="","",Goals!C182)</f>
        <v/>
      </c>
      <c r="D243" s="1" t="str">
        <f>IF(Goals!A182="","",Goals!D182)</f>
        <v/>
      </c>
      <c r="E243" s="1" t="str">
        <f>IF(Goals!A182="","",Goals!E182)</f>
        <v/>
      </c>
      <c r="F243" s="1" t="str">
        <f>IF(Goals!A182="","",Goals!F182)</f>
        <v/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 t="str">
        <f>IF(Goals!A183="","",Goals!A183)</f>
        <v/>
      </c>
      <c r="B244" s="1" t="str">
        <f>IF(Goals!A183="","",Goals!B183)</f>
        <v/>
      </c>
      <c r="C244" s="1" t="str">
        <f>IF(Goals!A183="","",Goals!C183)</f>
        <v/>
      </c>
      <c r="D244" s="1" t="str">
        <f>IF(Goals!A183="","",Goals!D183)</f>
        <v/>
      </c>
      <c r="E244" s="1" t="str">
        <f>IF(Goals!A183="","",Goals!E183)</f>
        <v/>
      </c>
      <c r="F244" s="1" t="str">
        <f>IF(Goals!A183="","",Goals!F183)</f>
        <v/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 t="str">
        <f>IF(Goals!A184="","",Goals!A184)</f>
        <v/>
      </c>
      <c r="B245" s="1" t="str">
        <f>IF(Goals!A184="","",Goals!B184)</f>
        <v/>
      </c>
      <c r="C245" s="1" t="str">
        <f>IF(Goals!A184="","",Goals!C184)</f>
        <v/>
      </c>
      <c r="D245" s="1" t="str">
        <f>IF(Goals!A184="","",Goals!D184)</f>
        <v/>
      </c>
      <c r="E245" s="1" t="str">
        <f>IF(Goals!A184="","",Goals!E184)</f>
        <v/>
      </c>
      <c r="F245" s="1" t="str">
        <f>IF(Goals!A184="","",Goals!F184)</f>
        <v/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 t="str">
        <f>IF(Goals!A185="","",Goals!A185)</f>
        <v/>
      </c>
      <c r="B246" s="1" t="str">
        <f>IF(Goals!A185="","",Goals!B185)</f>
        <v/>
      </c>
      <c r="C246" s="1" t="str">
        <f>IF(Goals!A185="","",Goals!C185)</f>
        <v/>
      </c>
      <c r="D246" s="1" t="str">
        <f>IF(Goals!A185="","",Goals!D185)</f>
        <v/>
      </c>
      <c r="E246" s="1" t="str">
        <f>IF(Goals!A185="","",Goals!E185)</f>
        <v/>
      </c>
      <c r="F246" s="1" t="str">
        <f>IF(Goals!A185="","",Goals!F185)</f>
        <v/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 t="str">
        <f>IF(Goals!A186="","",Goals!A186)</f>
        <v/>
      </c>
      <c r="B247" s="1" t="str">
        <f>IF(Goals!A186="","",Goals!B186)</f>
        <v/>
      </c>
      <c r="C247" s="1" t="str">
        <f>IF(Goals!A186="","",Goals!C186)</f>
        <v/>
      </c>
      <c r="D247" s="1" t="str">
        <f>IF(Goals!A186="","",Goals!D186)</f>
        <v/>
      </c>
      <c r="E247" s="1" t="str">
        <f>IF(Goals!A186="","",Goals!E186)</f>
        <v/>
      </c>
      <c r="F247" s="1" t="str">
        <f>IF(Goals!A186="","",Goals!F186)</f>
        <v/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 t="str">
        <f>IF(Goals!A187="","",Goals!A187)</f>
        <v/>
      </c>
      <c r="B248" s="1" t="str">
        <f>IF(Goals!A187="","",Goals!B187)</f>
        <v/>
      </c>
      <c r="C248" s="1" t="str">
        <f>IF(Goals!A187="","",Goals!C187)</f>
        <v/>
      </c>
      <c r="D248" s="1" t="str">
        <f>IF(Goals!A187="","",Goals!D187)</f>
        <v/>
      </c>
      <c r="E248" s="1" t="str">
        <f>IF(Goals!A187="","",Goals!E187)</f>
        <v/>
      </c>
      <c r="F248" s="1" t="str">
        <f>IF(Goals!A187="","",Goals!F187)</f>
        <v/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 t="str">
        <f>IF(Goals!A188="","",Goals!A188)</f>
        <v/>
      </c>
      <c r="B249" s="1" t="str">
        <f>IF(Goals!A188="","",Goals!B188)</f>
        <v/>
      </c>
      <c r="C249" s="1" t="str">
        <f>IF(Goals!A188="","",Goals!C188)</f>
        <v/>
      </c>
      <c r="D249" s="1" t="str">
        <f>IF(Goals!A188="","",Goals!D188)</f>
        <v/>
      </c>
      <c r="E249" s="1" t="str">
        <f>IF(Goals!A188="","",Goals!E188)</f>
        <v/>
      </c>
      <c r="F249" s="1" t="str">
        <f>IF(Goals!A188="","",Goals!F188)</f>
        <v/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 t="str">
        <f>IF(Goals!A189="","",Goals!A189)</f>
        <v/>
      </c>
      <c r="B250" s="1" t="str">
        <f>IF(Goals!A189="","",Goals!B189)</f>
        <v/>
      </c>
      <c r="C250" s="1" t="str">
        <f>IF(Goals!A189="","",Goals!C189)</f>
        <v/>
      </c>
      <c r="D250" s="1" t="str">
        <f>IF(Goals!A189="","",Goals!D189)</f>
        <v/>
      </c>
      <c r="E250" s="1" t="str">
        <f>IF(Goals!A189="","",Goals!E189)</f>
        <v/>
      </c>
      <c r="F250" s="1" t="str">
        <f>IF(Goals!A189="","",Goals!F189)</f>
        <v/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 t="str">
        <f>IF(Goals!A190="","",Goals!A190)</f>
        <v/>
      </c>
      <c r="B251" s="1" t="str">
        <f>IF(Goals!A190="","",Goals!B190)</f>
        <v/>
      </c>
      <c r="C251" s="1" t="str">
        <f>IF(Goals!A190="","",Goals!C190)</f>
        <v/>
      </c>
      <c r="D251" s="1" t="str">
        <f>IF(Goals!A190="","",Goals!D190)</f>
        <v/>
      </c>
      <c r="E251" s="1" t="str">
        <f>IF(Goals!A190="","",Goals!E190)</f>
        <v/>
      </c>
      <c r="F251" s="1" t="str">
        <f>IF(Goals!A190="","",Goals!F190)</f>
        <v/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 t="str">
        <f>IF(Goals!A191="","",Goals!A191)</f>
        <v/>
      </c>
      <c r="B252" s="1" t="str">
        <f>IF(Goals!A191="","",Goals!B191)</f>
        <v/>
      </c>
      <c r="C252" s="1" t="str">
        <f>IF(Goals!A191="","",Goals!C191)</f>
        <v/>
      </c>
      <c r="D252" s="1" t="str">
        <f>IF(Goals!A191="","",Goals!D191)</f>
        <v/>
      </c>
      <c r="E252" s="1" t="str">
        <f>IF(Goals!A191="","",Goals!E191)</f>
        <v/>
      </c>
      <c r="F252" s="1" t="str">
        <f>IF(Goals!A191="","",Goals!F191)</f>
        <v/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 t="str">
        <f>IF(Goals!A192="","",Goals!A192)</f>
        <v/>
      </c>
      <c r="B253" s="1" t="str">
        <f>IF(Goals!A192="","",Goals!B192)</f>
        <v/>
      </c>
      <c r="C253" s="1" t="str">
        <f>IF(Goals!A192="","",Goals!C192)</f>
        <v/>
      </c>
      <c r="D253" s="1" t="str">
        <f>IF(Goals!A192="","",Goals!D192)</f>
        <v/>
      </c>
      <c r="E253" s="1" t="str">
        <f>IF(Goals!A192="","",Goals!E192)</f>
        <v/>
      </c>
      <c r="F253" s="1" t="str">
        <f>IF(Goals!A192="","",Goals!F192)</f>
        <v/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 t="str">
        <f>IF(Goals!A193="","",Goals!A193)</f>
        <v/>
      </c>
      <c r="B254" s="1" t="str">
        <f>IF(Goals!A193="","",Goals!B193)</f>
        <v/>
      </c>
      <c r="C254" s="1" t="str">
        <f>IF(Goals!A193="","",Goals!C193)</f>
        <v/>
      </c>
      <c r="D254" s="1" t="str">
        <f>IF(Goals!A193="","",Goals!D193)</f>
        <v/>
      </c>
      <c r="E254" s="1" t="str">
        <f>IF(Goals!A193="","",Goals!E193)</f>
        <v/>
      </c>
      <c r="F254" s="1" t="str">
        <f>IF(Goals!A193="","",Goals!F193)</f>
        <v/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 t="str">
        <f>IF(Goals!A194="","",Goals!A194)</f>
        <v/>
      </c>
      <c r="B255" s="1" t="str">
        <f>IF(Goals!A194="","",Goals!B194)</f>
        <v/>
      </c>
      <c r="C255" s="1" t="str">
        <f>IF(Goals!A194="","",Goals!C194)</f>
        <v/>
      </c>
      <c r="D255" s="1" t="str">
        <f>IF(Goals!A194="","",Goals!D194)</f>
        <v/>
      </c>
      <c r="E255" s="1" t="str">
        <f>IF(Goals!A194="","",Goals!E194)</f>
        <v/>
      </c>
      <c r="F255" s="1" t="str">
        <f>IF(Goals!A194="","",Goals!F194)</f>
        <v/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 t="str">
        <f>IF(Goals!A195="","",Goals!A195)</f>
        <v/>
      </c>
      <c r="B256" s="1" t="str">
        <f>IF(Goals!A195="","",Goals!B195)</f>
        <v/>
      </c>
      <c r="C256" s="1" t="str">
        <f>IF(Goals!A195="","",Goals!C195)</f>
        <v/>
      </c>
      <c r="D256" s="1" t="str">
        <f>IF(Goals!A195="","",Goals!D195)</f>
        <v/>
      </c>
      <c r="E256" s="1" t="str">
        <f>IF(Goals!A195="","",Goals!E195)</f>
        <v/>
      </c>
      <c r="F256" s="1" t="str">
        <f>IF(Goals!A195="","",Goals!F195)</f>
        <v/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 t="str">
        <f>IF(Goals!A196="","",Goals!A196)</f>
        <v/>
      </c>
      <c r="B257" s="1" t="str">
        <f>IF(Goals!A196="","",Goals!B196)</f>
        <v/>
      </c>
      <c r="C257" s="1" t="str">
        <f>IF(Goals!A196="","",Goals!C196)</f>
        <v/>
      </c>
      <c r="D257" s="1" t="str">
        <f>IF(Goals!A196="","",Goals!D196)</f>
        <v/>
      </c>
      <c r="E257" s="1" t="str">
        <f>IF(Goals!A196="","",Goals!E196)</f>
        <v/>
      </c>
      <c r="F257" s="1" t="str">
        <f>IF(Goals!A196="","",Goals!F196)</f>
        <v/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 t="str">
        <f>IF(Goals!A197="","",Goals!A197)</f>
        <v/>
      </c>
      <c r="B258" s="1" t="str">
        <f>IF(Goals!A197="","",Goals!B197)</f>
        <v/>
      </c>
      <c r="C258" s="1" t="str">
        <f>IF(Goals!A197="","",Goals!C197)</f>
        <v/>
      </c>
      <c r="D258" s="1" t="str">
        <f>IF(Goals!A197="","",Goals!D197)</f>
        <v/>
      </c>
      <c r="E258" s="1" t="str">
        <f>IF(Goals!A197="","",Goals!E197)</f>
        <v/>
      </c>
      <c r="F258" s="1" t="str">
        <f>IF(Goals!A197="","",Goals!F197)</f>
        <v/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 t="str">
        <f>IF(Goals!A198="","",Goals!A198)</f>
        <v/>
      </c>
      <c r="B259" s="1" t="str">
        <f>IF(Goals!A198="","",Goals!B198)</f>
        <v/>
      </c>
      <c r="C259" s="1" t="str">
        <f>IF(Goals!A198="","",Goals!C198)</f>
        <v/>
      </c>
      <c r="D259" s="1" t="str">
        <f>IF(Goals!A198="","",Goals!D198)</f>
        <v/>
      </c>
      <c r="E259" s="1" t="str">
        <f>IF(Goals!A198="","",Goals!E198)</f>
        <v/>
      </c>
      <c r="F259" s="1" t="str">
        <f>IF(Goals!A198="","",Goals!F198)</f>
        <v/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 t="str">
        <f>IF(Goals!A199="","",Goals!A199)</f>
        <v/>
      </c>
      <c r="B260" s="1" t="str">
        <f>IF(Goals!A199="","",Goals!B199)</f>
        <v/>
      </c>
      <c r="C260" s="1" t="str">
        <f>IF(Goals!A199="","",Goals!C199)</f>
        <v/>
      </c>
      <c r="D260" s="1" t="str">
        <f>IF(Goals!A199="","",Goals!D199)</f>
        <v/>
      </c>
      <c r="E260" s="1" t="str">
        <f>IF(Goals!A199="","",Goals!E199)</f>
        <v/>
      </c>
      <c r="F260" s="1" t="str">
        <f>IF(Goals!A199="","",Goals!F199)</f>
        <v/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 t="str">
        <f>IF(Goals!A200="","",Goals!A200)</f>
        <v/>
      </c>
      <c r="B261" s="1" t="str">
        <f>IF(Goals!A200="","",Goals!B200)</f>
        <v/>
      </c>
      <c r="C261" s="1" t="str">
        <f>IF(Goals!A200="","",Goals!C200)</f>
        <v/>
      </c>
      <c r="D261" s="1" t="str">
        <f>IF(Goals!A200="","",Goals!D200)</f>
        <v/>
      </c>
      <c r="E261" s="1" t="str">
        <f>IF(Goals!A200="","",Goals!E200)</f>
        <v/>
      </c>
      <c r="F261" s="1" t="str">
        <f>IF(Goals!A200="","",Goals!F200)</f>
        <v/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 t="str">
        <f>IF(Goals!A201="","",Goals!A201)</f>
        <v/>
      </c>
      <c r="B262" s="1" t="str">
        <f>IF(Goals!A201="","",Goals!B201)</f>
        <v/>
      </c>
      <c r="C262" s="1" t="str">
        <f>IF(Goals!A201="","",Goals!C201)</f>
        <v/>
      </c>
      <c r="D262" s="1" t="str">
        <f>IF(Goals!A201="","",Goals!D201)</f>
        <v/>
      </c>
      <c r="E262" s="1" t="str">
        <f>IF(Goals!A201="","",Goals!E201)</f>
        <v/>
      </c>
      <c r="F262" s="1" t="str">
        <f>IF(Goals!A201="","",Goals!F201)</f>
        <v/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 t="str">
        <f>IF(Goals!A202="","",Goals!A202)</f>
        <v/>
      </c>
      <c r="B263" s="1" t="str">
        <f>IF(Goals!A202="","",Goals!B202)</f>
        <v/>
      </c>
      <c r="C263" s="1" t="str">
        <f>IF(Goals!A202="","",Goals!C202)</f>
        <v/>
      </c>
      <c r="D263" s="1" t="str">
        <f>IF(Goals!A202="","",Goals!D202)</f>
        <v/>
      </c>
      <c r="E263" s="1" t="str">
        <f>IF(Goals!A202="","",Goals!E202)</f>
        <v/>
      </c>
      <c r="F263" s="1" t="str">
        <f>IF(Goals!A202="","",Goals!F202)</f>
        <v/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 t="str">
        <f>IF(Goals!A203="","",Goals!A203)</f>
        <v/>
      </c>
      <c r="B264" s="1" t="str">
        <f>IF(Goals!A203="","",Goals!B203)</f>
        <v/>
      </c>
      <c r="C264" s="1" t="str">
        <f>IF(Goals!A203="","",Goals!C203)</f>
        <v/>
      </c>
      <c r="D264" s="1" t="str">
        <f>IF(Goals!A203="","",Goals!D203)</f>
        <v/>
      </c>
      <c r="E264" s="1" t="str">
        <f>IF(Goals!A203="","",Goals!E203)</f>
        <v/>
      </c>
      <c r="F264" s="1" t="str">
        <f>IF(Goals!A203="","",Goals!F203)</f>
        <v/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 t="str">
        <f>IF(Goals!A204="","",Goals!A204)</f>
        <v/>
      </c>
      <c r="B265" s="1" t="str">
        <f>IF(Goals!A204="","",Goals!B204)</f>
        <v/>
      </c>
      <c r="C265" s="1" t="str">
        <f>IF(Goals!A204="","",Goals!C204)</f>
        <v/>
      </c>
      <c r="D265" s="1" t="str">
        <f>IF(Goals!A204="","",Goals!D204)</f>
        <v/>
      </c>
      <c r="E265" s="1" t="str">
        <f>IF(Goals!A204="","",Goals!E204)</f>
        <v/>
      </c>
      <c r="F265" s="1" t="str">
        <f>IF(Goals!A204="","",Goals!F204)</f>
        <v/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 t="str">
        <f>IF(Goals!A205="","",Goals!A205)</f>
        <v/>
      </c>
      <c r="B266" s="1" t="str">
        <f>IF(Goals!A205="","",Goals!B205)</f>
        <v/>
      </c>
      <c r="C266" s="1" t="str">
        <f>IF(Goals!A205="","",Goals!C205)</f>
        <v/>
      </c>
      <c r="D266" s="1" t="str">
        <f>IF(Goals!A205="","",Goals!D205)</f>
        <v/>
      </c>
      <c r="E266" s="1" t="str">
        <f>IF(Goals!A205="","",Goals!E205)</f>
        <v/>
      </c>
      <c r="F266" s="1" t="str">
        <f>IF(Goals!A205="","",Goals!F205)</f>
        <v/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 t="str">
        <f>IF(Goals!A206="","",Goals!A206)</f>
        <v/>
      </c>
      <c r="B267" s="1" t="str">
        <f>IF(Goals!A206="","",Goals!B206)</f>
        <v/>
      </c>
      <c r="C267" s="1" t="str">
        <f>IF(Goals!A206="","",Goals!C206)</f>
        <v/>
      </c>
      <c r="D267" s="1" t="str">
        <f>IF(Goals!A206="","",Goals!D206)</f>
        <v/>
      </c>
      <c r="E267" s="1" t="str">
        <f>IF(Goals!A206="","",Goals!E206)</f>
        <v/>
      </c>
      <c r="F267" s="1" t="str">
        <f>IF(Goals!A206="","",Goals!F206)</f>
        <v/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 t="str">
        <f>IF(Goals!A207="","",Goals!A207)</f>
        <v/>
      </c>
      <c r="B268" s="1" t="str">
        <f>IF(Goals!A207="","",Goals!B207)</f>
        <v/>
      </c>
      <c r="C268" s="1" t="str">
        <f>IF(Goals!A207="","",Goals!C207)</f>
        <v/>
      </c>
      <c r="D268" s="1" t="str">
        <f>IF(Goals!A207="","",Goals!D207)</f>
        <v/>
      </c>
      <c r="E268" s="1" t="str">
        <f>IF(Goals!A207="","",Goals!E207)</f>
        <v/>
      </c>
      <c r="F268" s="1" t="str">
        <f>IF(Goals!A207="","",Goals!F207)</f>
        <v/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 t="str">
        <f>IF(Goals!A208="","",Goals!A208)</f>
        <v/>
      </c>
      <c r="B269" s="1" t="str">
        <f>IF(Goals!A208="","",Goals!B208)</f>
        <v/>
      </c>
      <c r="C269" s="1" t="str">
        <f>IF(Goals!A208="","",Goals!C208)</f>
        <v/>
      </c>
      <c r="D269" s="1" t="str">
        <f>IF(Goals!A208="","",Goals!D208)</f>
        <v/>
      </c>
      <c r="E269" s="1" t="str">
        <f>IF(Goals!A208="","",Goals!E208)</f>
        <v/>
      </c>
      <c r="F269" s="1" t="str">
        <f>IF(Goals!A208="","",Goals!F208)</f>
        <v/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 t="str">
        <f>IF(Goals!A209="","",Goals!A209)</f>
        <v/>
      </c>
      <c r="B270" s="1" t="str">
        <f>IF(Goals!A209="","",Goals!B209)</f>
        <v/>
      </c>
      <c r="C270" s="1" t="str">
        <f>IF(Goals!A209="","",Goals!C209)</f>
        <v/>
      </c>
      <c r="D270" s="1" t="str">
        <f>IF(Goals!A209="","",Goals!D209)</f>
        <v/>
      </c>
      <c r="E270" s="1" t="str">
        <f>IF(Goals!A209="","",Goals!E209)</f>
        <v/>
      </c>
      <c r="F270" s="1" t="str">
        <f>IF(Goals!A209="","",Goals!F209)</f>
        <v/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 t="str">
        <f>IF(Goals!A210="","",Goals!A210)</f>
        <v/>
      </c>
      <c r="B271" s="1" t="str">
        <f>IF(Goals!A210="","",Goals!B210)</f>
        <v/>
      </c>
      <c r="C271" s="1" t="str">
        <f>IF(Goals!A210="","",Goals!C210)</f>
        <v/>
      </c>
      <c r="D271" s="1" t="str">
        <f>IF(Goals!A210="","",Goals!D210)</f>
        <v/>
      </c>
      <c r="E271" s="1" t="str">
        <f>IF(Goals!A210="","",Goals!E210)</f>
        <v/>
      </c>
      <c r="F271" s="1" t="str">
        <f>IF(Goals!A210="","",Goals!F210)</f>
        <v/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 t="str">
        <f>IF(Goals!A211="","",Goals!A211)</f>
        <v/>
      </c>
      <c r="B272" s="1" t="str">
        <f>IF(Goals!A211="","",Goals!B211)</f>
        <v/>
      </c>
      <c r="C272" s="1" t="str">
        <f>IF(Goals!A211="","",Goals!C211)</f>
        <v/>
      </c>
      <c r="D272" s="1" t="str">
        <f>IF(Goals!A211="","",Goals!D211)</f>
        <v/>
      </c>
      <c r="E272" s="1" t="str">
        <f>IF(Goals!A211="","",Goals!E211)</f>
        <v/>
      </c>
      <c r="F272" s="1" t="str">
        <f>IF(Goals!A211="","",Goals!F211)</f>
        <v/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 t="str">
        <f>IF(Goals!A212="","",Goals!A212)</f>
        <v/>
      </c>
      <c r="B273" s="1" t="str">
        <f>IF(Goals!A212="","",Goals!B212)</f>
        <v/>
      </c>
      <c r="C273" s="1" t="str">
        <f>IF(Goals!A212="","",Goals!C212)</f>
        <v/>
      </c>
      <c r="D273" s="1" t="str">
        <f>IF(Goals!A212="","",Goals!D212)</f>
        <v/>
      </c>
      <c r="E273" s="1" t="str">
        <f>IF(Goals!A212="","",Goals!E212)</f>
        <v/>
      </c>
      <c r="F273" s="1" t="str">
        <f>IF(Goals!A212="","",Goals!F212)</f>
        <v/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 t="str">
        <f>IF(Goals!A213="","",Goals!A213)</f>
        <v/>
      </c>
      <c r="B274" s="1" t="str">
        <f>IF(Goals!A213="","",Goals!B213)</f>
        <v/>
      </c>
      <c r="C274" s="1" t="str">
        <f>IF(Goals!A213="","",Goals!C213)</f>
        <v/>
      </c>
      <c r="D274" s="1" t="str">
        <f>IF(Goals!A213="","",Goals!D213)</f>
        <v/>
      </c>
      <c r="E274" s="1" t="str">
        <f>IF(Goals!A213="","",Goals!E213)</f>
        <v/>
      </c>
      <c r="F274" s="1" t="str">
        <f>IF(Goals!A213="","",Goals!F213)</f>
        <v/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 t="str">
        <f>IF(Goals!A214="","",Goals!A214)</f>
        <v/>
      </c>
      <c r="B275" s="1" t="str">
        <f>IF(Goals!A214="","",Goals!B214)</f>
        <v/>
      </c>
      <c r="C275" s="1" t="str">
        <f>IF(Goals!A214="","",Goals!C214)</f>
        <v/>
      </c>
      <c r="D275" s="1" t="str">
        <f>IF(Goals!A214="","",Goals!D214)</f>
        <v/>
      </c>
      <c r="E275" s="1" t="str">
        <f>IF(Goals!A214="","",Goals!E214)</f>
        <v/>
      </c>
      <c r="F275" s="1" t="str">
        <f>IF(Goals!A214="","",Goals!F214)</f>
        <v/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 t="str">
        <f>IF(Goals!A215="","",Goals!A215)</f>
        <v/>
      </c>
      <c r="B276" s="1" t="str">
        <f>IF(Goals!A215="","",Goals!B215)</f>
        <v/>
      </c>
      <c r="C276" s="1" t="str">
        <f>IF(Goals!A215="","",Goals!C215)</f>
        <v/>
      </c>
      <c r="D276" s="1" t="str">
        <f>IF(Goals!A215="","",Goals!D215)</f>
        <v/>
      </c>
      <c r="E276" s="1" t="str">
        <f>IF(Goals!A215="","",Goals!E215)</f>
        <v/>
      </c>
      <c r="F276" s="1" t="str">
        <f>IF(Goals!A215="","",Goals!F215)</f>
        <v/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 t="str">
        <f>IF(Goals!A216="","",Goals!A216)</f>
        <v/>
      </c>
      <c r="B277" s="1" t="str">
        <f>IF(Goals!A216="","",Goals!B216)</f>
        <v/>
      </c>
      <c r="C277" s="1" t="str">
        <f>IF(Goals!A216="","",Goals!C216)</f>
        <v/>
      </c>
      <c r="D277" s="1" t="str">
        <f>IF(Goals!A216="","",Goals!D216)</f>
        <v/>
      </c>
      <c r="E277" s="1" t="str">
        <f>IF(Goals!A216="","",Goals!E216)</f>
        <v/>
      </c>
      <c r="F277" s="1" t="str">
        <f>IF(Goals!A216="","",Goals!F216)</f>
        <v/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 t="str">
        <f>IF(Goals!A217="","",Goals!A217)</f>
        <v/>
      </c>
      <c r="B278" s="1" t="str">
        <f>IF(Goals!A217="","",Goals!B217)</f>
        <v/>
      </c>
      <c r="C278" s="1" t="str">
        <f>IF(Goals!A217="","",Goals!C217)</f>
        <v/>
      </c>
      <c r="D278" s="1" t="str">
        <f>IF(Goals!A217="","",Goals!D217)</f>
        <v/>
      </c>
      <c r="E278" s="1" t="str">
        <f>IF(Goals!A217="","",Goals!E217)</f>
        <v/>
      </c>
      <c r="F278" s="1" t="str">
        <f>IF(Goals!A217="","",Goals!F217)</f>
        <v/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 t="str">
        <f>IF(Goals!A218="","",Goals!A218)</f>
        <v/>
      </c>
      <c r="B279" s="1" t="str">
        <f>IF(Goals!A218="","",Goals!B218)</f>
        <v/>
      </c>
      <c r="C279" s="1" t="str">
        <f>IF(Goals!A218="","",Goals!C218)</f>
        <v/>
      </c>
      <c r="D279" s="1" t="str">
        <f>IF(Goals!A218="","",Goals!D218)</f>
        <v/>
      </c>
      <c r="E279" s="1" t="str">
        <f>IF(Goals!A218="","",Goals!E218)</f>
        <v/>
      </c>
      <c r="F279" s="1" t="str">
        <f>IF(Goals!A218="","",Goals!F218)</f>
        <v/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 t="str">
        <f>IF(Goals!A219="","",Goals!A219)</f>
        <v/>
      </c>
      <c r="B280" s="1" t="str">
        <f>IF(Goals!A219="","",Goals!B219)</f>
        <v/>
      </c>
      <c r="C280" s="1" t="str">
        <f>IF(Goals!A219="","",Goals!C219)</f>
        <v/>
      </c>
      <c r="D280" s="1" t="str">
        <f>IF(Goals!A219="","",Goals!D219)</f>
        <v/>
      </c>
      <c r="E280" s="1" t="str">
        <f>IF(Goals!A219="","",Goals!E219)</f>
        <v/>
      </c>
      <c r="F280" s="1" t="str">
        <f>IF(Goals!A219="","",Goals!F219)</f>
        <v/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 t="str">
        <f>IF(Goals!A220="","",Goals!A220)</f>
        <v/>
      </c>
      <c r="B281" s="1" t="str">
        <f>IF(Goals!A220="","",Goals!B220)</f>
        <v/>
      </c>
      <c r="C281" s="1" t="str">
        <f>IF(Goals!A220="","",Goals!C220)</f>
        <v/>
      </c>
      <c r="D281" s="1" t="str">
        <f>IF(Goals!A220="","",Goals!D220)</f>
        <v/>
      </c>
      <c r="E281" s="1" t="str">
        <f>IF(Goals!A220="","",Goals!E220)</f>
        <v/>
      </c>
      <c r="F281" s="1" t="str">
        <f>IF(Goals!A220="","",Goals!F220)</f>
        <v/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 t="str">
        <f>IF(Goals!A221="","",Goals!A221)</f>
        <v/>
      </c>
      <c r="B282" s="1" t="str">
        <f>IF(Goals!A221="","",Goals!B221)</f>
        <v/>
      </c>
      <c r="C282" s="1" t="str">
        <f>IF(Goals!A221="","",Goals!C221)</f>
        <v/>
      </c>
      <c r="D282" s="1" t="str">
        <f>IF(Goals!A221="","",Goals!D221)</f>
        <v/>
      </c>
      <c r="E282" s="1" t="str">
        <f>IF(Goals!A221="","",Goals!E221)</f>
        <v/>
      </c>
      <c r="F282" s="1" t="str">
        <f>IF(Goals!A221="","",Goals!F221)</f>
        <v/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 t="str">
        <f>IF(Goals!A222="","",Goals!A222)</f>
        <v/>
      </c>
      <c r="B283" s="1" t="str">
        <f>IF(Goals!A222="","",Goals!B222)</f>
        <v/>
      </c>
      <c r="C283" s="1" t="str">
        <f>IF(Goals!A222="","",Goals!C222)</f>
        <v/>
      </c>
      <c r="D283" s="1" t="str">
        <f>IF(Goals!A222="","",Goals!D222)</f>
        <v/>
      </c>
      <c r="E283" s="1" t="str">
        <f>IF(Goals!A222="","",Goals!E222)</f>
        <v/>
      </c>
      <c r="F283" s="1" t="str">
        <f>IF(Goals!A222="","",Goals!F222)</f>
        <v/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 t="str">
        <f>IF(Goals!A223="","",Goals!A223)</f>
        <v/>
      </c>
      <c r="B284" s="1" t="str">
        <f>IF(Goals!A223="","",Goals!B223)</f>
        <v/>
      </c>
      <c r="C284" s="1" t="str">
        <f>IF(Goals!A223="","",Goals!C223)</f>
        <v/>
      </c>
      <c r="D284" s="1" t="str">
        <f>IF(Goals!A223="","",Goals!D223)</f>
        <v/>
      </c>
      <c r="E284" s="1" t="str">
        <f>IF(Goals!A223="","",Goals!E223)</f>
        <v/>
      </c>
      <c r="F284" s="1" t="str">
        <f>IF(Goals!A223="","",Goals!F223)</f>
        <v/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 t="str">
        <f>IF(Goals!A224="","",Goals!A224)</f>
        <v/>
      </c>
      <c r="B285" s="1" t="str">
        <f>IF(Goals!A224="","",Goals!B224)</f>
        <v/>
      </c>
      <c r="C285" s="1" t="str">
        <f>IF(Goals!A224="","",Goals!C224)</f>
        <v/>
      </c>
      <c r="D285" s="1" t="str">
        <f>IF(Goals!A224="","",Goals!D224)</f>
        <v/>
      </c>
      <c r="E285" s="1" t="str">
        <f>IF(Goals!A224="","",Goals!E224)</f>
        <v/>
      </c>
      <c r="F285" s="1" t="str">
        <f>IF(Goals!A224="","",Goals!F224)</f>
        <v/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 t="str">
        <f>IF(Goals!A225="","",Goals!A225)</f>
        <v/>
      </c>
      <c r="B286" s="1" t="str">
        <f>IF(Goals!A225="","",Goals!B225)</f>
        <v/>
      </c>
      <c r="C286" s="1" t="str">
        <f>IF(Goals!A225="","",Goals!C225)</f>
        <v/>
      </c>
      <c r="D286" s="1" t="str">
        <f>IF(Goals!A225="","",Goals!D225)</f>
        <v/>
      </c>
      <c r="E286" s="1" t="str">
        <f>IF(Goals!A225="","",Goals!E225)</f>
        <v/>
      </c>
      <c r="F286" s="1" t="str">
        <f>IF(Goals!A225="","",Goals!F225)</f>
        <v/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 t="str">
        <f>IF(Goals!A226="","",Goals!A226)</f>
        <v/>
      </c>
      <c r="B287" s="1" t="str">
        <f>IF(Goals!A226="","",Goals!B226)</f>
        <v/>
      </c>
      <c r="C287" s="1" t="str">
        <f>IF(Goals!A226="","",Goals!C226)</f>
        <v/>
      </c>
      <c r="D287" s="1" t="str">
        <f>IF(Goals!A226="","",Goals!D226)</f>
        <v/>
      </c>
      <c r="E287" s="1" t="str">
        <f>IF(Goals!A226="","",Goals!E226)</f>
        <v/>
      </c>
      <c r="F287" s="1" t="str">
        <f>IF(Goals!A226="","",Goals!F226)</f>
        <v/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 t="str">
        <f>IF(Goals!A227="","",Goals!A227)</f>
        <v/>
      </c>
      <c r="B288" s="1" t="str">
        <f>IF(Goals!A227="","",Goals!B227)</f>
        <v/>
      </c>
      <c r="C288" s="1" t="str">
        <f>IF(Goals!A227="","",Goals!C227)</f>
        <v/>
      </c>
      <c r="D288" s="1" t="str">
        <f>IF(Goals!A227="","",Goals!D227)</f>
        <v/>
      </c>
      <c r="E288" s="1" t="str">
        <f>IF(Goals!A227="","",Goals!E227)</f>
        <v/>
      </c>
      <c r="F288" s="1" t="str">
        <f>IF(Goals!A227="","",Goals!F227)</f>
        <v/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 t="str">
        <f>IF(Goals!A228="","",Goals!A228)</f>
        <v/>
      </c>
      <c r="B289" s="1" t="str">
        <f>IF(Goals!A228="","",Goals!B228)</f>
        <v/>
      </c>
      <c r="C289" s="1" t="str">
        <f>IF(Goals!A228="","",Goals!C228)</f>
        <v/>
      </c>
      <c r="D289" s="1" t="str">
        <f>IF(Goals!A228="","",Goals!D228)</f>
        <v/>
      </c>
      <c r="E289" s="1" t="str">
        <f>IF(Goals!A228="","",Goals!E228)</f>
        <v/>
      </c>
      <c r="F289" s="1" t="str">
        <f>IF(Goals!A228="","",Goals!F228)</f>
        <v/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 t="str">
        <f>IF(Goals!A229="","",Goals!A229)</f>
        <v/>
      </c>
      <c r="B290" s="1" t="str">
        <f>IF(Goals!A229="","",Goals!B229)</f>
        <v/>
      </c>
      <c r="C290" s="1" t="str">
        <f>IF(Goals!A229="","",Goals!C229)</f>
        <v/>
      </c>
      <c r="D290" s="1" t="str">
        <f>IF(Goals!A229="","",Goals!D229)</f>
        <v/>
      </c>
      <c r="E290" s="1" t="str">
        <f>IF(Goals!A229="","",Goals!E229)</f>
        <v/>
      </c>
      <c r="F290" s="1" t="str">
        <f>IF(Goals!A229="","",Goals!F229)</f>
        <v/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 t="str">
        <f>IF(Goals!A230="","",Goals!A230)</f>
        <v/>
      </c>
      <c r="B291" s="1" t="str">
        <f>IF(Goals!A230="","",Goals!B230)</f>
        <v/>
      </c>
      <c r="C291" s="1" t="str">
        <f>IF(Goals!A230="","",Goals!C230)</f>
        <v/>
      </c>
      <c r="D291" s="1" t="str">
        <f>IF(Goals!A230="","",Goals!D230)</f>
        <v/>
      </c>
      <c r="E291" s="1" t="str">
        <f>IF(Goals!A230="","",Goals!E230)</f>
        <v/>
      </c>
      <c r="F291" s="1" t="str">
        <f>IF(Goals!A230="","",Goals!F230)</f>
        <v/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 t="str">
        <f>IF(Goals!A231="","",Goals!A231)</f>
        <v/>
      </c>
      <c r="B292" s="1" t="str">
        <f>IF(Goals!A231="","",Goals!B231)</f>
        <v/>
      </c>
      <c r="C292" s="1" t="str">
        <f>IF(Goals!A231="","",Goals!C231)</f>
        <v/>
      </c>
      <c r="D292" s="1" t="str">
        <f>IF(Goals!A231="","",Goals!D231)</f>
        <v/>
      </c>
      <c r="E292" s="1" t="str">
        <f>IF(Goals!A231="","",Goals!E231)</f>
        <v/>
      </c>
      <c r="F292" s="1" t="str">
        <f>IF(Goals!A231="","",Goals!F231)</f>
        <v/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 t="str">
        <f>IF(Goals!A232="","",Goals!A232)</f>
        <v/>
      </c>
      <c r="B293" s="1" t="str">
        <f>IF(Goals!A232="","",Goals!B232)</f>
        <v/>
      </c>
      <c r="C293" s="1" t="str">
        <f>IF(Goals!A232="","",Goals!C232)</f>
        <v/>
      </c>
      <c r="D293" s="1" t="str">
        <f>IF(Goals!A232="","",Goals!D232)</f>
        <v/>
      </c>
      <c r="E293" s="1" t="str">
        <f>IF(Goals!A232="","",Goals!E232)</f>
        <v/>
      </c>
      <c r="F293" s="1" t="str">
        <f>IF(Goals!A232="","",Goals!F232)</f>
        <v/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 t="str">
        <f>IF(Goals!A233="","",Goals!A233)</f>
        <v/>
      </c>
      <c r="B294" s="1" t="str">
        <f>IF(Goals!A233="","",Goals!B233)</f>
        <v/>
      </c>
      <c r="C294" s="1" t="str">
        <f>IF(Goals!A233="","",Goals!C233)</f>
        <v/>
      </c>
      <c r="D294" s="1" t="str">
        <f>IF(Goals!A233="","",Goals!D233)</f>
        <v/>
      </c>
      <c r="E294" s="1" t="str">
        <f>IF(Goals!A233="","",Goals!E233)</f>
        <v/>
      </c>
      <c r="F294" s="1" t="str">
        <f>IF(Goals!A233="","",Goals!F233)</f>
        <v/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 t="str">
        <f>IF(Goals!A234="","",Goals!A234)</f>
        <v/>
      </c>
      <c r="B295" s="1" t="str">
        <f>IF(Goals!A234="","",Goals!B234)</f>
        <v/>
      </c>
      <c r="C295" s="1" t="str">
        <f>IF(Goals!A234="","",Goals!C234)</f>
        <v/>
      </c>
      <c r="D295" s="1" t="str">
        <f>IF(Goals!A234="","",Goals!D234)</f>
        <v/>
      </c>
      <c r="E295" s="1" t="str">
        <f>IF(Goals!A234="","",Goals!E234)</f>
        <v/>
      </c>
      <c r="F295" s="1" t="str">
        <f>IF(Goals!A234="","",Goals!F234)</f>
        <v/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 t="str">
        <f>IF(Goals!A235="","",Goals!A235)</f>
        <v/>
      </c>
      <c r="B296" s="1" t="str">
        <f>IF(Goals!A235="","",Goals!B235)</f>
        <v/>
      </c>
      <c r="C296" s="1" t="str">
        <f>IF(Goals!A235="","",Goals!C235)</f>
        <v/>
      </c>
      <c r="D296" s="1" t="str">
        <f>IF(Goals!A235="","",Goals!D235)</f>
        <v/>
      </c>
      <c r="E296" s="1" t="str">
        <f>IF(Goals!A235="","",Goals!E235)</f>
        <v/>
      </c>
      <c r="F296" s="1" t="str">
        <f>IF(Goals!A235="","",Goals!F235)</f>
        <v/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 t="str">
        <f>IF(Goals!A236="","",Goals!A236)</f>
        <v/>
      </c>
      <c r="B297" s="1" t="str">
        <f>IF(Goals!A236="","",Goals!B236)</f>
        <v/>
      </c>
      <c r="C297" s="1" t="str">
        <f>IF(Goals!A236="","",Goals!C236)</f>
        <v/>
      </c>
      <c r="D297" s="1" t="str">
        <f>IF(Goals!A236="","",Goals!D236)</f>
        <v/>
      </c>
      <c r="E297" s="1" t="str">
        <f>IF(Goals!A236="","",Goals!E236)</f>
        <v/>
      </c>
      <c r="F297" s="1" t="str">
        <f>IF(Goals!A236="","",Goals!F236)</f>
        <v/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 t="str">
        <f>IF(Goals!A237="","",Goals!A237)</f>
        <v/>
      </c>
      <c r="B298" s="1" t="str">
        <f>IF(Goals!A237="","",Goals!B237)</f>
        <v/>
      </c>
      <c r="C298" s="1" t="str">
        <f>IF(Goals!A237="","",Goals!C237)</f>
        <v/>
      </c>
      <c r="D298" s="1" t="str">
        <f>IF(Goals!A237="","",Goals!D237)</f>
        <v/>
      </c>
      <c r="E298" s="1" t="str">
        <f>IF(Goals!A237="","",Goals!E237)</f>
        <v/>
      </c>
      <c r="F298" s="1" t="str">
        <f>IF(Goals!A237="","",Goals!F237)</f>
        <v/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 t="str">
        <f>IF(Goals!A238="","",Goals!A238)</f>
        <v/>
      </c>
      <c r="B299" s="1" t="str">
        <f>IF(Goals!A238="","",Goals!B238)</f>
        <v/>
      </c>
      <c r="C299" s="1" t="str">
        <f>IF(Goals!A238="","",Goals!C238)</f>
        <v/>
      </c>
      <c r="D299" s="1" t="str">
        <f>IF(Goals!A238="","",Goals!D238)</f>
        <v/>
      </c>
      <c r="E299" s="1" t="str">
        <f>IF(Goals!A238="","",Goals!E238)</f>
        <v/>
      </c>
      <c r="F299" s="1" t="str">
        <f>IF(Goals!A238="","",Goals!F238)</f>
        <v/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 t="str">
        <f>IF(Goals!A239="","",Goals!A239)</f>
        <v/>
      </c>
      <c r="B300" s="1" t="str">
        <f>IF(Goals!A239="","",Goals!B239)</f>
        <v/>
      </c>
      <c r="C300" s="1" t="str">
        <f>IF(Goals!A239="","",Goals!C239)</f>
        <v/>
      </c>
      <c r="D300" s="1" t="str">
        <f>IF(Goals!A239="","",Goals!D239)</f>
        <v/>
      </c>
      <c r="E300" s="1" t="str">
        <f>IF(Goals!A239="","",Goals!E239)</f>
        <v/>
      </c>
      <c r="F300" s="1" t="str">
        <f>IF(Goals!A239="","",Goals!F239)</f>
        <v/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 t="str">
        <f>IF(Goals!A240="","",Goals!A240)</f>
        <v/>
      </c>
      <c r="B301" s="1" t="str">
        <f>IF(Goals!A240="","",Goals!B240)</f>
        <v/>
      </c>
      <c r="C301" s="1" t="str">
        <f>IF(Goals!A240="","",Goals!C240)</f>
        <v/>
      </c>
      <c r="D301" s="1" t="str">
        <f>IF(Goals!A240="","",Goals!D240)</f>
        <v/>
      </c>
      <c r="E301" s="1" t="str">
        <f>IF(Goals!A240="","",Goals!E240)</f>
        <v/>
      </c>
      <c r="F301" s="1" t="str">
        <f>IF(Goals!A240="","",Goals!F240)</f>
        <v/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 t="str">
        <f>IF(Goals!A241="","",Goals!A241)</f>
        <v/>
      </c>
      <c r="B302" s="1" t="str">
        <f>IF(Goals!A241="","",Goals!B241)</f>
        <v/>
      </c>
      <c r="C302" s="1" t="str">
        <f>IF(Goals!A241="","",Goals!C241)</f>
        <v/>
      </c>
      <c r="D302" s="1" t="str">
        <f>IF(Goals!A241="","",Goals!D241)</f>
        <v/>
      </c>
      <c r="E302" s="1" t="str">
        <f>IF(Goals!A241="","",Goals!E241)</f>
        <v/>
      </c>
      <c r="F302" s="1" t="str">
        <f>IF(Goals!A241="","",Goals!F241)</f>
        <v/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 t="str">
        <f>IF(Goals!A242="","",Goals!A242)</f>
        <v/>
      </c>
      <c r="B303" s="1" t="str">
        <f>IF(Goals!A242="","",Goals!B242)</f>
        <v/>
      </c>
      <c r="C303" s="1" t="str">
        <f>IF(Goals!A242="","",Goals!C242)</f>
        <v/>
      </c>
      <c r="D303" s="1" t="str">
        <f>IF(Goals!A242="","",Goals!D242)</f>
        <v/>
      </c>
      <c r="E303" s="1" t="str">
        <f>IF(Goals!A242="","",Goals!E242)</f>
        <v/>
      </c>
      <c r="F303" s="1" t="str">
        <f>IF(Goals!A242="","",Goals!F242)</f>
        <v/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 t="str">
        <f>IF(Goals!A243="","",Goals!A243)</f>
        <v/>
      </c>
      <c r="B304" s="1" t="str">
        <f>IF(Goals!A243="","",Goals!B243)</f>
        <v/>
      </c>
      <c r="C304" s="1" t="str">
        <f>IF(Goals!A243="","",Goals!C243)</f>
        <v/>
      </c>
      <c r="D304" s="1" t="str">
        <f>IF(Goals!A243="","",Goals!D243)</f>
        <v/>
      </c>
      <c r="E304" s="1" t="str">
        <f>IF(Goals!A243="","",Goals!E243)</f>
        <v/>
      </c>
      <c r="F304" s="1" t="str">
        <f>IF(Goals!A243="","",Goals!F243)</f>
        <v/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 t="str">
        <f>IF(Goals!A244="","",Goals!A244)</f>
        <v/>
      </c>
      <c r="B305" s="1" t="str">
        <f>IF(Goals!A244="","",Goals!B244)</f>
        <v/>
      </c>
      <c r="C305" s="1" t="str">
        <f>IF(Goals!A244="","",Goals!C244)</f>
        <v/>
      </c>
      <c r="D305" s="1" t="str">
        <f>IF(Goals!A244="","",Goals!D244)</f>
        <v/>
      </c>
      <c r="E305" s="1" t="str">
        <f>IF(Goals!A244="","",Goals!E244)</f>
        <v/>
      </c>
      <c r="F305" s="1" t="str">
        <f>IF(Goals!A244="","",Goals!F244)</f>
        <v/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 t="str">
        <f>IF(Goals!A245="","",Goals!A245)</f>
        <v/>
      </c>
      <c r="B306" s="1" t="str">
        <f>IF(Goals!A245="","",Goals!B245)</f>
        <v/>
      </c>
      <c r="C306" s="1" t="str">
        <f>IF(Goals!A245="","",Goals!C245)</f>
        <v/>
      </c>
      <c r="D306" s="1" t="str">
        <f>IF(Goals!A245="","",Goals!D245)</f>
        <v/>
      </c>
      <c r="E306" s="1" t="str">
        <f>IF(Goals!A245="","",Goals!E245)</f>
        <v/>
      </c>
      <c r="F306" s="1" t="str">
        <f>IF(Goals!A245="","",Goals!F245)</f>
        <v/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 t="str">
        <f>IF(Goals!A246="","",Goals!A246)</f>
        <v/>
      </c>
      <c r="B307" s="1" t="str">
        <f>IF(Goals!A246="","",Goals!B246)</f>
        <v/>
      </c>
      <c r="C307" s="1" t="str">
        <f>IF(Goals!A246="","",Goals!C246)</f>
        <v/>
      </c>
      <c r="D307" s="1" t="str">
        <f>IF(Goals!A246="","",Goals!D246)</f>
        <v/>
      </c>
      <c r="E307" s="1" t="str">
        <f>IF(Goals!A246="","",Goals!E246)</f>
        <v/>
      </c>
      <c r="F307" s="1" t="str">
        <f>IF(Goals!A246="","",Goals!F246)</f>
        <v/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 t="str">
        <f>IF(Goals!A247="","",Goals!A247)</f>
        <v/>
      </c>
      <c r="B308" s="1" t="str">
        <f>IF(Goals!A247="","",Goals!B247)</f>
        <v/>
      </c>
      <c r="C308" s="1" t="str">
        <f>IF(Goals!A247="","",Goals!C247)</f>
        <v/>
      </c>
      <c r="D308" s="1" t="str">
        <f>IF(Goals!A247="","",Goals!D247)</f>
        <v/>
      </c>
      <c r="E308" s="1" t="str">
        <f>IF(Goals!A247="","",Goals!E247)</f>
        <v/>
      </c>
      <c r="F308" s="1" t="str">
        <f>IF(Goals!A247="","",Goals!F247)</f>
        <v/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 t="str">
        <f>IF(Goals!A248="","",Goals!A248)</f>
        <v/>
      </c>
      <c r="B309" s="1" t="str">
        <f>IF(Goals!A248="","",Goals!B248)</f>
        <v/>
      </c>
      <c r="C309" s="1" t="str">
        <f>IF(Goals!A248="","",Goals!C248)</f>
        <v/>
      </c>
      <c r="D309" s="1" t="str">
        <f>IF(Goals!A248="","",Goals!D248)</f>
        <v/>
      </c>
      <c r="E309" s="1" t="str">
        <f>IF(Goals!A248="","",Goals!E248)</f>
        <v/>
      </c>
      <c r="F309" s="1" t="str">
        <f>IF(Goals!A248="","",Goals!F248)</f>
        <v/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 t="str">
        <f>IF(Goals!A249="","",Goals!A249)</f>
        <v/>
      </c>
      <c r="B310" s="1" t="str">
        <f>IF(Goals!A249="","",Goals!B249)</f>
        <v/>
      </c>
      <c r="C310" s="1" t="str">
        <f>IF(Goals!A249="","",Goals!C249)</f>
        <v/>
      </c>
      <c r="D310" s="1" t="str">
        <f>IF(Goals!A249="","",Goals!D249)</f>
        <v/>
      </c>
      <c r="E310" s="1" t="str">
        <f>IF(Goals!A249="","",Goals!E249)</f>
        <v/>
      </c>
      <c r="F310" s="1" t="str">
        <f>IF(Goals!A249="","",Goals!F249)</f>
        <v/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 t="str">
        <f>IF(Goals!A250="","",Goals!A250)</f>
        <v/>
      </c>
      <c r="B311" s="1" t="str">
        <f>IF(Goals!A250="","",Goals!B250)</f>
        <v/>
      </c>
      <c r="C311" s="1" t="str">
        <f>IF(Goals!A250="","",Goals!C250)</f>
        <v/>
      </c>
      <c r="D311" s="1" t="str">
        <f>IF(Goals!A250="","",Goals!D250)</f>
        <v/>
      </c>
      <c r="E311" s="1" t="str">
        <f>IF(Goals!A250="","",Goals!E250)</f>
        <v/>
      </c>
      <c r="F311" s="1" t="str">
        <f>IF(Goals!A250="","",Goals!F250)</f>
        <v/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 t="str">
        <f>IF(Goals!A251="","",Goals!A251)</f>
        <v/>
      </c>
      <c r="B312" s="1" t="str">
        <f>IF(Goals!A251="","",Goals!B251)</f>
        <v/>
      </c>
      <c r="C312" s="1" t="str">
        <f>IF(Goals!A251="","",Goals!C251)</f>
        <v/>
      </c>
      <c r="D312" s="1" t="str">
        <f>IF(Goals!A251="","",Goals!D251)</f>
        <v/>
      </c>
      <c r="E312" s="1" t="str">
        <f>IF(Goals!A251="","",Goals!E251)</f>
        <v/>
      </c>
      <c r="F312" s="1" t="str">
        <f>IF(Goals!A251="","",Goals!F251)</f>
        <v/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 t="str">
        <f>IF(Goals!A252="","",Goals!A252)</f>
        <v/>
      </c>
      <c r="B313" s="1" t="str">
        <f>IF(Goals!A252="","",Goals!B252)</f>
        <v/>
      </c>
      <c r="C313" s="1" t="str">
        <f>IF(Goals!A252="","",Goals!C252)</f>
        <v/>
      </c>
      <c r="D313" s="1" t="str">
        <f>IF(Goals!A252="","",Goals!D252)</f>
        <v/>
      </c>
      <c r="E313" s="1" t="str">
        <f>IF(Goals!A252="","",Goals!E252)</f>
        <v/>
      </c>
      <c r="F313" s="1" t="str">
        <f>IF(Goals!A252="","",Goals!F252)</f>
        <v/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 t="str">
        <f>IF(Goals!A253="","",Goals!A253)</f>
        <v/>
      </c>
      <c r="B314" s="1" t="str">
        <f>IF(Goals!A253="","",Goals!B253)</f>
        <v/>
      </c>
      <c r="C314" s="1" t="str">
        <f>IF(Goals!A253="","",Goals!C253)</f>
        <v/>
      </c>
      <c r="D314" s="1" t="str">
        <f>IF(Goals!A253="","",Goals!D253)</f>
        <v/>
      </c>
      <c r="E314" s="1" t="str">
        <f>IF(Goals!A253="","",Goals!E253)</f>
        <v/>
      </c>
      <c r="F314" s="1" t="str">
        <f>IF(Goals!A253="","",Goals!F253)</f>
        <v/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 t="str">
        <f>IF(Goals!A254="","",Goals!A254)</f>
        <v/>
      </c>
      <c r="B315" s="1" t="str">
        <f>IF(Goals!A254="","",Goals!B254)</f>
        <v/>
      </c>
      <c r="C315" s="1" t="str">
        <f>IF(Goals!A254="","",Goals!C254)</f>
        <v/>
      </c>
      <c r="D315" s="1" t="str">
        <f>IF(Goals!A254="","",Goals!D254)</f>
        <v/>
      </c>
      <c r="E315" s="1" t="str">
        <f>IF(Goals!A254="","",Goals!E254)</f>
        <v/>
      </c>
      <c r="F315" s="1" t="str">
        <f>IF(Goals!A254="","",Goals!F254)</f>
        <v/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 t="str">
        <f>IF(Goals!A255="","",Goals!A255)</f>
        <v/>
      </c>
      <c r="B316" s="1" t="str">
        <f>IF(Goals!A255="","",Goals!B255)</f>
        <v/>
      </c>
      <c r="C316" s="1" t="str">
        <f>IF(Goals!A255="","",Goals!C255)</f>
        <v/>
      </c>
      <c r="D316" s="1" t="str">
        <f>IF(Goals!A255="","",Goals!D255)</f>
        <v/>
      </c>
      <c r="E316" s="1" t="str">
        <f>IF(Goals!A255="","",Goals!E255)</f>
        <v/>
      </c>
      <c r="F316" s="1" t="str">
        <f>IF(Goals!A255="","",Goals!F255)</f>
        <v/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 t="str">
        <f>IF(Goals!A256="","",Goals!A256)</f>
        <v/>
      </c>
      <c r="B317" s="1" t="str">
        <f>IF(Goals!A256="","",Goals!B256)</f>
        <v/>
      </c>
      <c r="C317" s="1" t="str">
        <f>IF(Goals!A256="","",Goals!C256)</f>
        <v/>
      </c>
      <c r="D317" s="1" t="str">
        <f>IF(Goals!A256="","",Goals!D256)</f>
        <v/>
      </c>
      <c r="E317" s="1" t="str">
        <f>IF(Goals!A256="","",Goals!E256)</f>
        <v/>
      </c>
      <c r="F317" s="1" t="str">
        <f>IF(Goals!A256="","",Goals!F256)</f>
        <v/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 t="str">
        <f>IF(Goals!A257="","",Goals!A257)</f>
        <v/>
      </c>
      <c r="B318" s="1" t="str">
        <f>IF(Goals!A257="","",Goals!B257)</f>
        <v/>
      </c>
      <c r="C318" s="1" t="str">
        <f>IF(Goals!A257="","",Goals!C257)</f>
        <v/>
      </c>
      <c r="D318" s="1" t="str">
        <f>IF(Goals!A257="","",Goals!D257)</f>
        <v/>
      </c>
      <c r="E318" s="1" t="str">
        <f>IF(Goals!A257="","",Goals!E257)</f>
        <v/>
      </c>
      <c r="F318" s="1" t="str">
        <f>IF(Goals!A257="","",Goals!F257)</f>
        <v/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 t="str">
        <f>IF(Goals!A258="","",Goals!A258)</f>
        <v/>
      </c>
      <c r="B319" s="1" t="str">
        <f>IF(Goals!A258="","",Goals!B258)</f>
        <v/>
      </c>
      <c r="C319" s="1" t="str">
        <f>IF(Goals!A258="","",Goals!C258)</f>
        <v/>
      </c>
      <c r="D319" s="1" t="str">
        <f>IF(Goals!A258="","",Goals!D258)</f>
        <v/>
      </c>
      <c r="E319" s="1" t="str">
        <f>IF(Goals!A258="","",Goals!E258)</f>
        <v/>
      </c>
      <c r="F319" s="1" t="str">
        <f>IF(Goals!A258="","",Goals!F258)</f>
        <v/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 t="str">
        <f>IF(Goals!A259="","",Goals!A259)</f>
        <v/>
      </c>
      <c r="B320" s="1" t="str">
        <f>IF(Goals!A259="","",Goals!B259)</f>
        <v/>
      </c>
      <c r="C320" s="1" t="str">
        <f>IF(Goals!A259="","",Goals!C259)</f>
        <v/>
      </c>
      <c r="D320" s="1" t="str">
        <f>IF(Goals!A259="","",Goals!D259)</f>
        <v/>
      </c>
      <c r="E320" s="1" t="str">
        <f>IF(Goals!A259="","",Goals!E259)</f>
        <v/>
      </c>
      <c r="F320" s="1" t="str">
        <f>IF(Goals!A259="","",Goals!F259)</f>
        <v/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 t="str">
        <f>IF(Goals!A260="","",Goals!A260)</f>
        <v/>
      </c>
      <c r="B321" s="1" t="str">
        <f>IF(Goals!A260="","",Goals!B260)</f>
        <v/>
      </c>
      <c r="C321" s="1" t="str">
        <f>IF(Goals!A260="","",Goals!C260)</f>
        <v/>
      </c>
      <c r="D321" s="1" t="str">
        <f>IF(Goals!A260="","",Goals!D260)</f>
        <v/>
      </c>
      <c r="E321" s="1" t="str">
        <f>IF(Goals!A260="","",Goals!E260)</f>
        <v/>
      </c>
      <c r="F321" s="1" t="str">
        <f>IF(Goals!A260="","",Goals!F260)</f>
        <v/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 t="str">
        <f>IF(Goals!A261="","",Goals!A261)</f>
        <v/>
      </c>
      <c r="B322" s="1" t="str">
        <f>IF(Goals!A261="","",Goals!B261)</f>
        <v/>
      </c>
      <c r="C322" s="1" t="str">
        <f>IF(Goals!A261="","",Goals!C261)</f>
        <v/>
      </c>
      <c r="D322" s="1" t="str">
        <f>IF(Goals!A261="","",Goals!D261)</f>
        <v/>
      </c>
      <c r="E322" s="1" t="str">
        <f>IF(Goals!A261="","",Goals!E261)</f>
        <v/>
      </c>
      <c r="F322" s="1" t="str">
        <f>IF(Goals!A261="","",Goals!F261)</f>
        <v/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 t="str">
        <f>IF(Goals!A262="","",Goals!A262)</f>
        <v/>
      </c>
      <c r="B323" s="1" t="str">
        <f>IF(Goals!A262="","",Goals!B262)</f>
        <v/>
      </c>
      <c r="C323" s="1" t="str">
        <f>IF(Goals!A262="","",Goals!C262)</f>
        <v/>
      </c>
      <c r="D323" s="1" t="str">
        <f>IF(Goals!A262="","",Goals!D262)</f>
        <v/>
      </c>
      <c r="E323" s="1" t="str">
        <f>IF(Goals!A262="","",Goals!E262)</f>
        <v/>
      </c>
      <c r="F323" s="1" t="str">
        <f>IF(Goals!A262="","",Goals!F262)</f>
        <v/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 t="str">
        <f>IF(Goals!A263="","",Goals!A263)</f>
        <v/>
      </c>
      <c r="B324" s="1" t="str">
        <f>IF(Goals!A263="","",Goals!B263)</f>
        <v/>
      </c>
      <c r="C324" s="1" t="str">
        <f>IF(Goals!A263="","",Goals!C263)</f>
        <v/>
      </c>
      <c r="D324" s="1" t="str">
        <f>IF(Goals!A263="","",Goals!D263)</f>
        <v/>
      </c>
      <c r="E324" s="1" t="str">
        <f>IF(Goals!A263="","",Goals!E263)</f>
        <v/>
      </c>
      <c r="F324" s="1" t="str">
        <f>IF(Goals!A263="","",Goals!F263)</f>
        <v/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 t="str">
        <f>IF(Goals!A264="","",Goals!A264)</f>
        <v/>
      </c>
      <c r="B325" s="1" t="str">
        <f>IF(Goals!A264="","",Goals!B264)</f>
        <v/>
      </c>
      <c r="C325" s="1" t="str">
        <f>IF(Goals!A264="","",Goals!C264)</f>
        <v/>
      </c>
      <c r="D325" s="1" t="str">
        <f>IF(Goals!A264="","",Goals!D264)</f>
        <v/>
      </c>
      <c r="E325" s="1" t="str">
        <f>IF(Goals!A264="","",Goals!E264)</f>
        <v/>
      </c>
      <c r="F325" s="1" t="str">
        <f>IF(Goals!A264="","",Goals!F264)</f>
        <v/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 t="str">
        <f>IF(Goals!A265="","",Goals!A265)</f>
        <v/>
      </c>
      <c r="B326" s="1" t="str">
        <f>IF(Goals!A265="","",Goals!B265)</f>
        <v/>
      </c>
      <c r="C326" s="1" t="str">
        <f>IF(Goals!A265="","",Goals!C265)</f>
        <v/>
      </c>
      <c r="D326" s="1" t="str">
        <f>IF(Goals!A265="","",Goals!D265)</f>
        <v/>
      </c>
      <c r="E326" s="1" t="str">
        <f>IF(Goals!A265="","",Goals!E265)</f>
        <v/>
      </c>
      <c r="F326" s="1" t="str">
        <f>IF(Goals!A265="","",Goals!F265)</f>
        <v/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 t="str">
        <f>IF(Goals!A266="","",Goals!A266)</f>
        <v/>
      </c>
      <c r="B327" s="1" t="str">
        <f>IF(Goals!A266="","",Goals!B266)</f>
        <v/>
      </c>
      <c r="C327" s="1" t="str">
        <f>IF(Goals!A266="","",Goals!C266)</f>
        <v/>
      </c>
      <c r="D327" s="1" t="str">
        <f>IF(Goals!A266="","",Goals!D266)</f>
        <v/>
      </c>
      <c r="E327" s="1" t="str">
        <f>IF(Goals!A266="","",Goals!E266)</f>
        <v/>
      </c>
      <c r="F327" s="1" t="str">
        <f>IF(Goals!A266="","",Goals!F266)</f>
        <v/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 t="str">
        <f>IF(Goals!A267="","",Goals!A267)</f>
        <v/>
      </c>
      <c r="B328" s="1" t="str">
        <f>IF(Goals!A267="","",Goals!B267)</f>
        <v/>
      </c>
      <c r="C328" s="1" t="str">
        <f>IF(Goals!A267="","",Goals!C267)</f>
        <v/>
      </c>
      <c r="D328" s="1" t="str">
        <f>IF(Goals!A267="","",Goals!D267)</f>
        <v/>
      </c>
      <c r="E328" s="1" t="str">
        <f>IF(Goals!A267="","",Goals!E267)</f>
        <v/>
      </c>
      <c r="F328" s="1" t="str">
        <f>IF(Goals!A267="","",Goals!F267)</f>
        <v/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 t="str">
        <f>IF(Goals!A268="","",Goals!A268)</f>
        <v/>
      </c>
      <c r="B329" s="1" t="str">
        <f>IF(Goals!A268="","",Goals!B268)</f>
        <v/>
      </c>
      <c r="C329" s="1" t="str">
        <f>IF(Goals!A268="","",Goals!C268)</f>
        <v/>
      </c>
      <c r="D329" s="1" t="str">
        <f>IF(Goals!A268="","",Goals!D268)</f>
        <v/>
      </c>
      <c r="E329" s="1" t="str">
        <f>IF(Goals!A268="","",Goals!E268)</f>
        <v/>
      </c>
      <c r="F329" s="1" t="str">
        <f>IF(Goals!A268="","",Goals!F268)</f>
        <v/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 t="str">
        <f>IF(Goals!A269="","",Goals!A269)</f>
        <v/>
      </c>
      <c r="B330" s="1" t="str">
        <f>IF(Goals!A269="","",Goals!B269)</f>
        <v/>
      </c>
      <c r="C330" s="1" t="str">
        <f>IF(Goals!A269="","",Goals!C269)</f>
        <v/>
      </c>
      <c r="D330" s="1" t="str">
        <f>IF(Goals!A269="","",Goals!D269)</f>
        <v/>
      </c>
      <c r="E330" s="1" t="str">
        <f>IF(Goals!A269="","",Goals!E269)</f>
        <v/>
      </c>
      <c r="F330" s="1" t="str">
        <f>IF(Goals!A269="","",Goals!F269)</f>
        <v/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 t="str">
        <f>IF(Goals!A270="","",Goals!A270)</f>
        <v/>
      </c>
      <c r="B331" s="1" t="str">
        <f>IF(Goals!A270="","",Goals!B270)</f>
        <v/>
      </c>
      <c r="C331" s="1" t="str">
        <f>IF(Goals!A270="","",Goals!C270)</f>
        <v/>
      </c>
      <c r="D331" s="1" t="str">
        <f>IF(Goals!A270="","",Goals!D270)</f>
        <v/>
      </c>
      <c r="E331" s="1" t="str">
        <f>IF(Goals!A270="","",Goals!E270)</f>
        <v/>
      </c>
      <c r="F331" s="1" t="str">
        <f>IF(Goals!A270="","",Goals!F270)</f>
        <v/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 t="str">
        <f>IF(Goals!A271="","",Goals!A271)</f>
        <v/>
      </c>
      <c r="B332" s="1" t="str">
        <f>IF(Goals!A271="","",Goals!B271)</f>
        <v/>
      </c>
      <c r="C332" s="1" t="str">
        <f>IF(Goals!A271="","",Goals!C271)</f>
        <v/>
      </c>
      <c r="D332" s="1" t="str">
        <f>IF(Goals!A271="","",Goals!D271)</f>
        <v/>
      </c>
      <c r="E332" s="1" t="str">
        <f>IF(Goals!A271="","",Goals!E271)</f>
        <v/>
      </c>
      <c r="F332" s="1" t="str">
        <f>IF(Goals!A271="","",Goals!F271)</f>
        <v/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 t="str">
        <f>IF(Goals!A272="","",Goals!A272)</f>
        <v/>
      </c>
      <c r="B333" s="1" t="str">
        <f>IF(Goals!A272="","",Goals!B272)</f>
        <v/>
      </c>
      <c r="C333" s="1" t="str">
        <f>IF(Goals!A272="","",Goals!C272)</f>
        <v/>
      </c>
      <c r="D333" s="1" t="str">
        <f>IF(Goals!A272="","",Goals!D272)</f>
        <v/>
      </c>
      <c r="E333" s="1" t="str">
        <f>IF(Goals!A272="","",Goals!E272)</f>
        <v/>
      </c>
      <c r="F333" s="1" t="str">
        <f>IF(Goals!A272="","",Goals!F272)</f>
        <v/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 t="str">
        <f>IF(Goals!A273="","",Goals!A273)</f>
        <v/>
      </c>
      <c r="B334" s="1" t="str">
        <f>IF(Goals!A273="","",Goals!B273)</f>
        <v/>
      </c>
      <c r="C334" s="1" t="str">
        <f>IF(Goals!A273="","",Goals!C273)</f>
        <v/>
      </c>
      <c r="D334" s="1" t="str">
        <f>IF(Goals!A273="","",Goals!D273)</f>
        <v/>
      </c>
      <c r="E334" s="1" t="str">
        <f>IF(Goals!A273="","",Goals!E273)</f>
        <v/>
      </c>
      <c r="F334" s="1" t="str">
        <f>IF(Goals!A273="","",Goals!F273)</f>
        <v/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 t="str">
        <f>IF(Goals!A274="","",Goals!A274)</f>
        <v/>
      </c>
      <c r="B335" s="1" t="str">
        <f>IF(Goals!A274="","",Goals!B274)</f>
        <v/>
      </c>
      <c r="C335" s="1" t="str">
        <f>IF(Goals!A274="","",Goals!C274)</f>
        <v/>
      </c>
      <c r="D335" s="1" t="str">
        <f>IF(Goals!A274="","",Goals!D274)</f>
        <v/>
      </c>
      <c r="E335" s="1" t="str">
        <f>IF(Goals!A274="","",Goals!E274)</f>
        <v/>
      </c>
      <c r="F335" s="1" t="str">
        <f>IF(Goals!A274="","",Goals!F274)</f>
        <v/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 t="str">
        <f>IF(Goals!A275="","",Goals!A275)</f>
        <v/>
      </c>
      <c r="B336" s="1" t="str">
        <f>IF(Goals!A275="","",Goals!B275)</f>
        <v/>
      </c>
      <c r="C336" s="1" t="str">
        <f>IF(Goals!A275="","",Goals!C275)</f>
        <v/>
      </c>
      <c r="D336" s="1" t="str">
        <f>IF(Goals!A275="","",Goals!D275)</f>
        <v/>
      </c>
      <c r="E336" s="1" t="str">
        <f>IF(Goals!A275="","",Goals!E275)</f>
        <v/>
      </c>
      <c r="F336" s="1" t="str">
        <f>IF(Goals!A275="","",Goals!F275)</f>
        <v/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 t="str">
        <f>IF(Goals!A276="","",Goals!A276)</f>
        <v/>
      </c>
      <c r="B337" s="1" t="str">
        <f>IF(Goals!A276="","",Goals!B276)</f>
        <v/>
      </c>
      <c r="C337" s="1" t="str">
        <f>IF(Goals!A276="","",Goals!C276)</f>
        <v/>
      </c>
      <c r="D337" s="1" t="str">
        <f>IF(Goals!A276="","",Goals!D276)</f>
        <v/>
      </c>
      <c r="E337" s="1" t="str">
        <f>IF(Goals!A276="","",Goals!E276)</f>
        <v/>
      </c>
      <c r="F337" s="1" t="str">
        <f>IF(Goals!A276="","",Goals!F276)</f>
        <v/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 t="str">
        <f>IF(Goals!A277="","",Goals!A277)</f>
        <v/>
      </c>
      <c r="B338" s="1" t="str">
        <f>IF(Goals!A277="","",Goals!B277)</f>
        <v/>
      </c>
      <c r="C338" s="1" t="str">
        <f>IF(Goals!A277="","",Goals!C277)</f>
        <v/>
      </c>
      <c r="D338" s="1" t="str">
        <f>IF(Goals!A277="","",Goals!D277)</f>
        <v/>
      </c>
      <c r="E338" s="1" t="str">
        <f>IF(Goals!A277="","",Goals!E277)</f>
        <v/>
      </c>
      <c r="F338" s="1" t="str">
        <f>IF(Goals!A277="","",Goals!F277)</f>
        <v/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 t="str">
        <f>IF(Goals!A278="","",Goals!A278)</f>
        <v/>
      </c>
      <c r="B339" s="1" t="str">
        <f>IF(Goals!A278="","",Goals!B278)</f>
        <v/>
      </c>
      <c r="C339" s="1" t="str">
        <f>IF(Goals!A278="","",Goals!C278)</f>
        <v/>
      </c>
      <c r="D339" s="1" t="str">
        <f>IF(Goals!A278="","",Goals!D278)</f>
        <v/>
      </c>
      <c r="E339" s="1" t="str">
        <f>IF(Goals!A278="","",Goals!E278)</f>
        <v/>
      </c>
      <c r="F339" s="1" t="str">
        <f>IF(Goals!A278="","",Goals!F278)</f>
        <v/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 t="str">
        <f>IF(Goals!A279="","",Goals!A279)</f>
        <v/>
      </c>
      <c r="B340" s="1" t="str">
        <f>IF(Goals!A279="","",Goals!B279)</f>
        <v/>
      </c>
      <c r="C340" s="1" t="str">
        <f>IF(Goals!A279="","",Goals!C279)</f>
        <v/>
      </c>
      <c r="D340" s="1" t="str">
        <f>IF(Goals!A279="","",Goals!D279)</f>
        <v/>
      </c>
      <c r="E340" s="1" t="str">
        <f>IF(Goals!A279="","",Goals!E279)</f>
        <v/>
      </c>
      <c r="F340" s="1" t="str">
        <f>IF(Goals!A279="","",Goals!F279)</f>
        <v/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 t="str">
        <f>IF(Goals!A280="","",Goals!A280)</f>
        <v/>
      </c>
      <c r="B341" s="1" t="str">
        <f>IF(Goals!A280="","",Goals!B280)</f>
        <v/>
      </c>
      <c r="C341" s="1" t="str">
        <f>IF(Goals!A280="","",Goals!C280)</f>
        <v/>
      </c>
      <c r="D341" s="1" t="str">
        <f>IF(Goals!A280="","",Goals!D280)</f>
        <v/>
      </c>
      <c r="E341" s="1" t="str">
        <f>IF(Goals!A280="","",Goals!E280)</f>
        <v/>
      </c>
      <c r="F341" s="1" t="str">
        <f>IF(Goals!A280="","",Goals!F280)</f>
        <v/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 t="str">
        <f>IF(Goals!A281="","",Goals!A281)</f>
        <v/>
      </c>
      <c r="B342" s="1" t="str">
        <f>IF(Goals!A281="","",Goals!B281)</f>
        <v/>
      </c>
      <c r="C342" s="1" t="str">
        <f>IF(Goals!A281="","",Goals!C281)</f>
        <v/>
      </c>
      <c r="D342" s="1" t="str">
        <f>IF(Goals!A281="","",Goals!D281)</f>
        <v/>
      </c>
      <c r="E342" s="1" t="str">
        <f>IF(Goals!A281="","",Goals!E281)</f>
        <v/>
      </c>
      <c r="F342" s="1" t="str">
        <f>IF(Goals!A281="","",Goals!F281)</f>
        <v/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 t="str">
        <f>IF(Goals!A282="","",Goals!A282)</f>
        <v/>
      </c>
      <c r="B343" s="1" t="str">
        <f>IF(Goals!A282="","",Goals!B282)</f>
        <v/>
      </c>
      <c r="C343" s="1" t="str">
        <f>IF(Goals!A282="","",Goals!C282)</f>
        <v/>
      </c>
      <c r="D343" s="1" t="str">
        <f>IF(Goals!A282="","",Goals!D282)</f>
        <v/>
      </c>
      <c r="E343" s="1" t="str">
        <f>IF(Goals!A282="","",Goals!E282)</f>
        <v/>
      </c>
      <c r="F343" s="1" t="str">
        <f>IF(Goals!A282="","",Goals!F282)</f>
        <v/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 t="str">
        <f>IF(Goals!A283="","",Goals!A283)</f>
        <v/>
      </c>
      <c r="B344" s="1" t="str">
        <f>IF(Goals!A283="","",Goals!B283)</f>
        <v/>
      </c>
      <c r="C344" s="1" t="str">
        <f>IF(Goals!A283="","",Goals!C283)</f>
        <v/>
      </c>
      <c r="D344" s="1" t="str">
        <f>IF(Goals!A283="","",Goals!D283)</f>
        <v/>
      </c>
      <c r="E344" s="1" t="str">
        <f>IF(Goals!A283="","",Goals!E283)</f>
        <v/>
      </c>
      <c r="F344" s="1" t="str">
        <f>IF(Goals!A283="","",Goals!F283)</f>
        <v/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 t="str">
        <f>IF(Goals!A284="","",Goals!A284)</f>
        <v/>
      </c>
      <c r="B345" s="1" t="str">
        <f>IF(Goals!A284="","",Goals!B284)</f>
        <v/>
      </c>
      <c r="C345" s="1" t="str">
        <f>IF(Goals!A284="","",Goals!C284)</f>
        <v/>
      </c>
      <c r="D345" s="1" t="str">
        <f>IF(Goals!A284="","",Goals!D284)</f>
        <v/>
      </c>
      <c r="E345" s="1" t="str">
        <f>IF(Goals!A284="","",Goals!E284)</f>
        <v/>
      </c>
      <c r="F345" s="1" t="str">
        <f>IF(Goals!A284="","",Goals!F284)</f>
        <v/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 t="str">
        <f>IF(Goals!A285="","",Goals!A285)</f>
        <v/>
      </c>
      <c r="B346" s="1" t="str">
        <f>IF(Goals!A285="","",Goals!B285)</f>
        <v/>
      </c>
      <c r="C346" s="1" t="str">
        <f>IF(Goals!A285="","",Goals!C285)</f>
        <v/>
      </c>
      <c r="D346" s="1" t="str">
        <f>IF(Goals!A285="","",Goals!D285)</f>
        <v/>
      </c>
      <c r="E346" s="1" t="str">
        <f>IF(Goals!A285="","",Goals!E285)</f>
        <v/>
      </c>
      <c r="F346" s="1" t="str">
        <f>IF(Goals!A285="","",Goals!F285)</f>
        <v/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 t="str">
        <f>IF(Goals!A286="","",Goals!A286)</f>
        <v/>
      </c>
      <c r="B347" s="1" t="str">
        <f>IF(Goals!A286="","",Goals!B286)</f>
        <v/>
      </c>
      <c r="C347" s="1" t="str">
        <f>IF(Goals!A286="","",Goals!C286)</f>
        <v/>
      </c>
      <c r="D347" s="1" t="str">
        <f>IF(Goals!A286="","",Goals!D286)</f>
        <v/>
      </c>
      <c r="E347" s="1" t="str">
        <f>IF(Goals!A286="","",Goals!E286)</f>
        <v/>
      </c>
      <c r="F347" s="1" t="str">
        <f>IF(Goals!A286="","",Goals!F286)</f>
        <v/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 t="str">
        <f>IF(Goals!A287="","",Goals!A287)</f>
        <v/>
      </c>
      <c r="B348" s="1" t="str">
        <f>IF(Goals!A287="","",Goals!B287)</f>
        <v/>
      </c>
      <c r="C348" s="1" t="str">
        <f>IF(Goals!A287="","",Goals!C287)</f>
        <v/>
      </c>
      <c r="D348" s="1" t="str">
        <f>IF(Goals!A287="","",Goals!D287)</f>
        <v/>
      </c>
      <c r="E348" s="1" t="str">
        <f>IF(Goals!A287="","",Goals!E287)</f>
        <v/>
      </c>
      <c r="F348" s="1" t="str">
        <f>IF(Goals!A287="","",Goals!F287)</f>
        <v/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 t="str">
        <f>IF(Goals!A288="","",Goals!A288)</f>
        <v/>
      </c>
      <c r="B349" s="1" t="str">
        <f>IF(Goals!A288="","",Goals!B288)</f>
        <v/>
      </c>
      <c r="C349" s="1" t="str">
        <f>IF(Goals!A288="","",Goals!C288)</f>
        <v/>
      </c>
      <c r="D349" s="1" t="str">
        <f>IF(Goals!A288="","",Goals!D288)</f>
        <v/>
      </c>
      <c r="E349" s="1" t="str">
        <f>IF(Goals!A288="","",Goals!E288)</f>
        <v/>
      </c>
      <c r="F349" s="1" t="str">
        <f>IF(Goals!A288="","",Goals!F288)</f>
        <v/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 t="str">
        <f>IF(Goals!A289="","",Goals!A289)</f>
        <v/>
      </c>
      <c r="B350" s="1" t="str">
        <f>IF(Goals!A289="","",Goals!B289)</f>
        <v/>
      </c>
      <c r="C350" s="1" t="str">
        <f>IF(Goals!A289="","",Goals!C289)</f>
        <v/>
      </c>
      <c r="D350" s="1" t="str">
        <f>IF(Goals!A289="","",Goals!D289)</f>
        <v/>
      </c>
      <c r="E350" s="1" t="str">
        <f>IF(Goals!A289="","",Goals!E289)</f>
        <v/>
      </c>
      <c r="F350" s="1" t="str">
        <f>IF(Goals!A289="","",Goals!F289)</f>
        <v/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8.8" customHeight="1" x14ac:dyDescent="0.3">
      <c r="A351" s="1" t="str">
        <f>IF(KnockoutGoals!A2="","",KnockoutGoals!A2)</f>
        <v/>
      </c>
      <c r="B351" s="1" t="str">
        <f>IF(KnockoutGoals!A2="","",KnockoutGoals!B2)</f>
        <v/>
      </c>
      <c r="C351" s="1" t="str">
        <f>IF(KnockoutGoals!A2="","",KnockoutGoals!C2)</f>
        <v/>
      </c>
      <c r="D351" s="1" t="str">
        <f>IF(KnockoutGoals!A2="","",KnockoutGoals!D2)</f>
        <v/>
      </c>
      <c r="E351" s="1" t="str">
        <f>IF(KnockoutGoals!A2="","",KnockoutGoals!E2)</f>
        <v/>
      </c>
      <c r="F351" s="1" t="str">
        <f>IF(KnockoutGoals!A2="","",KnockoutGoals!F2)</f>
        <v/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8.8" customHeight="1" x14ac:dyDescent="0.3">
      <c r="A352" s="1" t="str">
        <f>IF(KnockoutGoals!A3="","",KnockoutGoals!A3)</f>
        <v/>
      </c>
      <c r="B352" s="1" t="str">
        <f>IF(KnockoutGoals!A3="","",KnockoutGoals!B3)</f>
        <v/>
      </c>
      <c r="C352" s="1" t="str">
        <f>IF(KnockoutGoals!A3="","",KnockoutGoals!C3)</f>
        <v/>
      </c>
      <c r="D352" s="1" t="str">
        <f>IF(KnockoutGoals!A3="","",KnockoutGoals!D3)</f>
        <v/>
      </c>
      <c r="E352" s="1" t="str">
        <f>IF(KnockoutGoals!A3="","",KnockoutGoals!E3)</f>
        <v/>
      </c>
      <c r="F352" s="1" t="str">
        <f>IF(KnockoutGoals!A3="","",KnockoutGoals!F3)</f>
        <v/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 t="str">
        <f>IF(KnockoutGoals!A4="","",KnockoutGoals!A4)</f>
        <v/>
      </c>
      <c r="B353" s="1" t="str">
        <f>IF(KnockoutGoals!A4="","",KnockoutGoals!B4)</f>
        <v/>
      </c>
      <c r="C353" s="1" t="str">
        <f>IF(KnockoutGoals!A4="","",KnockoutGoals!C4)</f>
        <v/>
      </c>
      <c r="D353" s="1" t="str">
        <f>IF(KnockoutGoals!A4="","",KnockoutGoals!D4)</f>
        <v/>
      </c>
      <c r="E353" s="1" t="str">
        <f>IF(KnockoutGoals!A4="","",KnockoutGoals!E4)</f>
        <v/>
      </c>
      <c r="F353" s="1" t="str">
        <f>IF(KnockoutGoals!A4="","",KnockoutGoals!F4)</f>
        <v/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8.8" customHeight="1" x14ac:dyDescent="0.3">
      <c r="A354" s="1" t="str">
        <f>IF(KnockoutGoals!A5="","",KnockoutGoals!A5)</f>
        <v/>
      </c>
      <c r="B354" s="1" t="str">
        <f>IF(KnockoutGoals!A5="","",KnockoutGoals!B5)</f>
        <v/>
      </c>
      <c r="C354" s="1" t="str">
        <f>IF(KnockoutGoals!A5="","",KnockoutGoals!C5)</f>
        <v/>
      </c>
      <c r="D354" s="1" t="str">
        <f>IF(KnockoutGoals!A5="","",KnockoutGoals!D5)</f>
        <v/>
      </c>
      <c r="E354" s="1" t="str">
        <f>IF(KnockoutGoals!A5="","",KnockoutGoals!E5)</f>
        <v/>
      </c>
      <c r="F354" s="1" t="str">
        <f>IF(KnockoutGoals!A5="","",KnockoutGoals!F5)</f>
        <v/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 t="str">
        <f>IF(KnockoutGoals!A6="","",KnockoutGoals!A6)</f>
        <v/>
      </c>
      <c r="B355" s="1" t="str">
        <f>IF(KnockoutGoals!A6="","",KnockoutGoals!B6)</f>
        <v/>
      </c>
      <c r="C355" s="1" t="str">
        <f>IF(KnockoutGoals!A6="","",KnockoutGoals!C6)</f>
        <v/>
      </c>
      <c r="D355" s="1" t="str">
        <f>IF(KnockoutGoals!A6="","",KnockoutGoals!D6)</f>
        <v/>
      </c>
      <c r="E355" s="1" t="str">
        <f>IF(KnockoutGoals!A6="","",KnockoutGoals!E6)</f>
        <v/>
      </c>
      <c r="F355" s="1" t="str">
        <f>IF(KnockoutGoals!A6="","",KnockoutGoals!F6)</f>
        <v/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 t="str">
        <f>IF(KnockoutGoals!A7="","",KnockoutGoals!A7)</f>
        <v/>
      </c>
      <c r="B356" s="1" t="str">
        <f>IF(KnockoutGoals!A7="","",KnockoutGoals!B7)</f>
        <v/>
      </c>
      <c r="C356" s="1" t="str">
        <f>IF(KnockoutGoals!A7="","",KnockoutGoals!C7)</f>
        <v/>
      </c>
      <c r="D356" s="1" t="str">
        <f>IF(KnockoutGoals!A7="","",KnockoutGoals!D7)</f>
        <v/>
      </c>
      <c r="E356" s="1" t="str">
        <f>IF(KnockoutGoals!A7="","",KnockoutGoals!E7)</f>
        <v/>
      </c>
      <c r="F356" s="1" t="str">
        <f>IF(KnockoutGoals!A7="","",KnockoutGoals!F7)</f>
        <v/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 t="str">
        <f>IF(KnockoutGoals!A8="","",KnockoutGoals!A8)</f>
        <v/>
      </c>
      <c r="B357" s="1" t="str">
        <f>IF(KnockoutGoals!A8="","",KnockoutGoals!B8)</f>
        <v/>
      </c>
      <c r="C357" s="1" t="str">
        <f>IF(KnockoutGoals!A8="","",KnockoutGoals!C8)</f>
        <v/>
      </c>
      <c r="D357" s="1" t="str">
        <f>IF(KnockoutGoals!A8="","",KnockoutGoals!D8)</f>
        <v/>
      </c>
      <c r="E357" s="1" t="str">
        <f>IF(KnockoutGoals!A8="","",KnockoutGoals!E8)</f>
        <v/>
      </c>
      <c r="F357" s="1" t="str">
        <f>IF(KnockoutGoals!A8="","",KnockoutGoals!F8)</f>
        <v/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 t="str">
        <f>IF(KnockoutGoals!A9="","",KnockoutGoals!A9)</f>
        <v/>
      </c>
      <c r="B358" s="1" t="str">
        <f>IF(KnockoutGoals!A9="","",KnockoutGoals!B9)</f>
        <v/>
      </c>
      <c r="C358" s="1" t="str">
        <f>IF(KnockoutGoals!A9="","",KnockoutGoals!C9)</f>
        <v/>
      </c>
      <c r="D358" s="1" t="str">
        <f>IF(KnockoutGoals!A9="","",KnockoutGoals!D9)</f>
        <v/>
      </c>
      <c r="E358" s="1" t="str">
        <f>IF(KnockoutGoals!A9="","",KnockoutGoals!E9)</f>
        <v/>
      </c>
      <c r="F358" s="1" t="str">
        <f>IF(KnockoutGoals!A9="","",KnockoutGoals!F9)</f>
        <v/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 t="str">
        <f>IF(KnockoutGoals!A10="","",KnockoutGoals!A10)</f>
        <v/>
      </c>
      <c r="B359" s="1" t="str">
        <f>IF(KnockoutGoals!A10="","",KnockoutGoals!B10)</f>
        <v/>
      </c>
      <c r="C359" s="1" t="str">
        <f>IF(KnockoutGoals!A10="","",KnockoutGoals!C10)</f>
        <v/>
      </c>
      <c r="D359" s="1" t="str">
        <f>IF(KnockoutGoals!A10="","",KnockoutGoals!D10)</f>
        <v/>
      </c>
      <c r="E359" s="1" t="str">
        <f>IF(KnockoutGoals!A10="","",KnockoutGoals!E10)</f>
        <v/>
      </c>
      <c r="F359" s="1" t="str">
        <f>IF(KnockoutGoals!A10="","",KnockoutGoals!F10)</f>
        <v/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 t="str">
        <f>IF(KnockoutGoals!A11="","",KnockoutGoals!A11)</f>
        <v/>
      </c>
      <c r="B360" s="1" t="str">
        <f>IF(KnockoutGoals!A11="","",KnockoutGoals!B11)</f>
        <v/>
      </c>
      <c r="C360" s="1" t="str">
        <f>IF(KnockoutGoals!A11="","",KnockoutGoals!C11)</f>
        <v/>
      </c>
      <c r="D360" s="1" t="str">
        <f>IF(KnockoutGoals!A11="","",KnockoutGoals!D11)</f>
        <v/>
      </c>
      <c r="E360" s="1" t="str">
        <f>IF(KnockoutGoals!A11="","",KnockoutGoals!E11)</f>
        <v/>
      </c>
      <c r="F360" s="1" t="str">
        <f>IF(KnockoutGoals!A11="","",KnockoutGoals!F11)</f>
        <v/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 t="str">
        <f>IF(KnockoutGoals!A12="","",KnockoutGoals!A12)</f>
        <v/>
      </c>
      <c r="B361" s="1" t="str">
        <f>IF(KnockoutGoals!A12="","",KnockoutGoals!B12)</f>
        <v/>
      </c>
      <c r="C361" s="1" t="str">
        <f>IF(KnockoutGoals!A12="","",KnockoutGoals!C12)</f>
        <v/>
      </c>
      <c r="D361" s="1" t="str">
        <f>IF(KnockoutGoals!A12="","",KnockoutGoals!D12)</f>
        <v/>
      </c>
      <c r="E361" s="1" t="str">
        <f>IF(KnockoutGoals!A12="","",KnockoutGoals!E12)</f>
        <v/>
      </c>
      <c r="F361" s="1" t="str">
        <f>IF(KnockoutGoals!A12="","",KnockoutGoals!F12)</f>
        <v/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 t="str">
        <f>IF(KnockoutGoals!A13="","",KnockoutGoals!A13)</f>
        <v/>
      </c>
      <c r="B362" s="1" t="str">
        <f>IF(KnockoutGoals!A13="","",KnockoutGoals!B13)</f>
        <v/>
      </c>
      <c r="C362" s="1" t="str">
        <f>IF(KnockoutGoals!A13="","",KnockoutGoals!C13)</f>
        <v/>
      </c>
      <c r="D362" s="1" t="str">
        <f>IF(KnockoutGoals!A13="","",KnockoutGoals!D13)</f>
        <v/>
      </c>
      <c r="E362" s="1" t="str">
        <f>IF(KnockoutGoals!A13="","",KnockoutGoals!E13)</f>
        <v/>
      </c>
      <c r="F362" s="1" t="str">
        <f>IF(KnockoutGoals!A13="","",KnockoutGoals!F13)</f>
        <v/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 t="str">
        <f>IF(KnockoutGoals!A14="","",KnockoutGoals!A14)</f>
        <v/>
      </c>
      <c r="B363" s="1" t="str">
        <f>IF(KnockoutGoals!A14="","",KnockoutGoals!B14)</f>
        <v/>
      </c>
      <c r="C363" s="1" t="str">
        <f>IF(KnockoutGoals!A14="","",KnockoutGoals!C14)</f>
        <v/>
      </c>
      <c r="D363" s="1" t="str">
        <f>IF(KnockoutGoals!A14="","",KnockoutGoals!D14)</f>
        <v/>
      </c>
      <c r="E363" s="1" t="str">
        <f>IF(KnockoutGoals!A14="","",KnockoutGoals!E14)</f>
        <v/>
      </c>
      <c r="F363" s="1" t="str">
        <f>IF(KnockoutGoals!A14="","",KnockoutGoals!F14)</f>
        <v/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 t="str">
        <f>IF(KnockoutGoals!A15="","",KnockoutGoals!A15)</f>
        <v/>
      </c>
      <c r="B364" s="1" t="str">
        <f>IF(KnockoutGoals!A15="","",KnockoutGoals!B15)</f>
        <v/>
      </c>
      <c r="C364" s="1" t="str">
        <f>IF(KnockoutGoals!A15="","",KnockoutGoals!C15)</f>
        <v/>
      </c>
      <c r="D364" s="1" t="str">
        <f>IF(KnockoutGoals!A15="","",KnockoutGoals!D15)</f>
        <v/>
      </c>
      <c r="E364" s="1" t="str">
        <f>IF(KnockoutGoals!A15="","",KnockoutGoals!E15)</f>
        <v/>
      </c>
      <c r="F364" s="1" t="str">
        <f>IF(KnockoutGoals!A15="","",KnockoutGoals!F15)</f>
        <v/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 t="str">
        <f>IF(KnockoutGoals!A16="","",KnockoutGoals!A16)</f>
        <v/>
      </c>
      <c r="B365" s="1" t="str">
        <f>IF(KnockoutGoals!A16="","",KnockoutGoals!B16)</f>
        <v/>
      </c>
      <c r="C365" s="1" t="str">
        <f>IF(KnockoutGoals!A16="","",KnockoutGoals!C16)</f>
        <v/>
      </c>
      <c r="D365" s="1" t="str">
        <f>IF(KnockoutGoals!A16="","",KnockoutGoals!D16)</f>
        <v/>
      </c>
      <c r="E365" s="1" t="str">
        <f>IF(KnockoutGoals!A16="","",KnockoutGoals!E16)</f>
        <v/>
      </c>
      <c r="F365" s="1" t="str">
        <f>IF(KnockoutGoals!A16="","",KnockoutGoals!F16)</f>
        <v/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 t="str">
        <f>IF(KnockoutGoals!A17="","",KnockoutGoals!A17)</f>
        <v/>
      </c>
      <c r="B366" s="1" t="str">
        <f>IF(KnockoutGoals!A17="","",KnockoutGoals!B17)</f>
        <v/>
      </c>
      <c r="C366" s="1" t="str">
        <f>IF(KnockoutGoals!A17="","",KnockoutGoals!C17)</f>
        <v/>
      </c>
      <c r="D366" s="1" t="str">
        <f>IF(KnockoutGoals!A17="","",KnockoutGoals!D17)</f>
        <v/>
      </c>
      <c r="E366" s="1" t="str">
        <f>IF(KnockoutGoals!A17="","",KnockoutGoals!E17)</f>
        <v/>
      </c>
      <c r="F366" s="1" t="str">
        <f>IF(KnockoutGoals!A17="","",KnockoutGoals!F17)</f>
        <v/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 t="str">
        <f>IF(KnockoutGoals!A18="","",KnockoutGoals!A18)</f>
        <v/>
      </c>
      <c r="B367" s="1" t="str">
        <f>IF(KnockoutGoals!A18="","",KnockoutGoals!B18)</f>
        <v/>
      </c>
      <c r="C367" s="1" t="str">
        <f>IF(KnockoutGoals!A18="","",KnockoutGoals!C18)</f>
        <v/>
      </c>
      <c r="D367" s="1" t="str">
        <f>IF(KnockoutGoals!A18="","",KnockoutGoals!D18)</f>
        <v/>
      </c>
      <c r="E367" s="1" t="str">
        <f>IF(KnockoutGoals!A18="","",KnockoutGoals!E18)</f>
        <v/>
      </c>
      <c r="F367" s="1" t="str">
        <f>IF(KnockoutGoals!A18="","",KnockoutGoals!F18)</f>
        <v/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 t="str">
        <f>IF(KnockoutGoals!A19="","",KnockoutGoals!A19)</f>
        <v/>
      </c>
      <c r="B368" s="1" t="str">
        <f>IF(KnockoutGoals!A19="","",KnockoutGoals!B19)</f>
        <v/>
      </c>
      <c r="C368" s="1" t="str">
        <f>IF(KnockoutGoals!A19="","",KnockoutGoals!C19)</f>
        <v/>
      </c>
      <c r="D368" s="1" t="str">
        <f>IF(KnockoutGoals!A19="","",KnockoutGoals!D19)</f>
        <v/>
      </c>
      <c r="E368" s="1" t="str">
        <f>IF(KnockoutGoals!A19="","",KnockoutGoals!E19)</f>
        <v/>
      </c>
      <c r="F368" s="1" t="str">
        <f>IF(KnockoutGoals!A19="","",KnockoutGoals!F19)</f>
        <v/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 t="str">
        <f>IF(KnockoutGoals!A20="","",KnockoutGoals!A20)</f>
        <v/>
      </c>
      <c r="B369" s="1" t="str">
        <f>IF(KnockoutGoals!A20="","",KnockoutGoals!B20)</f>
        <v/>
      </c>
      <c r="C369" s="1" t="str">
        <f>IF(KnockoutGoals!A20="","",KnockoutGoals!C20)</f>
        <v/>
      </c>
      <c r="D369" s="1" t="str">
        <f>IF(KnockoutGoals!A20="","",KnockoutGoals!D20)</f>
        <v/>
      </c>
      <c r="E369" s="1" t="str">
        <f>IF(KnockoutGoals!A20="","",KnockoutGoals!E20)</f>
        <v/>
      </c>
      <c r="F369" s="1" t="str">
        <f>IF(KnockoutGoals!A20="","",KnockoutGoals!F20)</f>
        <v/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 t="str">
        <f>IF(KnockoutGoals!A21="","",KnockoutGoals!A21)</f>
        <v/>
      </c>
      <c r="B370" s="1" t="str">
        <f>IF(KnockoutGoals!A21="","",KnockoutGoals!B21)</f>
        <v/>
      </c>
      <c r="C370" s="1" t="str">
        <f>IF(KnockoutGoals!A21="","",KnockoutGoals!C21)</f>
        <v/>
      </c>
      <c r="D370" s="1" t="str">
        <f>IF(KnockoutGoals!A21="","",KnockoutGoals!D21)</f>
        <v/>
      </c>
      <c r="E370" s="1" t="str">
        <f>IF(KnockoutGoals!A21="","",KnockoutGoals!E21)</f>
        <v/>
      </c>
      <c r="F370" s="1" t="str">
        <f>IF(KnockoutGoals!A21="","",KnockoutGoals!F21)</f>
        <v/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 t="str">
        <f>IF(KnockoutGoals!A22="","",KnockoutGoals!A22)</f>
        <v/>
      </c>
      <c r="B371" s="1" t="str">
        <f>IF(KnockoutGoals!A22="","",KnockoutGoals!B22)</f>
        <v/>
      </c>
      <c r="C371" s="1" t="str">
        <f>IF(KnockoutGoals!A22="","",KnockoutGoals!C22)</f>
        <v/>
      </c>
      <c r="D371" s="1" t="str">
        <f>IF(KnockoutGoals!A22="","",KnockoutGoals!D22)</f>
        <v/>
      </c>
      <c r="E371" s="1" t="str">
        <f>IF(KnockoutGoals!A22="","",KnockoutGoals!E22)</f>
        <v/>
      </c>
      <c r="F371" s="1" t="str">
        <f>IF(KnockoutGoals!A22="","",KnockoutGoals!F22)</f>
        <v/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 t="str">
        <f>IF(KnockoutGoals!A23="","",KnockoutGoals!A23)</f>
        <v/>
      </c>
      <c r="B372" s="1" t="str">
        <f>IF(KnockoutGoals!A23="","",KnockoutGoals!B23)</f>
        <v/>
      </c>
      <c r="C372" s="1" t="str">
        <f>IF(KnockoutGoals!A23="","",KnockoutGoals!C23)</f>
        <v/>
      </c>
      <c r="D372" s="1" t="str">
        <f>IF(KnockoutGoals!A23="","",KnockoutGoals!D23)</f>
        <v/>
      </c>
      <c r="E372" s="1" t="str">
        <f>IF(KnockoutGoals!A23="","",KnockoutGoals!E23)</f>
        <v/>
      </c>
      <c r="F372" s="1" t="str">
        <f>IF(KnockoutGoals!A23="","",KnockoutGoals!F23)</f>
        <v/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 t="str">
        <f>IF(KnockoutGoals!A24="","",KnockoutGoals!A24)</f>
        <v/>
      </c>
      <c r="B373" s="1" t="str">
        <f>IF(KnockoutGoals!A24="","",KnockoutGoals!B24)</f>
        <v/>
      </c>
      <c r="C373" s="1" t="str">
        <f>IF(KnockoutGoals!A24="","",KnockoutGoals!C24)</f>
        <v/>
      </c>
      <c r="D373" s="1" t="str">
        <f>IF(KnockoutGoals!A24="","",KnockoutGoals!D24)</f>
        <v/>
      </c>
      <c r="E373" s="1" t="str">
        <f>IF(KnockoutGoals!A24="","",KnockoutGoals!E24)</f>
        <v/>
      </c>
      <c r="F373" s="1" t="str">
        <f>IF(KnockoutGoals!A24="","",KnockoutGoals!F24)</f>
        <v/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 t="str">
        <f>IF(KnockoutGoals!A25="","",KnockoutGoals!A25)</f>
        <v/>
      </c>
      <c r="B374" s="1" t="str">
        <f>IF(KnockoutGoals!A25="","",KnockoutGoals!B25)</f>
        <v/>
      </c>
      <c r="C374" s="1" t="str">
        <f>IF(KnockoutGoals!A25="","",KnockoutGoals!C25)</f>
        <v/>
      </c>
      <c r="D374" s="1" t="str">
        <f>IF(KnockoutGoals!A25="","",KnockoutGoals!D25)</f>
        <v/>
      </c>
      <c r="E374" s="1" t="str">
        <f>IF(KnockoutGoals!A25="","",KnockoutGoals!E25)</f>
        <v/>
      </c>
      <c r="F374" s="1" t="str">
        <f>IF(KnockoutGoals!A25="","",KnockoutGoals!F25)</f>
        <v/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 t="str">
        <f>IF(KnockoutGoals!A26="","",KnockoutGoals!A26)</f>
        <v/>
      </c>
      <c r="B375" s="1" t="str">
        <f>IF(KnockoutGoals!A26="","",KnockoutGoals!B26)</f>
        <v/>
      </c>
      <c r="C375" s="1" t="str">
        <f>IF(KnockoutGoals!A26="","",KnockoutGoals!C26)</f>
        <v/>
      </c>
      <c r="D375" s="1" t="str">
        <f>IF(KnockoutGoals!A26="","",KnockoutGoals!D26)</f>
        <v/>
      </c>
      <c r="E375" s="1" t="str">
        <f>IF(KnockoutGoals!A26="","",KnockoutGoals!E26)</f>
        <v/>
      </c>
      <c r="F375" s="1" t="str">
        <f>IF(KnockoutGoals!A26="","",KnockoutGoals!F26)</f>
        <v/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 t="str">
        <f>IF(KnockoutGoals!A27="","",KnockoutGoals!A27)</f>
        <v/>
      </c>
      <c r="B376" s="1" t="str">
        <f>IF(KnockoutGoals!A27="","",KnockoutGoals!B27)</f>
        <v/>
      </c>
      <c r="C376" s="1" t="str">
        <f>IF(KnockoutGoals!A27="","",KnockoutGoals!C27)</f>
        <v/>
      </c>
      <c r="D376" s="1" t="str">
        <f>IF(KnockoutGoals!A27="","",KnockoutGoals!D27)</f>
        <v/>
      </c>
      <c r="E376" s="1" t="str">
        <f>IF(KnockoutGoals!A27="","",KnockoutGoals!E27)</f>
        <v/>
      </c>
      <c r="F376" s="1" t="str">
        <f>IF(KnockoutGoals!A27="","",KnockoutGoals!F27)</f>
        <v/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 t="str">
        <f>IF(KnockoutGoals!A28="","",KnockoutGoals!A28)</f>
        <v/>
      </c>
      <c r="B377" s="1" t="str">
        <f>IF(KnockoutGoals!A28="","",KnockoutGoals!B28)</f>
        <v/>
      </c>
      <c r="C377" s="1" t="str">
        <f>IF(KnockoutGoals!A28="","",KnockoutGoals!C28)</f>
        <v/>
      </c>
      <c r="D377" s="1" t="str">
        <f>IF(KnockoutGoals!A28="","",KnockoutGoals!D28)</f>
        <v/>
      </c>
      <c r="E377" s="1" t="str">
        <f>IF(KnockoutGoals!A28="","",KnockoutGoals!E28)</f>
        <v/>
      </c>
      <c r="F377" s="1" t="str">
        <f>IF(KnockoutGoals!A28="","",KnockoutGoals!F28)</f>
        <v/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 t="str">
        <f>IF(KnockoutGoals!A29="","",KnockoutGoals!A29)</f>
        <v/>
      </c>
      <c r="B378" s="1" t="str">
        <f>IF(KnockoutGoals!A29="","",KnockoutGoals!B29)</f>
        <v/>
      </c>
      <c r="C378" s="1" t="str">
        <f>IF(KnockoutGoals!A29="","",KnockoutGoals!C29)</f>
        <v/>
      </c>
      <c r="D378" s="1" t="str">
        <f>IF(KnockoutGoals!A29="","",KnockoutGoals!D29)</f>
        <v/>
      </c>
      <c r="E378" s="1" t="str">
        <f>IF(KnockoutGoals!A29="","",KnockoutGoals!E29)</f>
        <v/>
      </c>
      <c r="F378" s="1" t="str">
        <f>IF(KnockoutGoals!A29="","",KnockoutGoals!F29)</f>
        <v/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 t="str">
        <f>IF(KnockoutGoals!A30="","",KnockoutGoals!A30)</f>
        <v/>
      </c>
      <c r="B379" s="1" t="str">
        <f>IF(KnockoutGoals!A30="","",KnockoutGoals!B30)</f>
        <v/>
      </c>
      <c r="C379" s="1" t="str">
        <f>IF(KnockoutGoals!A30="","",KnockoutGoals!C30)</f>
        <v/>
      </c>
      <c r="D379" s="1" t="str">
        <f>IF(KnockoutGoals!A30="","",KnockoutGoals!D30)</f>
        <v/>
      </c>
      <c r="E379" s="1" t="str">
        <f>IF(KnockoutGoals!A30="","",KnockoutGoals!E30)</f>
        <v/>
      </c>
      <c r="F379" s="1" t="str">
        <f>IF(KnockoutGoals!A30="","",KnockoutGoals!F30)</f>
        <v/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 t="str">
        <f>IF(KnockoutGoals!A31="","",KnockoutGoals!A31)</f>
        <v/>
      </c>
      <c r="B380" s="1" t="str">
        <f>IF(KnockoutGoals!A31="","",KnockoutGoals!B31)</f>
        <v/>
      </c>
      <c r="C380" s="1" t="str">
        <f>IF(KnockoutGoals!A31="","",KnockoutGoals!C31)</f>
        <v/>
      </c>
      <c r="D380" s="1" t="str">
        <f>IF(KnockoutGoals!A31="","",KnockoutGoals!D31)</f>
        <v/>
      </c>
      <c r="E380" s="1" t="str">
        <f>IF(KnockoutGoals!A31="","",KnockoutGoals!E31)</f>
        <v/>
      </c>
      <c r="F380" s="1" t="str">
        <f>IF(KnockoutGoals!A31="","",KnockoutGoals!F31)</f>
        <v/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 t="str">
        <f>IF(KnockoutGoals!A32="","",KnockoutGoals!A32)</f>
        <v/>
      </c>
      <c r="B381" s="1" t="str">
        <f>IF(KnockoutGoals!A32="","",KnockoutGoals!B32)</f>
        <v/>
      </c>
      <c r="C381" s="1" t="str">
        <f>IF(KnockoutGoals!A32="","",KnockoutGoals!C32)</f>
        <v/>
      </c>
      <c r="D381" s="1" t="str">
        <f>IF(KnockoutGoals!A32="","",KnockoutGoals!D32)</f>
        <v/>
      </c>
      <c r="E381" s="1" t="str">
        <f>IF(KnockoutGoals!A32="","",KnockoutGoals!E32)</f>
        <v/>
      </c>
      <c r="F381" s="1" t="str">
        <f>IF(KnockoutGoals!A32="","",KnockoutGoals!F32)</f>
        <v/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 t="str">
        <f>IF(KnockoutGoals!A33="","",KnockoutGoals!A33)</f>
        <v/>
      </c>
      <c r="B382" s="1" t="str">
        <f>IF(KnockoutGoals!A33="","",KnockoutGoals!B33)</f>
        <v/>
      </c>
      <c r="C382" s="1" t="str">
        <f>IF(KnockoutGoals!A33="","",KnockoutGoals!C33)</f>
        <v/>
      </c>
      <c r="D382" s="1" t="str">
        <f>IF(KnockoutGoals!A33="","",KnockoutGoals!D33)</f>
        <v/>
      </c>
      <c r="E382" s="1" t="str">
        <f>IF(KnockoutGoals!A33="","",KnockoutGoals!E33)</f>
        <v/>
      </c>
      <c r="F382" s="1" t="str">
        <f>IF(KnockoutGoals!A33="","",KnockoutGoals!F33)</f>
        <v/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 t="str">
        <f>IF(KnockoutGoals!A34="","",KnockoutGoals!A34)</f>
        <v/>
      </c>
      <c r="B383" s="1" t="str">
        <f>IF(KnockoutGoals!A34="","",KnockoutGoals!B34)</f>
        <v/>
      </c>
      <c r="C383" s="1" t="str">
        <f>IF(KnockoutGoals!A34="","",KnockoutGoals!C34)</f>
        <v/>
      </c>
      <c r="D383" s="1" t="str">
        <f>IF(KnockoutGoals!A34="","",KnockoutGoals!D34)</f>
        <v/>
      </c>
      <c r="E383" s="1" t="str">
        <f>IF(KnockoutGoals!A34="","",KnockoutGoals!E34)</f>
        <v/>
      </c>
      <c r="F383" s="1" t="str">
        <f>IF(KnockoutGoals!A34="","",KnockoutGoals!F34)</f>
        <v/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 t="str">
        <f>IF(KnockoutGoals!A35="","",KnockoutGoals!A35)</f>
        <v/>
      </c>
      <c r="B384" s="1" t="str">
        <f>IF(KnockoutGoals!A35="","",KnockoutGoals!B35)</f>
        <v/>
      </c>
      <c r="C384" s="1" t="str">
        <f>IF(KnockoutGoals!A35="","",KnockoutGoals!C35)</f>
        <v/>
      </c>
      <c r="D384" s="1" t="str">
        <f>IF(KnockoutGoals!A35="","",KnockoutGoals!D35)</f>
        <v/>
      </c>
      <c r="E384" s="1" t="str">
        <f>IF(KnockoutGoals!A35="","",KnockoutGoals!E35)</f>
        <v/>
      </c>
      <c r="F384" s="1" t="str">
        <f>IF(KnockoutGoals!A35="","",KnockoutGoals!F35)</f>
        <v/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 t="str">
        <f>IF(KnockoutGoals!A36="","",KnockoutGoals!A36)</f>
        <v/>
      </c>
      <c r="B385" s="1" t="str">
        <f>IF(KnockoutGoals!A36="","",KnockoutGoals!B36)</f>
        <v/>
      </c>
      <c r="C385" s="1" t="str">
        <f>IF(KnockoutGoals!A36="","",KnockoutGoals!C36)</f>
        <v/>
      </c>
      <c r="D385" s="1" t="str">
        <f>IF(KnockoutGoals!A36="","",KnockoutGoals!D36)</f>
        <v/>
      </c>
      <c r="E385" s="1" t="str">
        <f>IF(KnockoutGoals!A36="","",KnockoutGoals!E36)</f>
        <v/>
      </c>
      <c r="F385" s="1" t="str">
        <f>IF(KnockoutGoals!A36="","",KnockoutGoals!F36)</f>
        <v/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 t="str">
        <f>IF(KnockoutGoals!A37="","",KnockoutGoals!A37)</f>
        <v/>
      </c>
      <c r="B386" s="1" t="str">
        <f>IF(KnockoutGoals!A37="","",KnockoutGoals!B37)</f>
        <v/>
      </c>
      <c r="C386" s="1" t="str">
        <f>IF(KnockoutGoals!A37="","",KnockoutGoals!C37)</f>
        <v/>
      </c>
      <c r="D386" s="1" t="str">
        <f>IF(KnockoutGoals!A37="","",KnockoutGoals!D37)</f>
        <v/>
      </c>
      <c r="E386" s="1" t="str">
        <f>IF(KnockoutGoals!A37="","",KnockoutGoals!E37)</f>
        <v/>
      </c>
      <c r="F386" s="1" t="str">
        <f>IF(KnockoutGoals!A37="","",KnockoutGoals!F37)</f>
        <v/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 t="str">
        <f>IF(KnockoutGoals!A38="","",KnockoutGoals!A38)</f>
        <v/>
      </c>
      <c r="B387" s="1" t="str">
        <f>IF(KnockoutGoals!A38="","",KnockoutGoals!B38)</f>
        <v/>
      </c>
      <c r="C387" s="1" t="str">
        <f>IF(KnockoutGoals!A38="","",KnockoutGoals!C38)</f>
        <v/>
      </c>
      <c r="D387" s="1" t="str">
        <f>IF(KnockoutGoals!A38="","",KnockoutGoals!D38)</f>
        <v/>
      </c>
      <c r="E387" s="1" t="str">
        <f>IF(KnockoutGoals!A38="","",KnockoutGoals!E38)</f>
        <v/>
      </c>
      <c r="F387" s="1" t="str">
        <f>IF(KnockoutGoals!A38="","",KnockoutGoals!F38)</f>
        <v/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 t="str">
        <f>IF(KnockoutGoals!A39="","",KnockoutGoals!A39)</f>
        <v/>
      </c>
      <c r="B388" s="1" t="str">
        <f>IF(KnockoutGoals!A39="","",KnockoutGoals!B39)</f>
        <v/>
      </c>
      <c r="C388" s="1" t="str">
        <f>IF(KnockoutGoals!A39="","",KnockoutGoals!C39)</f>
        <v/>
      </c>
      <c r="D388" s="1" t="str">
        <f>IF(KnockoutGoals!A39="","",KnockoutGoals!D39)</f>
        <v/>
      </c>
      <c r="E388" s="1" t="str">
        <f>IF(KnockoutGoals!A39="","",KnockoutGoals!E39)</f>
        <v/>
      </c>
      <c r="F388" s="1" t="str">
        <f>IF(KnockoutGoals!A39="","",KnockoutGoals!F39)</f>
        <v/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 t="str">
        <f>IF(KnockoutGoals!A40="","",KnockoutGoals!A40)</f>
        <v/>
      </c>
      <c r="B389" s="1" t="str">
        <f>IF(KnockoutGoals!A40="","",KnockoutGoals!B40)</f>
        <v/>
      </c>
      <c r="C389" s="1" t="str">
        <f>IF(KnockoutGoals!A40="","",KnockoutGoals!C40)</f>
        <v/>
      </c>
      <c r="D389" s="1" t="str">
        <f>IF(KnockoutGoals!A40="","",KnockoutGoals!D40)</f>
        <v/>
      </c>
      <c r="E389" s="1" t="str">
        <f>IF(KnockoutGoals!A40="","",KnockoutGoals!E40)</f>
        <v/>
      </c>
      <c r="F389" s="1" t="str">
        <f>IF(KnockoutGoals!A40="","",KnockoutGoals!F40)</f>
        <v/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 t="str">
        <f>IF(KnockoutGoals!A41="","",KnockoutGoals!A41)</f>
        <v/>
      </c>
      <c r="B390" s="1" t="str">
        <f>IF(KnockoutGoals!A41="","",KnockoutGoals!B41)</f>
        <v/>
      </c>
      <c r="C390" s="1" t="str">
        <f>IF(KnockoutGoals!A41="","",KnockoutGoals!C41)</f>
        <v/>
      </c>
      <c r="D390" s="1" t="str">
        <f>IF(KnockoutGoals!A41="","",KnockoutGoals!D41)</f>
        <v/>
      </c>
      <c r="E390" s="1" t="str">
        <f>IF(KnockoutGoals!A41="","",KnockoutGoals!E41)</f>
        <v/>
      </c>
      <c r="F390" s="1" t="str">
        <f>IF(KnockoutGoals!A41="","",KnockoutGoals!F41)</f>
        <v/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 t="str">
        <f>IF(KnockoutGoals!A42="","",KnockoutGoals!A42)</f>
        <v/>
      </c>
      <c r="B391" s="1" t="str">
        <f>IF(KnockoutGoals!A42="","",KnockoutGoals!B42)</f>
        <v/>
      </c>
      <c r="C391" s="1" t="str">
        <f>IF(KnockoutGoals!A42="","",KnockoutGoals!C42)</f>
        <v/>
      </c>
      <c r="D391" s="1" t="str">
        <f>IF(KnockoutGoals!A42="","",KnockoutGoals!D42)</f>
        <v/>
      </c>
      <c r="E391" s="1" t="str">
        <f>IF(KnockoutGoals!A42="","",KnockoutGoals!E42)</f>
        <v/>
      </c>
      <c r="F391" s="1" t="str">
        <f>IF(KnockoutGoals!A42="","",KnockoutGoals!F42)</f>
        <v/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 t="str">
        <f>IF(KnockoutGoals!A43="","",KnockoutGoals!A43)</f>
        <v/>
      </c>
      <c r="B392" s="1" t="str">
        <f>IF(KnockoutGoals!A43="","",KnockoutGoals!B43)</f>
        <v/>
      </c>
      <c r="C392" s="1" t="str">
        <f>IF(KnockoutGoals!A43="","",KnockoutGoals!C43)</f>
        <v/>
      </c>
      <c r="D392" s="1" t="str">
        <f>IF(KnockoutGoals!A43="","",KnockoutGoals!D43)</f>
        <v/>
      </c>
      <c r="E392" s="1" t="str">
        <f>IF(KnockoutGoals!A43="","",KnockoutGoals!E43)</f>
        <v/>
      </c>
      <c r="F392" s="1" t="str">
        <f>IF(KnockoutGoals!A43="","",KnockoutGoals!F43)</f>
        <v/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 t="str">
        <f>IF(KnockoutGoals!A44="","",KnockoutGoals!A44)</f>
        <v/>
      </c>
      <c r="B393" s="1" t="str">
        <f>IF(KnockoutGoals!A44="","",KnockoutGoals!B44)</f>
        <v/>
      </c>
      <c r="C393" s="1" t="str">
        <f>IF(KnockoutGoals!A44="","",KnockoutGoals!C44)</f>
        <v/>
      </c>
      <c r="D393" s="1" t="str">
        <f>IF(KnockoutGoals!A44="","",KnockoutGoals!D44)</f>
        <v/>
      </c>
      <c r="E393" s="1" t="str">
        <f>IF(KnockoutGoals!A44="","",KnockoutGoals!E44)</f>
        <v/>
      </c>
      <c r="F393" s="1" t="str">
        <f>IF(KnockoutGoals!A44="","",KnockoutGoals!F44)</f>
        <v/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 t="str">
        <f>IF(KnockoutGoals!A45="","",KnockoutGoals!A45)</f>
        <v/>
      </c>
      <c r="B394" s="1" t="str">
        <f>IF(KnockoutGoals!A45="","",KnockoutGoals!B45)</f>
        <v/>
      </c>
      <c r="C394" s="1" t="str">
        <f>IF(KnockoutGoals!A45="","",KnockoutGoals!C45)</f>
        <v/>
      </c>
      <c r="D394" s="1" t="str">
        <f>IF(KnockoutGoals!A45="","",KnockoutGoals!D45)</f>
        <v/>
      </c>
      <c r="E394" s="1" t="str">
        <f>IF(KnockoutGoals!A45="","",KnockoutGoals!E45)</f>
        <v/>
      </c>
      <c r="F394" s="1" t="str">
        <f>IF(KnockoutGoals!A45="","",KnockoutGoals!F45)</f>
        <v/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 t="str">
        <f>IF(KnockoutGoals!A46="","",KnockoutGoals!A46)</f>
        <v/>
      </c>
      <c r="B395" s="1" t="str">
        <f>IF(KnockoutGoals!A46="","",KnockoutGoals!B46)</f>
        <v/>
      </c>
      <c r="C395" s="1" t="str">
        <f>IF(KnockoutGoals!A46="","",KnockoutGoals!C46)</f>
        <v/>
      </c>
      <c r="D395" s="1" t="str">
        <f>IF(KnockoutGoals!A46="","",KnockoutGoals!D46)</f>
        <v/>
      </c>
      <c r="E395" s="1" t="str">
        <f>IF(KnockoutGoals!A46="","",KnockoutGoals!E46)</f>
        <v/>
      </c>
      <c r="F395" s="1" t="str">
        <f>IF(KnockoutGoals!A46="","",KnockoutGoals!F46)</f>
        <v/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 t="str">
        <f>IF(KnockoutGoals!A47="","",KnockoutGoals!A47)</f>
        <v/>
      </c>
      <c r="B396" s="1" t="str">
        <f>IF(KnockoutGoals!A47="","",KnockoutGoals!B47)</f>
        <v/>
      </c>
      <c r="C396" s="1" t="str">
        <f>IF(KnockoutGoals!A47="","",KnockoutGoals!C47)</f>
        <v/>
      </c>
      <c r="D396" s="1" t="str">
        <f>IF(KnockoutGoals!A47="","",KnockoutGoals!D47)</f>
        <v/>
      </c>
      <c r="E396" s="1" t="str">
        <f>IF(KnockoutGoals!A47="","",KnockoutGoals!E47)</f>
        <v/>
      </c>
      <c r="F396" s="1" t="str">
        <f>IF(KnockoutGoals!A47="","",KnockoutGoals!F47)</f>
        <v/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 t="str">
        <f>IF(KnockoutGoals!A48="","",KnockoutGoals!A48)</f>
        <v/>
      </c>
      <c r="B397" s="1" t="str">
        <f>IF(KnockoutGoals!A48="","",KnockoutGoals!B48)</f>
        <v/>
      </c>
      <c r="C397" s="1" t="str">
        <f>IF(KnockoutGoals!A48="","",KnockoutGoals!C48)</f>
        <v/>
      </c>
      <c r="D397" s="1" t="str">
        <f>IF(KnockoutGoals!A48="","",KnockoutGoals!D48)</f>
        <v/>
      </c>
      <c r="E397" s="1" t="str">
        <f>IF(KnockoutGoals!A48="","",KnockoutGoals!E48)</f>
        <v/>
      </c>
      <c r="F397" s="1" t="str">
        <f>IF(KnockoutGoals!A48="","",KnockoutGoals!F48)</f>
        <v/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 t="str">
        <f>IF(KnockoutGoals!A49="","",KnockoutGoals!A49)</f>
        <v/>
      </c>
      <c r="B398" s="1" t="str">
        <f>IF(KnockoutGoals!A49="","",KnockoutGoals!B49)</f>
        <v/>
      </c>
      <c r="C398" s="1" t="str">
        <f>IF(KnockoutGoals!A49="","",KnockoutGoals!C49)</f>
        <v/>
      </c>
      <c r="D398" s="1" t="str">
        <f>IF(KnockoutGoals!A49="","",KnockoutGoals!D49)</f>
        <v/>
      </c>
      <c r="E398" s="1" t="str">
        <f>IF(KnockoutGoals!A49="","",KnockoutGoals!E49)</f>
        <v/>
      </c>
      <c r="F398" s="1" t="str">
        <f>IF(KnockoutGoals!A49="","",KnockoutGoals!F49)</f>
        <v/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 t="str">
        <f>IF(KnockoutGoals!A50="","",KnockoutGoals!A50)</f>
        <v/>
      </c>
      <c r="B399" s="1" t="str">
        <f>IF(KnockoutGoals!A50="","",KnockoutGoals!B50)</f>
        <v/>
      </c>
      <c r="C399" s="1" t="str">
        <f>IF(KnockoutGoals!A50="","",KnockoutGoals!C50)</f>
        <v/>
      </c>
      <c r="D399" s="1" t="str">
        <f>IF(KnockoutGoals!A50="","",KnockoutGoals!D50)</f>
        <v/>
      </c>
      <c r="E399" s="1" t="str">
        <f>IF(KnockoutGoals!A50="","",KnockoutGoals!E50)</f>
        <v/>
      </c>
      <c r="F399" s="1" t="str">
        <f>IF(KnockoutGoals!A50="","",KnockoutGoals!F50)</f>
        <v/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 t="str">
        <f>IF(KnockoutGoals!A51="","",KnockoutGoals!A51)</f>
        <v/>
      </c>
      <c r="B400" s="1" t="str">
        <f>IF(KnockoutGoals!A51="","",KnockoutGoals!B51)</f>
        <v/>
      </c>
      <c r="C400" s="1" t="str">
        <f>IF(KnockoutGoals!A51="","",KnockoutGoals!C51)</f>
        <v/>
      </c>
      <c r="D400" s="1" t="str">
        <f>IF(KnockoutGoals!A51="","",KnockoutGoals!D51)</f>
        <v/>
      </c>
      <c r="E400" s="1" t="str">
        <f>IF(KnockoutGoals!A51="","",KnockoutGoals!E51)</f>
        <v/>
      </c>
      <c r="F400" s="1" t="str">
        <f>IF(KnockoutGoals!A51="","",KnockoutGoals!F51)</f>
        <v/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 t="str">
        <f>IF(KnockoutGoals!A52="","",KnockoutGoals!A52)</f>
        <v/>
      </c>
      <c r="B401" s="1" t="str">
        <f>IF(KnockoutGoals!A52="","",KnockoutGoals!B52)</f>
        <v/>
      </c>
      <c r="C401" s="1" t="str">
        <f>IF(KnockoutGoals!A52="","",KnockoutGoals!C52)</f>
        <v/>
      </c>
      <c r="D401" s="1" t="str">
        <f>IF(KnockoutGoals!A52="","",KnockoutGoals!D52)</f>
        <v/>
      </c>
      <c r="E401" s="1" t="str">
        <f>IF(KnockoutGoals!A52="","",KnockoutGoals!E52)</f>
        <v/>
      </c>
      <c r="F401" s="1" t="str">
        <f>IF(KnockoutGoals!A52="","",KnockoutGoals!F52)</f>
        <v/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 t="str">
        <f>IF(KnockoutGoals!A53="","",KnockoutGoals!A53)</f>
        <v/>
      </c>
      <c r="B402" s="1" t="str">
        <f>IF(KnockoutGoals!A53="","",KnockoutGoals!B53)</f>
        <v/>
      </c>
      <c r="C402" s="1" t="str">
        <f>IF(KnockoutGoals!A53="","",KnockoutGoals!C53)</f>
        <v/>
      </c>
      <c r="D402" s="1" t="str">
        <f>IF(KnockoutGoals!A53="","",KnockoutGoals!D53)</f>
        <v/>
      </c>
      <c r="E402" s="1" t="str">
        <f>IF(KnockoutGoals!A53="","",KnockoutGoals!E53)</f>
        <v/>
      </c>
      <c r="F402" s="1" t="str">
        <f>IF(KnockoutGoals!A53="","",KnockoutGoals!F53)</f>
        <v/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 t="str">
        <f>IF(KnockoutGoals!A54="","",KnockoutGoals!A54)</f>
        <v/>
      </c>
      <c r="B403" s="1" t="str">
        <f>IF(KnockoutGoals!A54="","",KnockoutGoals!B54)</f>
        <v/>
      </c>
      <c r="C403" s="1" t="str">
        <f>IF(KnockoutGoals!A54="","",KnockoutGoals!C54)</f>
        <v/>
      </c>
      <c r="D403" s="1" t="str">
        <f>IF(KnockoutGoals!A54="","",KnockoutGoals!D54)</f>
        <v/>
      </c>
      <c r="E403" s="1" t="str">
        <f>IF(KnockoutGoals!A54="","",KnockoutGoals!E54)</f>
        <v/>
      </c>
      <c r="F403" s="1" t="str">
        <f>IF(KnockoutGoals!A54="","",KnockoutGoals!F54)</f>
        <v/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 t="str">
        <f>IF(KnockoutGoals!A55="","",KnockoutGoals!A55)</f>
        <v/>
      </c>
      <c r="B404" s="1" t="str">
        <f>IF(KnockoutGoals!A55="","",KnockoutGoals!B55)</f>
        <v/>
      </c>
      <c r="C404" s="1" t="str">
        <f>IF(KnockoutGoals!A55="","",KnockoutGoals!C55)</f>
        <v/>
      </c>
      <c r="D404" s="1" t="str">
        <f>IF(KnockoutGoals!A55="","",KnockoutGoals!D55)</f>
        <v/>
      </c>
      <c r="E404" s="1" t="str">
        <f>IF(KnockoutGoals!A55="","",KnockoutGoals!E55)</f>
        <v/>
      </c>
      <c r="F404" s="1" t="str">
        <f>IF(KnockoutGoals!A55="","",KnockoutGoals!F55)</f>
        <v/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 t="str">
        <f>IF(KnockoutGoals!A56="","",KnockoutGoals!A56)</f>
        <v/>
      </c>
      <c r="B405" s="1" t="str">
        <f>IF(KnockoutGoals!A56="","",KnockoutGoals!B56)</f>
        <v/>
      </c>
      <c r="C405" s="1" t="str">
        <f>IF(KnockoutGoals!A56="","",KnockoutGoals!C56)</f>
        <v/>
      </c>
      <c r="D405" s="1" t="str">
        <f>IF(KnockoutGoals!A56="","",KnockoutGoals!D56)</f>
        <v/>
      </c>
      <c r="E405" s="1" t="str">
        <f>IF(KnockoutGoals!A56="","",KnockoutGoals!E56)</f>
        <v/>
      </c>
      <c r="F405" s="1" t="str">
        <f>IF(KnockoutGoals!A56="","",KnockoutGoals!F56)</f>
        <v/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 t="str">
        <f>IF(KnockoutGoals!A57="","",KnockoutGoals!A57)</f>
        <v/>
      </c>
      <c r="B406" s="1" t="str">
        <f>IF(KnockoutGoals!A57="","",KnockoutGoals!B57)</f>
        <v/>
      </c>
      <c r="C406" s="1" t="str">
        <f>IF(KnockoutGoals!A57="","",KnockoutGoals!C57)</f>
        <v/>
      </c>
      <c r="D406" s="1" t="str">
        <f>IF(KnockoutGoals!A57="","",KnockoutGoals!D57)</f>
        <v/>
      </c>
      <c r="E406" s="1" t="str">
        <f>IF(KnockoutGoals!A57="","",KnockoutGoals!E57)</f>
        <v/>
      </c>
      <c r="F406" s="1" t="str">
        <f>IF(KnockoutGoals!A57="","",KnockoutGoals!F57)</f>
        <v/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 t="str">
        <f>IF(KnockoutGoals!A58="","",KnockoutGoals!A58)</f>
        <v/>
      </c>
      <c r="B407" s="1" t="str">
        <f>IF(KnockoutGoals!A58="","",KnockoutGoals!B58)</f>
        <v/>
      </c>
      <c r="C407" s="1" t="str">
        <f>IF(KnockoutGoals!A58="","",KnockoutGoals!C58)</f>
        <v/>
      </c>
      <c r="D407" s="1" t="str">
        <f>IF(KnockoutGoals!A58="","",KnockoutGoals!D58)</f>
        <v/>
      </c>
      <c r="E407" s="1" t="str">
        <f>IF(KnockoutGoals!A58="","",KnockoutGoals!E58)</f>
        <v/>
      </c>
      <c r="F407" s="1" t="str">
        <f>IF(KnockoutGoals!A58="","",KnockoutGoals!F58)</f>
        <v/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 t="str">
        <f>IF(KnockoutGoals!A59="","",KnockoutGoals!A59)</f>
        <v/>
      </c>
      <c r="B408" s="1" t="str">
        <f>IF(KnockoutGoals!A59="","",KnockoutGoals!B59)</f>
        <v/>
      </c>
      <c r="C408" s="1" t="str">
        <f>IF(KnockoutGoals!A59="","",KnockoutGoals!C59)</f>
        <v/>
      </c>
      <c r="D408" s="1" t="str">
        <f>IF(KnockoutGoals!A59="","",KnockoutGoals!D59)</f>
        <v/>
      </c>
      <c r="E408" s="1" t="str">
        <f>IF(KnockoutGoals!A59="","",KnockoutGoals!E59)</f>
        <v/>
      </c>
      <c r="F408" s="1" t="str">
        <f>IF(KnockoutGoals!A59="","",KnockoutGoals!F59)</f>
        <v/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 t="str">
        <f>IF(KnockoutGoals!A60="","",KnockoutGoals!A60)</f>
        <v/>
      </c>
      <c r="B409" s="1" t="str">
        <f>IF(KnockoutGoals!A60="","",KnockoutGoals!B60)</f>
        <v/>
      </c>
      <c r="C409" s="1" t="str">
        <f>IF(KnockoutGoals!A60="","",KnockoutGoals!C60)</f>
        <v/>
      </c>
      <c r="D409" s="1" t="str">
        <f>IF(KnockoutGoals!A60="","",KnockoutGoals!D60)</f>
        <v/>
      </c>
      <c r="E409" s="1" t="str">
        <f>IF(KnockoutGoals!A60="","",KnockoutGoals!E60)</f>
        <v/>
      </c>
      <c r="F409" s="1" t="str">
        <f>IF(KnockoutGoals!A60="","",KnockoutGoals!F60)</f>
        <v/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 t="str">
        <f>IF(KnockoutGoals!A61="","",KnockoutGoals!A61)</f>
        <v/>
      </c>
      <c r="B410" s="1" t="str">
        <f>IF(KnockoutGoals!A61="","",KnockoutGoals!B61)</f>
        <v/>
      </c>
      <c r="C410" s="1" t="str">
        <f>IF(KnockoutGoals!A61="","",KnockoutGoals!C61)</f>
        <v/>
      </c>
      <c r="D410" s="1" t="str">
        <f>IF(KnockoutGoals!A61="","",KnockoutGoals!D61)</f>
        <v/>
      </c>
      <c r="E410" s="1" t="str">
        <f>IF(KnockoutGoals!A61="","",KnockoutGoals!E61)</f>
        <v/>
      </c>
      <c r="F410" s="1" t="str">
        <f>IF(KnockoutGoals!A61="","",KnockoutGoals!F61)</f>
        <v/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 t="str">
        <f>IF(KnockoutGoals!A62="","",KnockoutGoals!A62)</f>
        <v/>
      </c>
      <c r="B411" s="1" t="str">
        <f>IF(KnockoutGoals!A62="","",KnockoutGoals!B62)</f>
        <v/>
      </c>
      <c r="C411" s="1" t="str">
        <f>IF(KnockoutGoals!A62="","",KnockoutGoals!C62)</f>
        <v/>
      </c>
      <c r="D411" s="1" t="str">
        <f>IF(KnockoutGoals!A62="","",KnockoutGoals!D62)</f>
        <v/>
      </c>
      <c r="E411" s="1" t="str">
        <f>IF(KnockoutGoals!A62="","",KnockoutGoals!E62)</f>
        <v/>
      </c>
      <c r="F411" s="1" t="str">
        <f>IF(KnockoutGoals!A62="","",KnockoutGoals!F62)</f>
        <v/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 t="str">
        <f>IF(KnockoutGoals!A63="","",KnockoutGoals!A63)</f>
        <v/>
      </c>
      <c r="B412" s="1" t="str">
        <f>IF(KnockoutGoals!A63="","",KnockoutGoals!B63)</f>
        <v/>
      </c>
      <c r="C412" s="1" t="str">
        <f>IF(KnockoutGoals!A63="","",KnockoutGoals!C63)</f>
        <v/>
      </c>
      <c r="D412" s="1" t="str">
        <f>IF(KnockoutGoals!A63="","",KnockoutGoals!D63)</f>
        <v/>
      </c>
      <c r="E412" s="1" t="str">
        <f>IF(KnockoutGoals!A63="","",KnockoutGoals!E63)</f>
        <v/>
      </c>
      <c r="F412" s="1" t="str">
        <f>IF(KnockoutGoals!A63="","",KnockoutGoals!F63)</f>
        <v/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 t="str">
        <f>IF(KnockoutGoals!A64="","",KnockoutGoals!A64)</f>
        <v/>
      </c>
      <c r="B413" s="1" t="str">
        <f>IF(KnockoutGoals!A64="","",KnockoutGoals!B64)</f>
        <v/>
      </c>
      <c r="C413" s="1" t="str">
        <f>IF(KnockoutGoals!A64="","",KnockoutGoals!C64)</f>
        <v/>
      </c>
      <c r="D413" s="1" t="str">
        <f>IF(KnockoutGoals!A64="","",KnockoutGoals!D64)</f>
        <v/>
      </c>
      <c r="E413" s="1" t="str">
        <f>IF(KnockoutGoals!A64="","",KnockoutGoals!E64)</f>
        <v/>
      </c>
      <c r="F413" s="1" t="str">
        <f>IF(KnockoutGoals!A64="","",KnockoutGoals!F64)</f>
        <v/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 t="str">
        <f>IF(KnockoutGoals!A65="","",KnockoutGoals!A65)</f>
        <v/>
      </c>
      <c r="B414" s="1" t="str">
        <f>IF(KnockoutGoals!A65="","",KnockoutGoals!B65)</f>
        <v/>
      </c>
      <c r="C414" s="1" t="str">
        <f>IF(KnockoutGoals!A65="","",KnockoutGoals!C65)</f>
        <v/>
      </c>
      <c r="D414" s="1" t="str">
        <f>IF(KnockoutGoals!A65="","",KnockoutGoals!D65)</f>
        <v/>
      </c>
      <c r="E414" s="1" t="str">
        <f>IF(KnockoutGoals!A65="","",KnockoutGoals!E65)</f>
        <v/>
      </c>
      <c r="F414" s="1" t="str">
        <f>IF(KnockoutGoals!A65="","",KnockoutGoals!F65)</f>
        <v/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 t="str">
        <f>IF(KnockoutGoals!A66="","",KnockoutGoals!A66)</f>
        <v/>
      </c>
      <c r="B415" s="1" t="str">
        <f>IF(KnockoutGoals!A66="","",KnockoutGoals!B66)</f>
        <v/>
      </c>
      <c r="C415" s="1" t="str">
        <f>IF(KnockoutGoals!A66="","",KnockoutGoals!C66)</f>
        <v/>
      </c>
      <c r="D415" s="1" t="str">
        <f>IF(KnockoutGoals!A66="","",KnockoutGoals!D66)</f>
        <v/>
      </c>
      <c r="E415" s="1" t="str">
        <f>IF(KnockoutGoals!A66="","",KnockoutGoals!E66)</f>
        <v/>
      </c>
      <c r="F415" s="1" t="str">
        <f>IF(KnockoutGoals!A66="","",KnockoutGoals!F66)</f>
        <v/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 t="str">
        <f>IF(KnockoutGoals!A67="","",KnockoutGoals!A67)</f>
        <v/>
      </c>
      <c r="B416" s="1" t="str">
        <f>IF(KnockoutGoals!A67="","",KnockoutGoals!B67)</f>
        <v/>
      </c>
      <c r="C416" s="1" t="str">
        <f>IF(KnockoutGoals!A67="","",KnockoutGoals!C67)</f>
        <v/>
      </c>
      <c r="D416" s="1" t="str">
        <f>IF(KnockoutGoals!A67="","",KnockoutGoals!D67)</f>
        <v/>
      </c>
      <c r="E416" s="1" t="str">
        <f>IF(KnockoutGoals!A67="","",KnockoutGoals!E67)</f>
        <v/>
      </c>
      <c r="F416" s="1" t="str">
        <f>IF(KnockoutGoals!A67="","",KnockoutGoals!F67)</f>
        <v/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 t="str">
        <f>IF(KnockoutGoals!A68="","",KnockoutGoals!A68)</f>
        <v/>
      </c>
      <c r="B417" s="1" t="str">
        <f>IF(KnockoutGoals!A68="","",KnockoutGoals!B68)</f>
        <v/>
      </c>
      <c r="C417" s="1" t="str">
        <f>IF(KnockoutGoals!A68="","",KnockoutGoals!C68)</f>
        <v/>
      </c>
      <c r="D417" s="1" t="str">
        <f>IF(KnockoutGoals!A68="","",KnockoutGoals!D68)</f>
        <v/>
      </c>
      <c r="E417" s="1" t="str">
        <f>IF(KnockoutGoals!A68="","",KnockoutGoals!E68)</f>
        <v/>
      </c>
      <c r="F417" s="1" t="str">
        <f>IF(KnockoutGoals!A68="","",KnockoutGoals!F68)</f>
        <v/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 t="str">
        <f>IF(KnockoutGoals!A69="","",KnockoutGoals!A69)</f>
        <v/>
      </c>
      <c r="B418" s="1" t="str">
        <f>IF(KnockoutGoals!A69="","",KnockoutGoals!B69)</f>
        <v/>
      </c>
      <c r="C418" s="1" t="str">
        <f>IF(KnockoutGoals!A69="","",KnockoutGoals!C69)</f>
        <v/>
      </c>
      <c r="D418" s="1" t="str">
        <f>IF(KnockoutGoals!A69="","",KnockoutGoals!D69)</f>
        <v/>
      </c>
      <c r="E418" s="1" t="str">
        <f>IF(KnockoutGoals!A69="","",KnockoutGoals!E69)</f>
        <v/>
      </c>
      <c r="F418" s="1" t="str">
        <f>IF(KnockoutGoals!A69="","",KnockoutGoals!F69)</f>
        <v/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 t="str">
        <f>IF(KnockoutGoals!A70="","",KnockoutGoals!A70)</f>
        <v/>
      </c>
      <c r="B419" s="1" t="str">
        <f>IF(KnockoutGoals!A70="","",KnockoutGoals!B70)</f>
        <v/>
      </c>
      <c r="C419" s="1" t="str">
        <f>IF(KnockoutGoals!A70="","",KnockoutGoals!C70)</f>
        <v/>
      </c>
      <c r="D419" s="1" t="str">
        <f>IF(KnockoutGoals!A70="","",KnockoutGoals!D70)</f>
        <v/>
      </c>
      <c r="E419" s="1" t="str">
        <f>IF(KnockoutGoals!A70="","",KnockoutGoals!E70)</f>
        <v/>
      </c>
      <c r="F419" s="1" t="str">
        <f>IF(KnockoutGoals!A70="","",KnockoutGoals!F70)</f>
        <v/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 t="str">
        <f>IF(KnockoutGoals!A71="","",KnockoutGoals!A71)</f>
        <v/>
      </c>
      <c r="B420" s="1" t="str">
        <f>IF(KnockoutGoals!A71="","",KnockoutGoals!B71)</f>
        <v/>
      </c>
      <c r="C420" s="1" t="str">
        <f>IF(KnockoutGoals!A71="","",KnockoutGoals!C71)</f>
        <v/>
      </c>
      <c r="D420" s="1" t="str">
        <f>IF(KnockoutGoals!A71="","",KnockoutGoals!D71)</f>
        <v/>
      </c>
      <c r="E420" s="1" t="str">
        <f>IF(KnockoutGoals!A71="","",KnockoutGoals!E71)</f>
        <v/>
      </c>
      <c r="F420" s="1" t="str">
        <f>IF(KnockoutGoals!A71="","",KnockoutGoals!F71)</f>
        <v/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 t="str">
        <f>IF(KnockoutGoals!A72="","",KnockoutGoals!A72)</f>
        <v/>
      </c>
      <c r="B421" s="1" t="str">
        <f>IF(KnockoutGoals!A72="","",KnockoutGoals!B72)</f>
        <v/>
      </c>
      <c r="C421" s="1" t="str">
        <f>IF(KnockoutGoals!A72="","",KnockoutGoals!C72)</f>
        <v/>
      </c>
      <c r="D421" s="1" t="str">
        <f>IF(KnockoutGoals!A72="","",KnockoutGoals!D72)</f>
        <v/>
      </c>
      <c r="E421" s="1" t="str">
        <f>IF(KnockoutGoals!A72="","",KnockoutGoals!E72)</f>
        <v/>
      </c>
      <c r="F421" s="1" t="str">
        <f>IF(KnockoutGoals!A72="","",KnockoutGoals!F72)</f>
        <v/>
      </c>
      <c r="G421" s="1"/>
      <c r="H421" s="1"/>
      <c r="I421" s="1"/>
      <c r="J421" s="1"/>
      <c r="K421" s="1"/>
      <c r="L421" s="1"/>
      <c r="M421" s="1"/>
    </row>
    <row r="422" spans="1:26" x14ac:dyDescent="0.3">
      <c r="A422" s="1" t="str">
        <f>IF(KnockoutGoals!A73="","",KnockoutGoals!A73)</f>
        <v/>
      </c>
      <c r="B422" s="1" t="str">
        <f>IF(KnockoutGoals!A73="","",KnockoutGoals!B73)</f>
        <v/>
      </c>
      <c r="C422" s="1" t="str">
        <f>IF(KnockoutGoals!A73="","",KnockoutGoals!C73)</f>
        <v/>
      </c>
      <c r="D422" s="1" t="str">
        <f>IF(KnockoutGoals!A73="","",KnockoutGoals!D73)</f>
        <v/>
      </c>
      <c r="E422" s="1" t="str">
        <f>IF(KnockoutGoals!A73="","",KnockoutGoals!E73)</f>
        <v/>
      </c>
      <c r="F422" s="1" t="str">
        <f>IF(KnockoutGoals!A73="","",KnockoutGoals!F73)</f>
        <v/>
      </c>
      <c r="G422" s="1"/>
      <c r="H422" s="1"/>
      <c r="I422" s="1"/>
      <c r="J422" s="1"/>
      <c r="K422" s="1"/>
      <c r="L422" s="1"/>
      <c r="M422" s="1"/>
    </row>
    <row r="423" spans="1:26" x14ac:dyDescent="0.3">
      <c r="A423" s="1" t="str">
        <f>IF(KnockoutGoals!A74="","",KnockoutGoals!A74)</f>
        <v/>
      </c>
      <c r="B423" s="1" t="str">
        <f>IF(KnockoutGoals!A74="","",KnockoutGoals!B74)</f>
        <v/>
      </c>
      <c r="C423" s="1" t="str">
        <f>IF(KnockoutGoals!A74="","",KnockoutGoals!C74)</f>
        <v/>
      </c>
      <c r="D423" s="1" t="str">
        <f>IF(KnockoutGoals!A74="","",KnockoutGoals!D74)</f>
        <v/>
      </c>
      <c r="E423" s="1" t="str">
        <f>IF(KnockoutGoals!A74="","",KnockoutGoals!E74)</f>
        <v/>
      </c>
      <c r="F423" s="1" t="str">
        <f>IF(KnockoutGoals!A74="","",KnockoutGoals!F74)</f>
        <v/>
      </c>
      <c r="G423" s="1"/>
      <c r="H423" s="1"/>
      <c r="I423" s="1"/>
      <c r="J423" s="1"/>
      <c r="K423" s="1"/>
      <c r="L423" s="1"/>
      <c r="M423" s="1"/>
    </row>
    <row r="424" spans="1:26" x14ac:dyDescent="0.3">
      <c r="A424" s="1" t="str">
        <f>IF(KnockoutGoals!A75="","",KnockoutGoals!A75)</f>
        <v/>
      </c>
      <c r="B424" s="1" t="str">
        <f>IF(KnockoutGoals!A75="","",KnockoutGoals!B75)</f>
        <v/>
      </c>
      <c r="C424" s="1" t="str">
        <f>IF(KnockoutGoals!A75="","",KnockoutGoals!C75)</f>
        <v/>
      </c>
      <c r="D424" s="1" t="str">
        <f>IF(KnockoutGoals!A75="","",KnockoutGoals!D75)</f>
        <v/>
      </c>
      <c r="E424" s="1" t="str">
        <f>IF(KnockoutGoals!A75="","",KnockoutGoals!E75)</f>
        <v/>
      </c>
      <c r="F424" s="1" t="str">
        <f>IF(KnockoutGoals!A75="","",KnockoutGoals!F75)</f>
        <v/>
      </c>
      <c r="G424" s="1"/>
      <c r="H424" s="1"/>
      <c r="I424" s="1"/>
      <c r="J424" s="1"/>
      <c r="K424" s="1"/>
      <c r="L424" s="1"/>
      <c r="M424" s="1"/>
    </row>
    <row r="425" spans="1:26" x14ac:dyDescent="0.3">
      <c r="A425" s="1" t="str">
        <f>IF(KnockoutGoals!A76="","",KnockoutGoals!A76)</f>
        <v/>
      </c>
      <c r="B425" s="1" t="str">
        <f>IF(KnockoutGoals!A76="","",KnockoutGoals!B76)</f>
        <v/>
      </c>
      <c r="C425" s="1" t="str">
        <f>IF(KnockoutGoals!A76="","",KnockoutGoals!C76)</f>
        <v/>
      </c>
      <c r="D425" s="1" t="str">
        <f>IF(KnockoutGoals!A76="","",KnockoutGoals!D76)</f>
        <v/>
      </c>
      <c r="E425" s="1" t="str">
        <f>IF(KnockoutGoals!A76="","",KnockoutGoals!E76)</f>
        <v/>
      </c>
      <c r="F425" s="1" t="str">
        <f>IF(KnockoutGoals!A76="","",KnockoutGoals!F76)</f>
        <v/>
      </c>
      <c r="G425" s="1"/>
      <c r="H425" s="1"/>
      <c r="I425" s="1"/>
      <c r="J425" s="1"/>
      <c r="K425" s="1"/>
      <c r="L425" s="1"/>
      <c r="M425" s="1"/>
    </row>
    <row r="426" spans="1:26" x14ac:dyDescent="0.3">
      <c r="A426" s="1" t="str">
        <f>IF(KnockoutGoals!A77="","",KnockoutGoals!A77)</f>
        <v/>
      </c>
      <c r="B426" s="1" t="str">
        <f>IF(KnockoutGoals!A77="","",KnockoutGoals!B77)</f>
        <v/>
      </c>
      <c r="C426" s="1" t="str">
        <f>IF(KnockoutGoals!A77="","",KnockoutGoals!C77)</f>
        <v/>
      </c>
      <c r="D426" s="1" t="str">
        <f>IF(KnockoutGoals!A77="","",KnockoutGoals!D77)</f>
        <v/>
      </c>
      <c r="E426" s="1" t="str">
        <f>IF(KnockoutGoals!A77="","",KnockoutGoals!E77)</f>
        <v/>
      </c>
      <c r="F426" s="1" t="str">
        <f>IF(KnockoutGoals!A77="","",KnockoutGoals!F77)</f>
        <v/>
      </c>
      <c r="G426" s="1"/>
      <c r="H426" s="1"/>
      <c r="I426" s="1"/>
      <c r="J426" s="1"/>
      <c r="K426" s="1"/>
      <c r="L426" s="1"/>
      <c r="M426" s="1"/>
    </row>
    <row r="427" spans="1:26" x14ac:dyDescent="0.3">
      <c r="A427" s="1" t="str">
        <f>IF(KnockoutGoals!A78="","",KnockoutGoals!A78)</f>
        <v/>
      </c>
      <c r="B427" s="1" t="str">
        <f>IF(KnockoutGoals!A78="","",KnockoutGoals!B78)</f>
        <v/>
      </c>
      <c r="C427" s="1" t="str">
        <f>IF(KnockoutGoals!A78="","",KnockoutGoals!C78)</f>
        <v/>
      </c>
      <c r="D427" s="1" t="str">
        <f>IF(KnockoutGoals!A78="","",KnockoutGoals!D78)</f>
        <v/>
      </c>
      <c r="E427" s="1" t="str">
        <f>IF(KnockoutGoals!A78="","",KnockoutGoals!E78)</f>
        <v/>
      </c>
      <c r="F427" s="1" t="str">
        <f>IF(KnockoutGoals!A78="","",KnockoutGoals!F78)</f>
        <v/>
      </c>
      <c r="G427" s="1"/>
      <c r="H427" s="1"/>
      <c r="I427" s="1"/>
      <c r="J427" s="1"/>
      <c r="K427" s="1"/>
      <c r="L427" s="1"/>
      <c r="M427" s="1"/>
    </row>
    <row r="428" spans="1:26" x14ac:dyDescent="0.3">
      <c r="A428" s="1" t="str">
        <f>IF(KnockoutGoals!A79="","",KnockoutGoals!A79)</f>
        <v/>
      </c>
      <c r="B428" s="1" t="str">
        <f>IF(KnockoutGoals!A79="","",KnockoutGoals!B79)</f>
        <v/>
      </c>
      <c r="C428" s="1" t="str">
        <f>IF(KnockoutGoals!A79="","",KnockoutGoals!C79)</f>
        <v/>
      </c>
      <c r="D428" s="1" t="str">
        <f>IF(KnockoutGoals!A79="","",KnockoutGoals!D79)</f>
        <v/>
      </c>
      <c r="E428" s="1" t="str">
        <f>IF(KnockoutGoals!A79="","",KnockoutGoals!E79)</f>
        <v/>
      </c>
      <c r="F428" s="1" t="str">
        <f>IF(KnockoutGoals!A79="","",KnockoutGoals!F79)</f>
        <v/>
      </c>
      <c r="G428" s="1"/>
      <c r="H428" s="1"/>
      <c r="I428" s="1"/>
      <c r="J428" s="1"/>
      <c r="K428" s="1"/>
      <c r="L428" s="1"/>
      <c r="M428" s="1"/>
    </row>
    <row r="429" spans="1:26" x14ac:dyDescent="0.3">
      <c r="A429" s="1" t="str">
        <f>IF(KnockoutGoals!A80="","",KnockoutGoals!A80)</f>
        <v/>
      </c>
      <c r="B429" s="1" t="str">
        <f>IF(KnockoutGoals!A80="","",KnockoutGoals!B80)</f>
        <v/>
      </c>
      <c r="C429" s="1" t="str">
        <f>IF(KnockoutGoals!A80="","",KnockoutGoals!C80)</f>
        <v/>
      </c>
      <c r="D429" s="1" t="str">
        <f>IF(KnockoutGoals!A80="","",KnockoutGoals!D80)</f>
        <v/>
      </c>
      <c r="E429" s="1" t="str">
        <f>IF(KnockoutGoals!A80="","",KnockoutGoals!E80)</f>
        <v/>
      </c>
      <c r="F429" s="1" t="str">
        <f>IF(KnockoutGoals!A80="","",KnockoutGoals!F80)</f>
        <v/>
      </c>
      <c r="G429" s="1"/>
      <c r="H429" s="1"/>
      <c r="I429" s="1"/>
      <c r="J429" s="1"/>
      <c r="K429" s="1"/>
      <c r="L429" s="1"/>
      <c r="M429" s="1"/>
    </row>
    <row r="430" spans="1:26" x14ac:dyDescent="0.3">
      <c r="A430" s="1" t="str">
        <f>IF(KnockoutGoals!A81="","",KnockoutGoals!A81)</f>
        <v/>
      </c>
      <c r="B430" s="1" t="str">
        <f>IF(KnockoutGoals!A81="","",KnockoutGoals!B81)</f>
        <v/>
      </c>
      <c r="C430" s="1" t="str">
        <f>IF(KnockoutGoals!A81="","",KnockoutGoals!C81)</f>
        <v/>
      </c>
      <c r="D430" s="1" t="str">
        <f>IF(KnockoutGoals!A81="","",KnockoutGoals!D81)</f>
        <v/>
      </c>
      <c r="E430" s="1" t="str">
        <f>IF(KnockoutGoals!A81="","",KnockoutGoals!E81)</f>
        <v/>
      </c>
      <c r="F430" s="1" t="str">
        <f>IF(KnockoutGoals!A81="","",KnockoutGoals!F81)</f>
        <v/>
      </c>
      <c r="G430" s="1"/>
      <c r="H430" s="1"/>
      <c r="I430" s="1"/>
      <c r="J430" s="1"/>
      <c r="K430" s="1"/>
      <c r="L430" s="1"/>
      <c r="M430" s="1"/>
    </row>
    <row r="431" spans="1:26" x14ac:dyDescent="0.3">
      <c r="A431" s="1" t="str">
        <f>IF(KnockoutGoals!A82="","",KnockoutGoals!A82)</f>
        <v/>
      </c>
      <c r="B431" s="1" t="str">
        <f>IF(KnockoutGoals!A82="","",KnockoutGoals!B82)</f>
        <v/>
      </c>
      <c r="C431" s="1" t="str">
        <f>IF(KnockoutGoals!A82="","",KnockoutGoals!C82)</f>
        <v/>
      </c>
      <c r="D431" s="1" t="str">
        <f>IF(KnockoutGoals!A82="","",KnockoutGoals!D82)</f>
        <v/>
      </c>
      <c r="E431" s="1" t="str">
        <f>IF(KnockoutGoals!A82="","",KnockoutGoals!E82)</f>
        <v/>
      </c>
      <c r="F431" s="1" t="str">
        <f>IF(KnockoutGoals!A82="","",KnockoutGoals!F82)</f>
        <v/>
      </c>
      <c r="G431" s="1"/>
      <c r="H431" s="1"/>
      <c r="I431" s="1"/>
      <c r="J431" s="1"/>
      <c r="K431" s="1"/>
      <c r="L431" s="1"/>
      <c r="M431" s="1"/>
    </row>
    <row r="432" spans="1:26" x14ac:dyDescent="0.3">
      <c r="A432" s="1" t="str">
        <f>IF(KnockoutGoals!A83="","",KnockoutGoals!A83)</f>
        <v/>
      </c>
      <c r="B432" s="1" t="str">
        <f>IF(KnockoutGoals!A83="","",KnockoutGoals!B83)</f>
        <v/>
      </c>
      <c r="C432" s="1" t="str">
        <f>IF(KnockoutGoals!A83="","",KnockoutGoals!C83)</f>
        <v/>
      </c>
      <c r="D432" s="1" t="str">
        <f>IF(KnockoutGoals!A83="","",KnockoutGoals!D83)</f>
        <v/>
      </c>
      <c r="E432" s="1" t="str">
        <f>IF(KnockoutGoals!A83="","",KnockoutGoals!E83)</f>
        <v/>
      </c>
      <c r="F432" s="1" t="str">
        <f>IF(KnockoutGoals!A83="","",KnockoutGoals!F83)</f>
        <v/>
      </c>
      <c r="G432" s="1"/>
      <c r="H432" s="1"/>
      <c r="I432" s="1"/>
      <c r="J432" s="1"/>
      <c r="K432" s="1"/>
      <c r="L432" s="1"/>
      <c r="M432" s="1"/>
    </row>
    <row r="433" spans="1:13" x14ac:dyDescent="0.3">
      <c r="A433" s="1" t="str">
        <f>IF(KnockoutGoals!A84="","",KnockoutGoals!A84)</f>
        <v/>
      </c>
      <c r="B433" s="1" t="str">
        <f>IF(KnockoutGoals!A84="","",KnockoutGoals!B84)</f>
        <v/>
      </c>
      <c r="C433" s="1" t="str">
        <f>IF(KnockoutGoals!A84="","",KnockoutGoals!C84)</f>
        <v/>
      </c>
      <c r="D433" s="1" t="str">
        <f>IF(KnockoutGoals!A84="","",KnockoutGoals!D84)</f>
        <v/>
      </c>
      <c r="E433" s="1" t="str">
        <f>IF(KnockoutGoals!A84="","",KnockoutGoals!E84)</f>
        <v/>
      </c>
      <c r="F433" s="1" t="str">
        <f>IF(KnockoutGoals!A84="","",KnockoutGoals!F84)</f>
        <v/>
      </c>
      <c r="G433" s="1"/>
      <c r="H433" s="1"/>
      <c r="I433" s="1"/>
      <c r="J433" s="1"/>
      <c r="K433" s="1"/>
      <c r="L433" s="1"/>
      <c r="M433" s="1"/>
    </row>
    <row r="434" spans="1:13" x14ac:dyDescent="0.3">
      <c r="A434" s="1" t="str">
        <f>IF(KnockoutGoals!A85="","",KnockoutGoals!A85)</f>
        <v/>
      </c>
      <c r="B434" s="1" t="str">
        <f>IF(KnockoutGoals!A85="","",KnockoutGoals!B85)</f>
        <v/>
      </c>
      <c r="C434" s="1" t="str">
        <f>IF(KnockoutGoals!A85="","",KnockoutGoals!C85)</f>
        <v/>
      </c>
      <c r="D434" s="1" t="str">
        <f>IF(KnockoutGoals!A85="","",KnockoutGoals!D85)</f>
        <v/>
      </c>
      <c r="E434" s="1" t="str">
        <f>IF(KnockoutGoals!A85="","",KnockoutGoals!E85)</f>
        <v/>
      </c>
      <c r="F434" s="1" t="str">
        <f>IF(KnockoutGoals!A85="","",KnockoutGoals!F85)</f>
        <v/>
      </c>
      <c r="G434" s="1"/>
      <c r="H434" s="1"/>
      <c r="I434" s="1"/>
      <c r="J434" s="1"/>
      <c r="K434" s="1"/>
      <c r="L434" s="1"/>
      <c r="M434" s="1"/>
    </row>
  </sheetData>
  <mergeCells count="5">
    <mergeCell ref="A23:S23"/>
    <mergeCell ref="A61:M61"/>
    <mergeCell ref="N3:Q3"/>
    <mergeCell ref="A3:L3"/>
    <mergeCell ref="A51:M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README</vt:lpstr>
      <vt:lpstr>Settings</vt:lpstr>
      <vt:lpstr>Teams</vt:lpstr>
      <vt:lpstr>Rosters</vt:lpstr>
      <vt:lpstr>Players</vt:lpstr>
      <vt:lpstr>Matches</vt:lpstr>
      <vt:lpstr>Goals</vt:lpstr>
      <vt:lpstr>ScorerData</vt:lpstr>
      <vt:lpstr>TopScorers</vt:lpstr>
      <vt:lpstr>StandingsData</vt:lpstr>
      <vt:lpstr>Standings</vt:lpstr>
      <vt:lpstr>Knockout</vt:lpstr>
      <vt:lpstr>KnockoutGoals</vt:lpstr>
      <vt:lpstr>NoBounce</vt:lpstr>
      <vt:lpstr>Validation</vt:lpstr>
      <vt:lpstr>Export</vt:lpstr>
      <vt:lpstr>TeamList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Moretto</dc:creator>
  <cp:lastModifiedBy>Daniele Moretto</cp:lastModifiedBy>
  <dcterms:created xsi:type="dcterms:W3CDTF">2026-06-27T07:20:54Z</dcterms:created>
  <dcterms:modified xsi:type="dcterms:W3CDTF">2026-07-04T13:33:19Z</dcterms:modified>
</cp:coreProperties>
</file>