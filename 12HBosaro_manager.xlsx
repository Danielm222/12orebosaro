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12orebosaro\"/>
    </mc:Choice>
  </mc:AlternateContent>
  <xr:revisionPtr revIDLastSave="0" documentId="13_ncr:1_{B7FF8C75-E970-45AF-B9DB-66F9E183BD14}" xr6:coauthVersionLast="47" xr6:coauthVersionMax="47" xr10:uidLastSave="{00000000-0000-0000-0000-000000000000}"/>
  <bookViews>
    <workbookView xWindow="-108" yWindow="-108" windowWidth="23256" windowHeight="12576" firstSheet="1" activeTab="3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NoBounce" sheetId="16" r:id="rId14"/>
    <sheet name="Validation" sheetId="14" r:id="rId15"/>
    <sheet name="Export" sheetId="15" r:id="rId16"/>
  </sheets>
  <definedNames>
    <definedName name="_xlnm._FilterDatabase" localSheetId="12" hidden="1">KnockoutGoals!$A$1:$K$85</definedName>
    <definedName name="_xlnm._FilterDatabase" localSheetId="13" hidden="1">NoBounce!$A$1:$C$101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 s="1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A63" i="13" s="1"/>
  <c r="D63" i="13" s="1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 s="1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16" i="13" l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D77" i="13" s="1"/>
  <c r="A74" i="13"/>
  <c r="D74" i="13" s="1"/>
  <c r="A66" i="13"/>
  <c r="D66" i="13" s="1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A14" i="7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D274" i="7" s="1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35" i="15"/>
  <c r="E335" i="15"/>
  <c r="D335" i="15"/>
  <c r="C335" i="15"/>
  <c r="B335" i="15"/>
  <c r="A335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E426" i="15"/>
  <c r="A426" i="15"/>
  <c r="E423" i="15"/>
  <c r="A423" i="15"/>
  <c r="E416" i="15"/>
  <c r="A416" i="15"/>
  <c r="E415" i="15"/>
  <c r="A415" i="15"/>
  <c r="E412" i="15"/>
  <c r="A412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G250" i="5" l="1"/>
  <c r="G74" i="5"/>
  <c r="C74" i="8" s="1"/>
  <c r="D16" i="13"/>
  <c r="A365" i="15"/>
  <c r="E365" i="15"/>
  <c r="B16" i="13"/>
  <c r="B77" i="13"/>
  <c r="B74" i="13"/>
  <c r="B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F96" i="15"/>
  <c r="E96" i="15"/>
  <c r="D96" i="15"/>
  <c r="C96" i="15"/>
  <c r="B96" i="15"/>
  <c r="A96" i="15"/>
  <c r="C46" i="7"/>
  <c r="F45" i="7"/>
  <c r="H45" i="7" s="1"/>
  <c r="C45" i="7"/>
  <c r="G43" i="7"/>
  <c r="F43" i="7"/>
  <c r="H43" i="7" s="1"/>
  <c r="C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F46" i="7"/>
  <c r="H46" i="7" s="1"/>
  <c r="B43" i="7"/>
  <c r="F35" i="7"/>
  <c r="H35" i="7" s="1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F44" i="7"/>
  <c r="H44" i="7" s="1"/>
  <c r="C44" i="7"/>
  <c r="G37" i="7"/>
  <c r="C37" i="7"/>
  <c r="G35" i="7"/>
  <c r="C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F47" i="7"/>
  <c r="H47" i="7" s="1"/>
  <c r="C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F64" i="7"/>
  <c r="H64" i="7" s="1"/>
  <c r="C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F95" i="15"/>
  <c r="E95" i="15"/>
  <c r="D95" i="15"/>
  <c r="C95" i="15"/>
  <c r="B95" i="15"/>
  <c r="A95" i="15"/>
  <c r="F94" i="15"/>
  <c r="E94" i="15"/>
  <c r="D94" i="15"/>
  <c r="C94" i="15"/>
  <c r="B94" i="15"/>
  <c r="A94" i="15"/>
  <c r="F93" i="15"/>
  <c r="E93" i="15"/>
  <c r="D93" i="15"/>
  <c r="C93" i="15"/>
  <c r="B93" i="15"/>
  <c r="A93" i="15"/>
  <c r="F92" i="15"/>
  <c r="E92" i="15"/>
  <c r="D92" i="15"/>
  <c r="C92" i="15"/>
  <c r="B92" i="15"/>
  <c r="A92" i="15"/>
  <c r="F91" i="15"/>
  <c r="E91" i="15"/>
  <c r="D91" i="15"/>
  <c r="C91" i="15"/>
  <c r="B91" i="15"/>
  <c r="A91" i="15"/>
  <c r="F90" i="15"/>
  <c r="E90" i="15"/>
  <c r="D90" i="15"/>
  <c r="C90" i="15"/>
  <c r="B90" i="15"/>
  <c r="A90" i="15"/>
  <c r="F89" i="15"/>
  <c r="E89" i="15"/>
  <c r="D89" i="15"/>
  <c r="C89" i="15"/>
  <c r="B89" i="15"/>
  <c r="A89" i="15"/>
  <c r="F88" i="15"/>
  <c r="E88" i="15"/>
  <c r="D88" i="15"/>
  <c r="C88" i="15"/>
  <c r="B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F33" i="7"/>
  <c r="H33" i="7" s="1"/>
  <c r="C33" i="7"/>
  <c r="B33" i="7"/>
  <c r="G32" i="7"/>
  <c r="F32" i="7"/>
  <c r="H32" i="7" s="1"/>
  <c r="C32" i="7"/>
  <c r="B32" i="7"/>
  <c r="G31" i="7"/>
  <c r="F31" i="7"/>
  <c r="H31" i="7" s="1"/>
  <c r="C31" i="7"/>
  <c r="B31" i="7"/>
  <c r="F30" i="7"/>
  <c r="H30" i="7" s="1"/>
  <c r="B30" i="7"/>
  <c r="B29" i="7"/>
  <c r="G28" i="7"/>
  <c r="F28" i="7"/>
  <c r="H28" i="7" s="1"/>
  <c r="C28" i="7"/>
  <c r="B28" i="7"/>
  <c r="G27" i="7"/>
  <c r="F27" i="7"/>
  <c r="H27" i="7" s="1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F34" i="7"/>
  <c r="H34" i="7" s="1"/>
  <c r="C34" i="7"/>
  <c r="G30" i="7"/>
  <c r="C30" i="7"/>
  <c r="G29" i="7"/>
  <c r="F29" i="7"/>
  <c r="H29" i="7" s="1"/>
  <c r="C29" i="7"/>
  <c r="C27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F66" i="7"/>
  <c r="H66" i="7" s="1"/>
  <c r="B66" i="7"/>
  <c r="F65" i="7"/>
  <c r="H65" i="7" s="1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C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16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D250" i="8" l="1"/>
  <c r="E250" i="8" s="1"/>
  <c r="D74" i="8"/>
  <c r="E74" i="8" s="1"/>
  <c r="B423" i="15"/>
  <c r="C74" i="13"/>
  <c r="C423" i="15" s="1"/>
  <c r="D423" i="15"/>
  <c r="F74" i="13"/>
  <c r="G74" i="13"/>
  <c r="C77" i="13"/>
  <c r="C426" i="15" s="1"/>
  <c r="B426" i="15"/>
  <c r="G77" i="13"/>
  <c r="F77" i="13"/>
  <c r="D426" i="15"/>
  <c r="C15" i="7"/>
  <c r="C76" i="15" s="1"/>
  <c r="F14" i="7"/>
  <c r="F19" i="7"/>
  <c r="G19" i="7"/>
  <c r="D160" i="15"/>
  <c r="G99" i="7"/>
  <c r="F99" i="7"/>
  <c r="F18" i="7"/>
  <c r="G18" i="7"/>
  <c r="F15" i="7"/>
  <c r="G15" i="7"/>
  <c r="G3" i="7"/>
  <c r="F3" i="7"/>
  <c r="D369" i="8" s="1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D365" i="8" s="1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D127" i="8" s="1"/>
  <c r="E127" i="8" s="1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D394" i="8" s="1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2" i="8"/>
  <c r="D372" i="8"/>
  <c r="D370" i="8"/>
  <c r="D367" i="8"/>
  <c r="D362" i="8"/>
  <c r="E362" i="8" s="1"/>
  <c r="C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D371" i="8" s="1"/>
  <c r="E371" i="8" s="1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D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D246" i="8" s="1"/>
  <c r="C38" i="13"/>
  <c r="C387" i="15" s="1"/>
  <c r="G29" i="13"/>
  <c r="F29" i="13"/>
  <c r="C29" i="13"/>
  <c r="C378" i="15" s="1"/>
  <c r="D217" i="8"/>
  <c r="E217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D161" i="8"/>
  <c r="E161" i="8" s="1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D153" i="8"/>
  <c r="E153" i="8" s="1"/>
  <c r="C152" i="8"/>
  <c r="D152" i="8"/>
  <c r="E152" i="8" s="1"/>
  <c r="C130" i="8"/>
  <c r="D130" i="8"/>
  <c r="E130" i="8" s="1"/>
  <c r="C129" i="8"/>
  <c r="D129" i="8"/>
  <c r="E129" i="8" s="1"/>
  <c r="C128" i="8"/>
  <c r="D128" i="8"/>
  <c r="E128" i="8" s="1"/>
  <c r="C127" i="8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458" i="8"/>
  <c r="E458" i="8" s="1"/>
  <c r="D460" i="8" l="1"/>
  <c r="E460" i="8" s="1"/>
  <c r="H74" i="13"/>
  <c r="F423" i="15"/>
  <c r="F426" i="15"/>
  <c r="H77" i="13"/>
  <c r="D425" i="8"/>
  <c r="E425" i="8" s="1"/>
  <c r="D461" i="8"/>
  <c r="E461" i="8" s="1"/>
  <c r="D364" i="8"/>
  <c r="E364" i="8" s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452" i="8"/>
  <c r="E401" i="8"/>
  <c r="E398" i="8"/>
  <c r="E363" i="8"/>
  <c r="E189" i="8"/>
  <c r="E396" i="8"/>
  <c r="E369" i="8"/>
  <c r="E182" i="8"/>
  <c r="E187" i="8"/>
  <c r="E185" i="8"/>
  <c r="E190" i="8"/>
  <c r="E365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Moretto</author>
  </authors>
  <commentList>
    <comment ref="C1" authorId="0" shapeId="0" xr:uid="{C9BD2AB1-B8EC-4D62-96EC-DDFB3031FB9A}">
      <text>
        <r>
          <rPr>
            <b/>
            <sz val="9"/>
            <color indexed="81"/>
            <rFont val="Tahoma"/>
            <family val="2"/>
          </rPr>
          <t>Modifica qui i punti: il sito ordina automaticamente la classifica dal valore più alto al più basso.</t>
        </r>
      </text>
    </comment>
  </commentList>
</comments>
</file>

<file path=xl/sharedStrings.xml><?xml version="1.0" encoding="utf-8"?>
<sst xmlns="http://schemas.openxmlformats.org/spreadsheetml/2006/main" count="891" uniqueCount="403">
  <si>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</si>
  <si>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</si>
  <si>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</si>
  <si>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</si>
  <si>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</si>
  <si>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</si>
  <si>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</si>
  <si>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</si>
  <si>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</si>
  <si>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</si>
  <si>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</si>
  <si>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</si>
  <si>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</si>
  <si>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</si>
  <si>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</si>
  <si>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</si>
  <si>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</si>
  <si>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</si>
  <si>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</si>
  <si>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</si>
  <si>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</si>
  <si>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</si>
  <si>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</si>
  <si>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</si>
  <si>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</si>
  <si>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</si>
  <si>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</si>
  <si>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</si>
  <si>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</si>
  <si>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</si>
  <si>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</si>
  <si>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</si>
  <si>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</si>
  <si>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</si>
  <si>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</si>
  <si>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</si>
  <si>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</si>
  <si>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</si>
  <si>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</si>
  <si>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</si>
  <si>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</si>
  <si>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</si>
  <si>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</si>
  <si>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</si>
  <si>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</si>
  <si>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</si>
  <si>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</si>
  <si>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</si>
  <si>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</si>
  <si>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</si>
  <si>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</si>
  <si>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</si>
  <si>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</si>
  <si>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</si>
  <si>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</si>
  <si>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</si>
  <si>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</si>
  <si>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</si>
  <si>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</si>
  <si>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</si>
  <si>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</si>
  <si>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</si>
  <si>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</si>
  <si>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</si>
  <si>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</si>
  <si>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</si>
  <si>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</si>
  <si>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</si>
  <si>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</si>
  <si>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</si>
  <si>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</si>
  <si>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</si>
  <si>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</si>
  <si>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</si>
  <si>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</si>
  <si>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</si>
  <si>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</si>
  <si>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</si>
  <si>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</si>
  <si>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</si>
  <si>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</si>
  <si>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</si>
  <si>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</si>
  <si>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</si>
  <si>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</si>
  <si>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</si>
  <si>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</si>
  <si>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</si>
  <si>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</si>
  <si>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</si>
  <si>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</si>
  <si>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</si>
  <si>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</si>
  <si>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</si>
  <si>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</si>
  <si>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</si>
  <si>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</si>
  <si>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</si>
  <si>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</si>
  <si>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</si>
  <si>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</si>
  <si>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</si>
  <si>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</si>
  <si>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</si>
  <si>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</si>
  <si>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</si>
  <si>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</si>
  <si>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</si>
  <si>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</si>
  <si>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</si>
  <si>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</si>
  <si>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</si>
  <si>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</si>
  <si>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</si>
  <si>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</si>
  <si>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</si>
  <si>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</si>
  <si>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</si>
  <si>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</si>
  <si>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</si>
  <si>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</si>
  <si>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</si>
  <si>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</si>
  <si>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</si>
  <si>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</si>
  <si>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</si>
  <si>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</si>
  <si>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</si>
  <si>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</si>
  <si>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</si>
  <si>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</si>
  <si>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</si>
  <si>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</si>
  <si>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</si>
  <si>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</si>
  <si>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</si>
  <si>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</si>
  <si>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</si>
  <si>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</si>
  <si>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</si>
  <si>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</si>
  <si>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</si>
  <si>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</si>
  <si>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</si>
  <si>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</si>
  <si>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FRANCESCO MARANGON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</si>
  <si>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</si>
  <si>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</si>
  <si>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</si>
  <si>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</si>
  <si>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</si>
  <si>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</si>
  <si>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</si>
  <si>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</si>
  <si>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</si>
  <si>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</si>
  <si>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</si>
  <si>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</si>
  <si>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</si>
  <si>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</si>
  <si>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</si>
  <si>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</si>
  <si>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</si>
  <si>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</si>
  <si>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</si>
  <si>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</si>
  <si>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</si>
  <si>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</si>
  <si>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</si>
  <si>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</si>
  <si>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</si>
  <si>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</si>
  <si>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</si>
  <si>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</si>
  <si>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</si>
  <si>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</si>
  <si>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</si>
  <si>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</si>
  <si>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</si>
  <si>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</si>
  <si>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HAMZA AGRIBI</t>
  </si>
  <si>
    <t>MARCO CASAROTTI</t>
  </si>
  <si>
    <t>ELIA NAGLIERI</t>
  </si>
  <si>
    <t>LUCA PAPARELLA</t>
  </si>
  <si>
    <t>MATTEO TOSETTI</t>
  </si>
  <si>
    <t>GIANLUCA FREZZATI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</si>
  <si>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</si>
  <si>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</si>
  <si>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</si>
  <si>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</si>
  <si>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</si>
  <si>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</si>
  <si>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</si>
  <si>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</si>
  <si>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</si>
  <si>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</si>
  <si>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</si>
  <si>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</si>
  <si>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</si>
  <si>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</si>
  <si>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</si>
  <si>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</si>
  <si>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</si>
  <si>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</si>
  <si>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</si>
  <si>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</si>
  <si>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</si>
  <si>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</si>
  <si>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</si>
  <si>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</si>
  <si>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</si>
  <si>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</si>
  <si>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</si>
  <si>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</si>
  <si>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</si>
  <si>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</si>
  <si>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</si>
  <si>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</si>
  <si>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</si>
  <si>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</si>
  <si>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</si>
  <si>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</si>
  <si>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</si>
  <si>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</si>
  <si>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</si>
  <si>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</si>
  <si>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</si>
  <si>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</si>
  <si>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</si>
  <si>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</si>
  <si>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</si>
  <si>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</si>
  <si>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</si>
  <si>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</si>
  <si>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</si>
  <si>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</si>
  <si>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</si>
  <si>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</si>
  <si>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</si>
  <si>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</si>
  <si>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</si>
  <si>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</si>
  <si>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</si>
  <si>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</si>
  <si>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</si>
  <si>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</si>
  <si>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</si>
  <si>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</si>
  <si>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</si>
  <si>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</si>
  <si>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</si>
  <si>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</si>
  <si>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</si>
  <si>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</si>
  <si>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</si>
  <si>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</si>
  <si>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</si>
  <si>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</si>
  <si>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</si>
  <si>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</si>
  <si>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</si>
  <si>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</si>
  <si>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</si>
  <si>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</si>
  <si>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</si>
  <si>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</si>
  <si>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</si>
  <si>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</si>
  <si>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</si>
  <si>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</si>
  <si>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</si>
  <si>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</si>
  <si>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</si>
  <si>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</si>
  <si>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</si>
  <si>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</si>
  <si>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</si>
  <si>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</si>
  <si>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</si>
  <si>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</si>
  <si>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</si>
  <si>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</si>
  <si>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</si>
  <si>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</si>
  <si>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</si>
  <si>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</si>
  <si>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</si>
  <si>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</si>
  <si>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</si>
  <si>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</si>
  <si>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</si>
  <si>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</si>
  <si>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</si>
  <si>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</si>
  <si>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</si>
  <si>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</si>
  <si>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</si>
  <si>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</si>
  <si>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</si>
  <si>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</si>
  <si>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</si>
  <si>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</si>
  <si>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</si>
  <si>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</si>
  <si>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</si>
  <si>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</si>
  <si>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</si>
  <si>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</si>
  <si>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</si>
  <si>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</si>
  <si>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</si>
  <si>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</si>
  <si>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</si>
  <si>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</si>
  <si>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</si>
  <si>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</si>
  <si>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</si>
  <si>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</si>
  <si>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</si>
  <si>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</si>
  <si>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</si>
  <si>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</si>
  <si>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</si>
  <si>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</si>
  <si>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</si>
  <si>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</si>
  <si>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</si>
  <si>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</si>
  <si>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</si>
  <si>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</si>
  <si>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</si>
  <si>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</si>
  <si>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</si>
  <si>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</si>
  <si>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</si>
  <si>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</si>
  <si>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</si>
  <si>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</si>
  <si>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</si>
  <si>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</si>
  <si>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</si>
  <si>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</si>
  <si>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</si>
  <si>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</si>
  <si>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</si>
  <si>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</si>
  <si>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</si>
  <si>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</si>
  <si>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</si>
  <si>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</si>
  <si>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</si>
  <si>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</si>
  <si>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</si>
  <si>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</si>
  <si>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</si>
  <si>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</si>
  <si>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</si>
  <si>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</si>
  <si>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</si>
  <si>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</si>
  <si>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</si>
  <si>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</si>
  <si>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</si>
  <si>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</si>
  <si>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</si>
  <si>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</si>
  <si>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</si>
  <si>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</si>
  <si>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</si>
  <si>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</si>
  <si>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</si>
  <si>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</si>
  <si>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</si>
  <si>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</si>
  <si>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</si>
  <si>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</si>
  <si>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</si>
  <si>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</si>
  <si>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</si>
  <si>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</si>
  <si>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</si>
  <si>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</si>
  <si>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</si>
  <si>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</si>
  <si>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</si>
  <si>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</si>
  <si>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</si>
  <si>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2026-06-28</t>
  </si>
  <si>
    <t>Nome</t>
  </si>
  <si>
    <t>Cognome</t>
  </si>
  <si>
    <t>Punti</t>
  </si>
  <si>
    <t>SAMUELE DURRA</t>
  </si>
  <si>
    <t>MATTEO COL</t>
  </si>
  <si>
    <t>DANIIL YAKIMENKO</t>
  </si>
  <si>
    <t>MATTIA MERLO</t>
  </si>
  <si>
    <t>EDDY MAZZETTO</t>
  </si>
  <si>
    <t>NICO PAVANI</t>
  </si>
  <si>
    <t>ANDREI BARZAGHIDEANU</t>
  </si>
  <si>
    <t>TOMMASO ZANGIROLAMI</t>
  </si>
  <si>
    <t>ELIA SICCHIERO</t>
  </si>
  <si>
    <t>NICCOLO' PALTANIN</t>
  </si>
  <si>
    <t>MATTEO BOLZANI</t>
  </si>
  <si>
    <t>ALEX MENEGHELLO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</si>
</sst>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10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  <font>
      <b/>
      <sz val="11"/>
      <color rgb="FFFFFF00"/>
      <name val="Carlito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  <fill>
      <patternFill patternType="solid">
        <fgColor rgb="FF000500"/>
        <bgColor indexed="64"/>
      </patternFill>
    </fill>
    <fill>
      <patternFill patternType="solid">
        <fgColor rgb="FFE0F2FF"/>
        <bgColor indexed="64"/>
      </patternFill>
    </fill>
  </fills>
  <borders count="3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8" fillId="10" borderId="0" xfId="0" applyFont="1" applyFill="1" applyAlignment="1">
      <alignment horizontal="center"/>
    </xf>
    <xf numFmtId="0" fontId="0" fillId="11" borderId="2" xfId="0" applyFill="1" applyBorder="1"/>
    <xf numFmtId="1" fontId="0" fillId="11" borderId="2" xfId="0" applyNumberFormat="1" applyFill="1" applyBorder="1" applyAlignment="1">
      <alignment horizontal="center"/>
    </xf>
    <xf numFmtId="0" fontId="5" fillId="7" borderId="0" xfId="0" applyFont="1" applyFill="1" applyAlignment="1">
      <alignment horizontal="center" vertical="center"/>
    </xf>
    <xf numFmtId="0" fontId="0" fillId="0" borderId="0" xfId="0"/>
    <xf numFmtId="0" fontId="4" fillId="5" borderId="0" xfId="0" applyFont="1" applyFill="1" applyAlignment="1">
      <alignment horizontal="center" vertical="center" wrapText="1"/>
    </xf>
  </cellXfs>
  <cellStyles count="1">
    <cellStyle name="Normale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E11" sqref="E11"/>
    </sheetView>
  </sheetViews>
  <sheetFormatPr defaultRowHeight="13.8"/>
  <cols>
    <col min="1" max="1" width="71.19921875" customWidth="1"/>
    <col min="2" max="2" width="38" customWidth="1"/>
  </cols>
  <sheetData>
    <row r="1" spans="1:26" ht="21" customHeight="1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>
      <c r="A3" s="1" t="s">
        <v>41</v>
      </c>
    </row>
    <row r="5" spans="1:26">
      <c r="A5" s="1" t="s">
        <v>42</v>
      </c>
      <c r="B5" s="1">
        <v>3</v>
      </c>
    </row>
    <row r="6" spans="1:26">
      <c r="A6" s="1" t="s">
        <v>43</v>
      </c>
      <c r="B6" s="1">
        <v>2</v>
      </c>
    </row>
    <row r="7" spans="1:26">
      <c r="A7" s="1" t="s">
        <v>44</v>
      </c>
      <c r="B7" s="1">
        <v>1</v>
      </c>
    </row>
    <row r="8" spans="1:26">
      <c r="A8" s="1" t="s">
        <v>45</v>
      </c>
      <c r="B8" s="1">
        <v>0</v>
      </c>
    </row>
    <row r="9" spans="1:26">
      <c r="A9" s="1" t="s">
        <v>46</v>
      </c>
      <c r="B9" s="1" t="s">
        <v>47</v>
      </c>
    </row>
    <row r="10" spans="1:26" ht="28.8" customHeight="1">
      <c r="A10" s="1" t="s">
        <v>48</v>
      </c>
      <c r="B10" s="1" t="s">
        <v>49</v>
      </c>
    </row>
    <row r="11" spans="1:26">
      <c r="A11" s="1" t="s">
        <v>50</v>
      </c>
      <c r="B11" s="1" t="s">
        <v>51</v>
      </c>
    </row>
    <row r="12" spans="1:26" ht="28.8" customHeight="1">
      <c r="A12" s="1" t="s">
        <v>52</v>
      </c>
      <c r="B12" s="1" t="s">
        <v>53</v>
      </c>
    </row>
    <row r="14" spans="1:26">
      <c r="A14" t="s">
        <v>54</v>
      </c>
      <c r="B14" t="s">
        <v>55</v>
      </c>
    </row>
    <row r="15" spans="1:26">
      <c r="A15" t="s">
        <v>56</v>
      </c>
      <c r="B15" t="s">
        <v>57</v>
      </c>
    </row>
    <row r="16" spans="1:26">
      <c r="A16" t="s">
        <v>58</v>
      </c>
      <c r="B16" t="s">
        <v>59</v>
      </c>
    </row>
    <row r="17" spans="1:6">
      <c r="A17" t="s">
        <v>60</v>
      </c>
      <c r="B17" t="s">
        <v>61</v>
      </c>
    </row>
    <row r="18" spans="1:6">
      <c r="A18" t="s">
        <v>62</v>
      </c>
    </row>
    <row r="19" spans="1:6">
      <c r="A19" s="21"/>
      <c r="B19" s="21"/>
      <c r="C19" s="21"/>
      <c r="D19" s="21"/>
      <c r="E19" s="21"/>
      <c r="F19" s="21"/>
    </row>
    <row r="20" spans="1:6">
      <c r="A20" s="21"/>
      <c r="B20" s="21"/>
      <c r="C20" s="21"/>
      <c r="D20" s="21"/>
      <c r="E20" s="21"/>
      <c r="F20" s="21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C11" sqref="C11"/>
    </sheetView>
  </sheetViews>
  <sheetFormatPr defaultRowHeight="13.8"/>
  <cols>
    <col min="1" max="2" width="24" customWidth="1"/>
  </cols>
  <sheetData>
    <row r="1" spans="1:26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65</v>
      </c>
      <c r="B2">
        <v>3</v>
      </c>
    </row>
    <row r="3" spans="1:26">
      <c r="A3" t="s">
        <v>66</v>
      </c>
      <c r="B3">
        <v>2</v>
      </c>
    </row>
    <row r="4" spans="1:26">
      <c r="A4" t="s">
        <v>67</v>
      </c>
      <c r="B4">
        <v>1</v>
      </c>
    </row>
    <row r="5" spans="1:26">
      <c r="A5" t="s">
        <v>68</v>
      </c>
      <c r="B5">
        <v>0</v>
      </c>
    </row>
    <row r="6" spans="1:26">
      <c r="A6" t="s">
        <v>69</v>
      </c>
      <c r="B6">
        <v>12</v>
      </c>
    </row>
    <row r="7" spans="1:26">
      <c r="A7" t="s">
        <v>386</v>
      </c>
      <c r="B7" s="16" t="s">
        <v>387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3.8"/>
  <cols>
    <col min="1" max="4" width="24" customWidth="1"/>
  </cols>
  <sheetData>
    <row r="1" spans="1:26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>
      <c r="A10" t="s">
        <v>22</v>
      </c>
      <c r="B10" t="s">
        <v>23</v>
      </c>
      <c r="C10" t="s">
        <v>24</v>
      </c>
      <c r="D10">
        <f>COUNTIF(Players!$B$2:$B$481,A10)</f>
        <v>9</v>
      </c>
    </row>
    <row r="11" spans="1:26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abSelected="1" topLeftCell="AC1" workbookViewId="0">
      <pane ySplit="2" topLeftCell="A3" activePane="bottomLeft" state="frozen"/>
      <selection pane="bottomLeft" activeCell="AI6" sqref="AI6"/>
    </sheetView>
  </sheetViews>
  <sheetFormatPr defaultRowHeight="13.8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>
      <c r="A1" s="20" t="s">
        <v>70</v>
      </c>
      <c r="B1" s="21"/>
      <c r="C1" s="21"/>
      <c r="D1" s="20" t="s">
        <v>71</v>
      </c>
      <c r="E1" s="21"/>
      <c r="F1" s="21"/>
      <c r="G1" s="20" t="s">
        <v>72</v>
      </c>
      <c r="H1" s="21"/>
      <c r="I1" s="21"/>
      <c r="J1" s="20" t="s">
        <v>73</v>
      </c>
      <c r="K1" s="21"/>
      <c r="L1" s="21"/>
      <c r="M1" s="20" t="s">
        <v>74</v>
      </c>
      <c r="N1" s="21"/>
      <c r="O1" s="21"/>
      <c r="P1" s="20" t="s">
        <v>75</v>
      </c>
      <c r="Q1" s="21"/>
      <c r="R1" s="21"/>
      <c r="S1" s="20" t="s">
        <v>76</v>
      </c>
      <c r="T1" s="21"/>
      <c r="U1" s="21"/>
      <c r="V1" s="20" t="s">
        <v>77</v>
      </c>
      <c r="W1" s="21"/>
      <c r="X1" s="21"/>
      <c r="Y1" s="20" t="s">
        <v>78</v>
      </c>
      <c r="Z1" s="21"/>
      <c r="AA1" s="21"/>
      <c r="AB1" s="20" t="s">
        <v>79</v>
      </c>
      <c r="AC1" s="21"/>
      <c r="AD1" s="21"/>
      <c r="AE1" s="20" t="s">
        <v>80</v>
      </c>
      <c r="AF1" s="21"/>
      <c r="AG1" s="21"/>
      <c r="AH1" s="20" t="s">
        <v>81</v>
      </c>
      <c r="AI1" s="21"/>
      <c r="AJ1" s="21"/>
      <c r="AK1" s="20" t="s">
        <v>82</v>
      </c>
      <c r="AL1" s="21"/>
      <c r="AM1" s="21"/>
      <c r="AN1" s="20" t="s">
        <v>83</v>
      </c>
      <c r="AO1" s="21"/>
      <c r="AP1" s="21"/>
      <c r="AQ1" s="20" t="s">
        <v>84</v>
      </c>
      <c r="AR1" s="21"/>
      <c r="AS1" s="21"/>
      <c r="AT1" s="20" t="s">
        <v>85</v>
      </c>
      <c r="AU1" s="21"/>
      <c r="AV1" s="21"/>
    </row>
    <row r="2" spans="1:48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394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>
        <v>10</v>
      </c>
      <c r="Q3" s="15" t="s">
        <v>94</v>
      </c>
      <c r="R3" s="15" t="s">
        <v>108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>
      <c r="A4" s="15">
        <v>4</v>
      </c>
      <c r="B4" s="15" t="s">
        <v>105</v>
      </c>
      <c r="C4" s="15" t="s">
        <v>90</v>
      </c>
      <c r="D4" s="15"/>
      <c r="E4" s="15" t="s">
        <v>106</v>
      </c>
      <c r="F4" s="15" t="s">
        <v>90</v>
      </c>
      <c r="G4" s="15"/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>
        <v>5</v>
      </c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399</v>
      </c>
      <c r="AD4" s="15" t="s">
        <v>90</v>
      </c>
      <c r="AE4" s="15">
        <v>2</v>
      </c>
      <c r="AF4" s="15" t="s">
        <v>115</v>
      </c>
      <c r="AG4" s="15" t="s">
        <v>90</v>
      </c>
      <c r="AH4" s="15">
        <v>5</v>
      </c>
      <c r="AI4" s="15" t="s">
        <v>116</v>
      </c>
      <c r="AJ4" s="15" t="s">
        <v>90</v>
      </c>
      <c r="AK4" s="15">
        <v>3</v>
      </c>
      <c r="AL4" s="15" t="s">
        <v>117</v>
      </c>
      <c r="AM4" s="15" t="s">
        <v>90</v>
      </c>
      <c r="AN4" s="15">
        <v>2</v>
      </c>
      <c r="AO4" s="15" t="s">
        <v>118</v>
      </c>
      <c r="AP4" s="15" t="s">
        <v>90</v>
      </c>
      <c r="AQ4" s="15">
        <v>3</v>
      </c>
      <c r="AR4" s="15" t="s">
        <v>119</v>
      </c>
      <c r="AS4" s="15" t="s">
        <v>90</v>
      </c>
      <c r="AT4" s="15">
        <v>2</v>
      </c>
      <c r="AU4" s="15" t="s">
        <v>120</v>
      </c>
      <c r="AV4" s="15" t="s">
        <v>90</v>
      </c>
    </row>
    <row r="5" spans="1:48">
      <c r="A5" s="15">
        <v>5</v>
      </c>
      <c r="B5" s="15" t="s">
        <v>121</v>
      </c>
      <c r="C5" s="15" t="s">
        <v>90</v>
      </c>
      <c r="D5" s="15"/>
      <c r="E5" s="15" t="s">
        <v>122</v>
      </c>
      <c r="F5" s="15" t="s">
        <v>90</v>
      </c>
      <c r="G5" s="15"/>
      <c r="H5" s="15" t="s">
        <v>123</v>
      </c>
      <c r="I5" s="15" t="s">
        <v>90</v>
      </c>
      <c r="J5" s="15">
        <v>6</v>
      </c>
      <c r="K5" s="15" t="s">
        <v>124</v>
      </c>
      <c r="L5" s="15" t="s">
        <v>90</v>
      </c>
      <c r="M5" s="15">
        <v>7</v>
      </c>
      <c r="N5" s="15" t="s">
        <v>125</v>
      </c>
      <c r="O5" s="15" t="s">
        <v>90</v>
      </c>
      <c r="P5" s="15">
        <v>3</v>
      </c>
      <c r="Q5" s="15" t="s">
        <v>126</v>
      </c>
      <c r="R5" s="15" t="s">
        <v>90</v>
      </c>
      <c r="S5" s="15">
        <v>5</v>
      </c>
      <c r="T5" s="15" t="s">
        <v>127</v>
      </c>
      <c r="U5" s="15" t="s">
        <v>90</v>
      </c>
      <c r="V5" s="15">
        <v>11</v>
      </c>
      <c r="W5" s="15" t="s">
        <v>128</v>
      </c>
      <c r="X5" s="15" t="s">
        <v>90</v>
      </c>
      <c r="Y5" s="15">
        <v>4</v>
      </c>
      <c r="Z5" s="15" t="s">
        <v>129</v>
      </c>
      <c r="AA5" s="15" t="s">
        <v>108</v>
      </c>
      <c r="AB5" s="15">
        <v>9</v>
      </c>
      <c r="AC5" s="15" t="s">
        <v>130</v>
      </c>
      <c r="AD5" s="15" t="s">
        <v>90</v>
      </c>
      <c r="AE5" s="15">
        <v>7</v>
      </c>
      <c r="AF5" s="15" t="s">
        <v>131</v>
      </c>
      <c r="AG5" s="15" t="s">
        <v>90</v>
      </c>
      <c r="AH5" s="15">
        <v>7</v>
      </c>
      <c r="AI5" s="15" t="s">
        <v>132</v>
      </c>
      <c r="AJ5" s="15" t="s">
        <v>90</v>
      </c>
      <c r="AK5" s="15">
        <v>4</v>
      </c>
      <c r="AL5" s="15" t="s">
        <v>133</v>
      </c>
      <c r="AM5" s="15" t="s">
        <v>90</v>
      </c>
      <c r="AN5" s="15">
        <v>4</v>
      </c>
      <c r="AO5" s="15" t="s">
        <v>134</v>
      </c>
      <c r="AP5" s="15" t="s">
        <v>90</v>
      </c>
      <c r="AQ5" s="15">
        <v>4</v>
      </c>
      <c r="AR5" s="15" t="s">
        <v>135</v>
      </c>
      <c r="AS5" s="15" t="s">
        <v>90</v>
      </c>
      <c r="AT5" s="15">
        <v>3</v>
      </c>
      <c r="AU5" s="15" t="s">
        <v>136</v>
      </c>
      <c r="AV5" s="15" t="s">
        <v>90</v>
      </c>
    </row>
    <row r="6" spans="1:48">
      <c r="A6" s="15">
        <v>7</v>
      </c>
      <c r="B6" s="15" t="s">
        <v>137</v>
      </c>
      <c r="C6" s="15" t="s">
        <v>90</v>
      </c>
      <c r="D6" s="15"/>
      <c r="E6" s="15" t="s">
        <v>393</v>
      </c>
      <c r="F6" s="15" t="s">
        <v>90</v>
      </c>
      <c r="G6" s="15"/>
      <c r="H6" s="15" t="s">
        <v>138</v>
      </c>
      <c r="I6" s="15" t="s">
        <v>90</v>
      </c>
      <c r="J6" s="15">
        <v>7</v>
      </c>
      <c r="K6" s="15" t="s">
        <v>139</v>
      </c>
      <c r="L6" s="15" t="s">
        <v>90</v>
      </c>
      <c r="M6" s="15">
        <v>9</v>
      </c>
      <c r="N6" s="15" t="s">
        <v>140</v>
      </c>
      <c r="O6" s="15" t="s">
        <v>90</v>
      </c>
      <c r="P6" s="15">
        <v>20</v>
      </c>
      <c r="Q6" s="15" t="s">
        <v>141</v>
      </c>
      <c r="R6" s="15" t="s">
        <v>90</v>
      </c>
      <c r="S6" s="15">
        <v>7</v>
      </c>
      <c r="T6" s="15" t="s">
        <v>142</v>
      </c>
      <c r="U6" s="15" t="s">
        <v>90</v>
      </c>
      <c r="V6" s="15">
        <v>14</v>
      </c>
      <c r="W6" s="15" t="s">
        <v>143</v>
      </c>
      <c r="X6" s="15" t="s">
        <v>90</v>
      </c>
      <c r="Y6" s="15">
        <v>5</v>
      </c>
      <c r="Z6" s="15" t="s">
        <v>144</v>
      </c>
      <c r="AA6" s="15" t="s">
        <v>90</v>
      </c>
      <c r="AB6" s="15">
        <v>10</v>
      </c>
      <c r="AC6" s="15" t="s">
        <v>400</v>
      </c>
      <c r="AD6" s="15" t="s">
        <v>90</v>
      </c>
      <c r="AE6" s="15">
        <v>8</v>
      </c>
      <c r="AF6" s="15" t="s">
        <v>145</v>
      </c>
      <c r="AG6" s="15" t="s">
        <v>90</v>
      </c>
      <c r="AH6" s="15">
        <v>8</v>
      </c>
      <c r="AI6" s="15" t="s">
        <v>402</v>
      </c>
      <c r="AJ6" s="15" t="s">
        <v>90</v>
      </c>
      <c r="AK6" s="15">
        <v>5</v>
      </c>
      <c r="AL6" s="15" t="s">
        <v>146</v>
      </c>
      <c r="AM6" s="15" t="s">
        <v>90</v>
      </c>
      <c r="AN6" s="15">
        <v>7</v>
      </c>
      <c r="AO6" s="15" t="s">
        <v>147</v>
      </c>
      <c r="AP6" s="15" t="s">
        <v>90</v>
      </c>
      <c r="AQ6" s="15">
        <v>5</v>
      </c>
      <c r="AR6" s="15" t="s">
        <v>148</v>
      </c>
      <c r="AS6" s="15" t="s">
        <v>90</v>
      </c>
      <c r="AT6" s="15">
        <v>4</v>
      </c>
      <c r="AU6" s="15" t="s">
        <v>149</v>
      </c>
      <c r="AV6" s="15" t="s">
        <v>108</v>
      </c>
    </row>
    <row r="7" spans="1:48">
      <c r="A7" s="15">
        <v>8</v>
      </c>
      <c r="B7" s="15" t="s">
        <v>150</v>
      </c>
      <c r="C7" s="15" t="s">
        <v>90</v>
      </c>
      <c r="D7" s="15"/>
      <c r="E7" s="15" t="s">
        <v>151</v>
      </c>
      <c r="F7" s="15" t="s">
        <v>90</v>
      </c>
      <c r="G7" s="15"/>
      <c r="H7" s="15" t="s">
        <v>395</v>
      </c>
      <c r="I7" s="15" t="s">
        <v>90</v>
      </c>
      <c r="J7" s="15">
        <v>8</v>
      </c>
      <c r="K7" s="15" t="s">
        <v>152</v>
      </c>
      <c r="L7" s="15" t="s">
        <v>90</v>
      </c>
      <c r="M7" s="15">
        <v>10</v>
      </c>
      <c r="N7" s="15" t="s">
        <v>153</v>
      </c>
      <c r="O7" s="15" t="s">
        <v>108</v>
      </c>
      <c r="P7" s="15">
        <v>8</v>
      </c>
      <c r="Q7" s="15" t="s">
        <v>154</v>
      </c>
      <c r="R7" s="15" t="s">
        <v>90</v>
      </c>
      <c r="S7" s="15">
        <v>8</v>
      </c>
      <c r="T7" s="15" t="s">
        <v>155</v>
      </c>
      <c r="U7" s="15" t="s">
        <v>108</v>
      </c>
      <c r="V7" s="15">
        <v>19</v>
      </c>
      <c r="W7" s="15" t="s">
        <v>156</v>
      </c>
      <c r="X7" s="15" t="s">
        <v>90</v>
      </c>
      <c r="Y7" s="15">
        <v>6</v>
      </c>
      <c r="Z7" s="15" t="s">
        <v>157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158</v>
      </c>
      <c r="AG7" s="15" t="s">
        <v>90</v>
      </c>
      <c r="AH7" s="15">
        <v>10</v>
      </c>
      <c r="AI7" s="15" t="s">
        <v>159</v>
      </c>
      <c r="AJ7" s="15" t="s">
        <v>108</v>
      </c>
      <c r="AK7" s="15">
        <v>6</v>
      </c>
      <c r="AL7" s="15" t="s">
        <v>160</v>
      </c>
      <c r="AM7" s="15" t="s">
        <v>90</v>
      </c>
      <c r="AN7" s="15">
        <v>8</v>
      </c>
      <c r="AO7" s="15" t="s">
        <v>161</v>
      </c>
      <c r="AP7" s="15" t="s">
        <v>90</v>
      </c>
      <c r="AQ7" s="15">
        <v>7</v>
      </c>
      <c r="AR7" s="15" t="s">
        <v>162</v>
      </c>
      <c r="AS7" s="15" t="s">
        <v>90</v>
      </c>
      <c r="AT7" s="15">
        <v>5</v>
      </c>
      <c r="AU7" s="15" t="s">
        <v>163</v>
      </c>
      <c r="AV7" s="15" t="s">
        <v>90</v>
      </c>
    </row>
    <row r="8" spans="1:48">
      <c r="A8" s="15">
        <v>10</v>
      </c>
      <c r="B8" s="15" t="s">
        <v>164</v>
      </c>
      <c r="C8" s="15" t="s">
        <v>90</v>
      </c>
      <c r="D8" s="15"/>
      <c r="E8" s="15" t="s">
        <v>165</v>
      </c>
      <c r="F8" s="15" t="s">
        <v>90</v>
      </c>
      <c r="G8" s="15"/>
      <c r="H8" s="15" t="s">
        <v>166</v>
      </c>
      <c r="I8" s="15" t="s">
        <v>90</v>
      </c>
      <c r="J8" s="15">
        <v>9</v>
      </c>
      <c r="K8" s="15" t="s">
        <v>167</v>
      </c>
      <c r="L8" s="15" t="s">
        <v>90</v>
      </c>
      <c r="M8" s="15">
        <v>12</v>
      </c>
      <c r="N8" s="15" t="s">
        <v>168</v>
      </c>
      <c r="O8" s="15" t="s">
        <v>90</v>
      </c>
      <c r="P8" s="15">
        <v>7</v>
      </c>
      <c r="Q8" s="15" t="s">
        <v>169</v>
      </c>
      <c r="R8" s="15" t="s">
        <v>90</v>
      </c>
      <c r="S8" s="15">
        <v>9</v>
      </c>
      <c r="T8" s="15" t="s">
        <v>170</v>
      </c>
      <c r="U8" s="15" t="s">
        <v>90</v>
      </c>
      <c r="V8" s="15">
        <v>21</v>
      </c>
      <c r="W8" s="15" t="s">
        <v>171</v>
      </c>
      <c r="X8" s="15" t="s">
        <v>90</v>
      </c>
      <c r="Y8" s="15">
        <v>8</v>
      </c>
      <c r="Z8" s="15" t="s">
        <v>172</v>
      </c>
      <c r="AA8" s="15" t="s">
        <v>90</v>
      </c>
      <c r="AB8" s="15">
        <v>19</v>
      </c>
      <c r="AC8" s="15" t="s">
        <v>173</v>
      </c>
      <c r="AD8" s="15" t="s">
        <v>90</v>
      </c>
      <c r="AE8" s="15">
        <v>10</v>
      </c>
      <c r="AF8" s="15" t="s">
        <v>174</v>
      </c>
      <c r="AG8" s="15" t="s">
        <v>108</v>
      </c>
      <c r="AH8" s="15">
        <v>11</v>
      </c>
      <c r="AI8" s="15" t="s">
        <v>175</v>
      </c>
      <c r="AJ8" s="15" t="s">
        <v>90</v>
      </c>
      <c r="AK8" s="15">
        <v>7</v>
      </c>
      <c r="AL8" s="15" t="s">
        <v>176</v>
      </c>
      <c r="AM8" s="15" t="s">
        <v>90</v>
      </c>
      <c r="AN8" s="15">
        <v>9</v>
      </c>
      <c r="AO8" s="15" t="s">
        <v>177</v>
      </c>
      <c r="AP8" s="15" t="s">
        <v>90</v>
      </c>
      <c r="AQ8" s="15">
        <v>9</v>
      </c>
      <c r="AR8" s="15" t="s">
        <v>178</v>
      </c>
      <c r="AS8" s="15" t="s">
        <v>90</v>
      </c>
      <c r="AT8" s="15">
        <v>6</v>
      </c>
      <c r="AU8" s="15" t="s">
        <v>179</v>
      </c>
      <c r="AV8" s="15" t="s">
        <v>90</v>
      </c>
    </row>
    <row r="9" spans="1:48">
      <c r="A9" s="15">
        <v>11</v>
      </c>
      <c r="B9" s="15" t="s">
        <v>391</v>
      </c>
      <c r="C9" s="15" t="s">
        <v>90</v>
      </c>
      <c r="D9" s="15"/>
      <c r="E9" s="15" t="s">
        <v>180</v>
      </c>
      <c r="F9" s="15" t="s">
        <v>108</v>
      </c>
      <c r="G9" s="15"/>
      <c r="H9" s="15" t="s">
        <v>181</v>
      </c>
      <c r="I9" s="15" t="s">
        <v>90</v>
      </c>
      <c r="J9" s="15">
        <v>10</v>
      </c>
      <c r="K9" s="15" t="s">
        <v>182</v>
      </c>
      <c r="L9" s="15" t="s">
        <v>90</v>
      </c>
      <c r="M9" s="15">
        <v>15</v>
      </c>
      <c r="N9" s="15" t="s">
        <v>183</v>
      </c>
      <c r="O9" s="15" t="s">
        <v>90</v>
      </c>
      <c r="P9" s="15">
        <v>1</v>
      </c>
      <c r="Q9" s="15" t="s">
        <v>184</v>
      </c>
      <c r="R9" s="15" t="s">
        <v>90</v>
      </c>
      <c r="S9" s="15">
        <v>10</v>
      </c>
      <c r="T9" s="15" t="s">
        <v>185</v>
      </c>
      <c r="U9" s="15" t="s">
        <v>90</v>
      </c>
      <c r="V9" s="15"/>
      <c r="W9" s="15"/>
      <c r="X9" s="15"/>
      <c r="Y9" s="15">
        <v>10</v>
      </c>
      <c r="Z9" s="15" t="s">
        <v>397</v>
      </c>
      <c r="AA9" s="15" t="s">
        <v>90</v>
      </c>
      <c r="AB9" s="15">
        <v>21</v>
      </c>
      <c r="AC9" s="15" t="s">
        <v>186</v>
      </c>
      <c r="AD9" s="15" t="s">
        <v>90</v>
      </c>
      <c r="AE9" s="15">
        <v>11</v>
      </c>
      <c r="AF9" s="15" t="s">
        <v>187</v>
      </c>
      <c r="AG9" s="15" t="s">
        <v>90</v>
      </c>
      <c r="AH9" s="15">
        <v>19</v>
      </c>
      <c r="AI9" s="15" t="s">
        <v>188</v>
      </c>
      <c r="AJ9" s="15" t="s">
        <v>90</v>
      </c>
      <c r="AK9" s="15">
        <v>8</v>
      </c>
      <c r="AL9" s="15" t="s">
        <v>189</v>
      </c>
      <c r="AM9" s="15" t="s">
        <v>90</v>
      </c>
      <c r="AN9" s="15">
        <v>10</v>
      </c>
      <c r="AO9" s="15" t="s">
        <v>190</v>
      </c>
      <c r="AP9" s="15" t="s">
        <v>108</v>
      </c>
      <c r="AQ9" s="15">
        <v>10</v>
      </c>
      <c r="AR9" s="15" t="s">
        <v>191</v>
      </c>
      <c r="AS9" s="15" t="s">
        <v>108</v>
      </c>
      <c r="AT9" s="15">
        <v>8</v>
      </c>
      <c r="AU9" s="15" t="s">
        <v>192</v>
      </c>
      <c r="AV9" s="15" t="s">
        <v>90</v>
      </c>
    </row>
    <row r="10" spans="1:48">
      <c r="A10" s="15">
        <v>23</v>
      </c>
      <c r="B10" s="15" t="s">
        <v>193</v>
      </c>
      <c r="C10" s="15" t="s">
        <v>108</v>
      </c>
      <c r="D10" s="15"/>
      <c r="E10" s="15" t="s">
        <v>194</v>
      </c>
      <c r="F10" s="15" t="s">
        <v>90</v>
      </c>
      <c r="G10" s="15"/>
      <c r="H10" s="15" t="s">
        <v>195</v>
      </c>
      <c r="I10" s="15" t="s">
        <v>90</v>
      </c>
      <c r="J10" s="15">
        <v>11</v>
      </c>
      <c r="K10" s="15" t="s">
        <v>196</v>
      </c>
      <c r="L10" s="15" t="s">
        <v>108</v>
      </c>
      <c r="M10" s="15">
        <v>18</v>
      </c>
      <c r="N10" s="15" t="s">
        <v>197</v>
      </c>
      <c r="O10" s="15" t="s">
        <v>90</v>
      </c>
      <c r="P10" s="15">
        <v>4</v>
      </c>
      <c r="Q10" s="15" t="s">
        <v>198</v>
      </c>
      <c r="R10" s="15" t="s">
        <v>90</v>
      </c>
      <c r="S10" s="15">
        <v>11</v>
      </c>
      <c r="T10" s="15" t="s">
        <v>199</v>
      </c>
      <c r="U10" s="15" t="s">
        <v>90</v>
      </c>
      <c r="V10" s="15"/>
      <c r="W10" s="15"/>
      <c r="X10" s="15"/>
      <c r="Y10" s="15">
        <v>14</v>
      </c>
      <c r="Z10" s="15" t="s">
        <v>200</v>
      </c>
      <c r="AA10" s="15" t="s">
        <v>90</v>
      </c>
      <c r="AB10" s="15">
        <v>29</v>
      </c>
      <c r="AC10" s="15" t="s">
        <v>201</v>
      </c>
      <c r="AD10" s="15" t="s">
        <v>90</v>
      </c>
      <c r="AE10" s="15">
        <v>14</v>
      </c>
      <c r="AF10" s="15" t="s">
        <v>202</v>
      </c>
      <c r="AG10" s="15" t="s">
        <v>90</v>
      </c>
      <c r="AH10" s="15">
        <v>22</v>
      </c>
      <c r="AI10" s="15" t="s">
        <v>203</v>
      </c>
      <c r="AJ10" s="15" t="s">
        <v>90</v>
      </c>
      <c r="AK10" s="15">
        <v>9</v>
      </c>
      <c r="AL10" s="15" t="s">
        <v>204</v>
      </c>
      <c r="AM10" s="15" t="s">
        <v>90</v>
      </c>
      <c r="AN10" s="15">
        <v>14</v>
      </c>
      <c r="AO10" s="15" t="s">
        <v>205</v>
      </c>
      <c r="AP10" s="15" t="s">
        <v>90</v>
      </c>
      <c r="AQ10" s="15">
        <v>11</v>
      </c>
      <c r="AR10" s="15" t="s">
        <v>206</v>
      </c>
      <c r="AS10" s="15" t="s">
        <v>90</v>
      </c>
      <c r="AT10" s="15">
        <v>9</v>
      </c>
      <c r="AU10" s="15" t="s">
        <v>207</v>
      </c>
      <c r="AV10" s="15" t="s">
        <v>90</v>
      </c>
    </row>
    <row r="11" spans="1:48">
      <c r="A11" s="15">
        <v>69</v>
      </c>
      <c r="B11" s="15" t="s">
        <v>208</v>
      </c>
      <c r="C11" s="15" t="s">
        <v>90</v>
      </c>
      <c r="D11" s="15"/>
      <c r="E11" s="15" t="s">
        <v>209</v>
      </c>
      <c r="F11" s="15" t="s">
        <v>90</v>
      </c>
      <c r="G11" s="15"/>
      <c r="H11" s="15" t="s">
        <v>210</v>
      </c>
      <c r="I11" s="15" t="s">
        <v>90</v>
      </c>
      <c r="J11" s="15">
        <v>14</v>
      </c>
      <c r="K11" s="15" t="s">
        <v>211</v>
      </c>
      <c r="L11" s="15" t="s">
        <v>90</v>
      </c>
      <c r="M11" s="15">
        <v>71</v>
      </c>
      <c r="N11" s="15" t="s">
        <v>212</v>
      </c>
      <c r="O11" s="15" t="s">
        <v>90</v>
      </c>
      <c r="P11" s="15">
        <v>6</v>
      </c>
      <c r="Q11" s="15" t="s">
        <v>213</v>
      </c>
      <c r="R11" s="15" t="s">
        <v>90</v>
      </c>
      <c r="S11" s="15">
        <v>13</v>
      </c>
      <c r="T11" s="15" t="s">
        <v>214</v>
      </c>
      <c r="U11" s="15" t="s">
        <v>90</v>
      </c>
      <c r="V11" s="15"/>
      <c r="W11" s="15"/>
      <c r="X11" s="15"/>
      <c r="Y11" s="15">
        <v>20</v>
      </c>
      <c r="Z11" s="15" t="s">
        <v>398</v>
      </c>
      <c r="AA11" s="15" t="s">
        <v>90</v>
      </c>
      <c r="AB11" s="15">
        <v>63</v>
      </c>
      <c r="AC11" s="15" t="s">
        <v>215</v>
      </c>
      <c r="AD11" s="15" t="s">
        <v>108</v>
      </c>
      <c r="AE11" s="15">
        <v>18</v>
      </c>
      <c r="AF11" s="15" t="s">
        <v>216</v>
      </c>
      <c r="AG11" s="15" t="s">
        <v>90</v>
      </c>
      <c r="AH11" s="15">
        <v>45</v>
      </c>
      <c r="AI11" s="15" t="s">
        <v>217</v>
      </c>
      <c r="AJ11" s="15" t="s">
        <v>90</v>
      </c>
      <c r="AK11" s="15">
        <v>10</v>
      </c>
      <c r="AL11" s="15" t="s">
        <v>218</v>
      </c>
      <c r="AM11" s="15" t="s">
        <v>90</v>
      </c>
      <c r="AN11" s="15">
        <v>17</v>
      </c>
      <c r="AO11" s="15" t="s">
        <v>219</v>
      </c>
      <c r="AP11" s="15" t="s">
        <v>90</v>
      </c>
      <c r="AQ11" s="15">
        <v>23</v>
      </c>
      <c r="AR11" s="15" t="s">
        <v>220</v>
      </c>
      <c r="AS11" s="15" t="s">
        <v>90</v>
      </c>
      <c r="AT11" s="15">
        <v>10</v>
      </c>
      <c r="AU11" s="15" t="s">
        <v>221</v>
      </c>
      <c r="AV11" s="15" t="s">
        <v>90</v>
      </c>
    </row>
    <row r="12" spans="1:48">
      <c r="A12" s="15">
        <v>90</v>
      </c>
      <c r="B12" s="15" t="s">
        <v>392</v>
      </c>
      <c r="C12" s="15" t="s">
        <v>90</v>
      </c>
      <c r="D12" s="15"/>
      <c r="E12" s="15" t="s">
        <v>222</v>
      </c>
      <c r="F12" s="15" t="s">
        <v>90</v>
      </c>
      <c r="G12" s="15"/>
      <c r="H12" s="15" t="s">
        <v>223</v>
      </c>
      <c r="I12" s="15" t="s">
        <v>90</v>
      </c>
      <c r="J12" s="15"/>
      <c r="K12" s="15"/>
      <c r="L12" s="15"/>
      <c r="M12" s="15"/>
      <c r="N12" s="15"/>
      <c r="O12" s="15"/>
      <c r="P12" s="15">
        <v>17</v>
      </c>
      <c r="Q12" s="15" t="s">
        <v>224</v>
      </c>
      <c r="R12" s="15" t="s">
        <v>90</v>
      </c>
      <c r="S12" s="15">
        <v>14</v>
      </c>
      <c r="T12" s="15" t="s">
        <v>225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226</v>
      </c>
      <c r="AD12" s="15" t="s">
        <v>90</v>
      </c>
      <c r="AE12" s="15">
        <v>20</v>
      </c>
      <c r="AF12" s="15" t="s">
        <v>227</v>
      </c>
      <c r="AG12" s="15" t="s">
        <v>90</v>
      </c>
      <c r="AH12" s="15">
        <v>67</v>
      </c>
      <c r="AI12" s="15" t="s">
        <v>228</v>
      </c>
      <c r="AJ12" s="15" t="s">
        <v>90</v>
      </c>
      <c r="AK12" s="15">
        <v>11</v>
      </c>
      <c r="AL12" s="15" t="s">
        <v>229</v>
      </c>
      <c r="AM12" s="15" t="s">
        <v>108</v>
      </c>
      <c r="AN12" s="15">
        <v>21</v>
      </c>
      <c r="AO12" s="15" t="s">
        <v>230</v>
      </c>
      <c r="AP12" s="15" t="s">
        <v>90</v>
      </c>
      <c r="AQ12" s="15">
        <v>28</v>
      </c>
      <c r="AR12" s="15" t="s">
        <v>231</v>
      </c>
      <c r="AS12" s="15" t="s">
        <v>90</v>
      </c>
      <c r="AT12" s="15">
        <v>11</v>
      </c>
      <c r="AU12" s="15" t="s">
        <v>232</v>
      </c>
      <c r="AV12" s="15" t="s">
        <v>90</v>
      </c>
    </row>
    <row r="13" spans="1:48">
      <c r="A13" s="15"/>
      <c r="B13" s="15"/>
      <c r="C13" s="15"/>
      <c r="D13" s="15"/>
      <c r="E13" s="15"/>
      <c r="F13" s="15"/>
      <c r="G13" s="15"/>
      <c r="H13" s="15" t="s">
        <v>233</v>
      </c>
      <c r="I13" s="15" t="s">
        <v>90</v>
      </c>
      <c r="J13" s="15"/>
      <c r="K13" s="15"/>
      <c r="L13" s="15"/>
      <c r="M13" s="15"/>
      <c r="N13" s="15"/>
      <c r="O13" s="15"/>
      <c r="P13" s="15">
        <v>16</v>
      </c>
      <c r="Q13" s="15" t="s">
        <v>234</v>
      </c>
      <c r="R13" s="15" t="s">
        <v>90</v>
      </c>
      <c r="S13" s="15">
        <v>17</v>
      </c>
      <c r="T13" s="15" t="s">
        <v>235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236</v>
      </c>
      <c r="AM13" s="15" t="s">
        <v>90</v>
      </c>
      <c r="AN13" s="15"/>
      <c r="AO13" s="15"/>
      <c r="AP13" s="15"/>
      <c r="AQ13" s="15"/>
      <c r="AR13" s="15"/>
      <c r="AS13" s="15"/>
      <c r="AT13" s="15">
        <v>7</v>
      </c>
      <c r="AU13" s="15" t="s">
        <v>401</v>
      </c>
      <c r="AV13" s="15" t="s">
        <v>90</v>
      </c>
    </row>
    <row r="14" spans="1:48">
      <c r="A14" s="15"/>
      <c r="B14" s="15"/>
      <c r="C14" s="15"/>
      <c r="D14" s="15"/>
      <c r="E14" s="15"/>
      <c r="F14" s="15"/>
      <c r="G14" s="15"/>
      <c r="H14" s="15" t="s">
        <v>237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>
      <c r="A15" s="15"/>
      <c r="B15" s="15"/>
      <c r="C15" s="15"/>
      <c r="D15" s="15"/>
      <c r="E15" s="15"/>
      <c r="F15" s="15"/>
      <c r="G15" s="15"/>
      <c r="H15" s="15" t="s">
        <v>396</v>
      </c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3.8"/>
  <cols>
    <col min="1" max="6" width="24" customWidth="1"/>
    <col min="7" max="7" width="34" customWidth="1"/>
  </cols>
  <sheetData>
    <row r="1" spans="1:26">
      <c r="A1" s="5" t="s">
        <v>238</v>
      </c>
      <c r="B1" s="5" t="s">
        <v>0</v>
      </c>
      <c r="C1" s="5" t="s">
        <v>2</v>
      </c>
      <c r="D1" s="5" t="s">
        <v>239</v>
      </c>
      <c r="E1" s="5" t="s">
        <v>240</v>
      </c>
      <c r="F1" s="5" t="s">
        <v>241</v>
      </c>
      <c r="G1" s="5" t="s">
        <v>242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SAMUELE DURRA</v>
      </c>
      <c r="F8" t="str">
        <f>IF(E8="","",Rosters!C9)</f>
        <v>No</v>
      </c>
      <c r="G8" t="str">
        <f t="shared" si="1"/>
        <v>11 - SAMUELE DURRA</v>
      </c>
    </row>
    <row r="9" spans="1:26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MATTEO COL</v>
      </c>
      <c r="F11" t="str">
        <f>IF(E11="","",Rosters!C12)</f>
        <v>No</v>
      </c>
      <c r="G11" t="str">
        <f t="shared" si="1"/>
        <v>90 - MATTEO COL</v>
      </c>
    </row>
    <row r="12" spans="1:26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DANIIL YAKIMENKO</v>
      </c>
      <c r="F35" t="str">
        <f>IF(E35="","",Rosters!F6)</f>
        <v>No</v>
      </c>
      <c r="G35" t="str">
        <f t="shared" si="1"/>
        <v>0 - DANIIL YAKIMENKO</v>
      </c>
    </row>
    <row r="36" spans="1:7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0 - MATTIA MERLO</v>
      </c>
    </row>
    <row r="63" spans="1:7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EDDY MAZZETTO</v>
      </c>
      <c r="F66" t="str">
        <f>IF(E66="","",Rosters!I7)</f>
        <v>No</v>
      </c>
      <c r="G66" t="str">
        <f t="shared" ref="G66:G129" si="3">IF(E66="","",IF(D66="","",D66&amp;" - ")&amp;E66&amp;IF(F66="Yes"," (C)",""))</f>
        <v>0 - EDDY MAZZETTO</v>
      </c>
    </row>
    <row r="67" spans="1:7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0</v>
      </c>
      <c r="E74" t="str">
        <f>IF(Rosters!H15="","",Rosters!H15)</f>
        <v>NICO PAVANI</v>
      </c>
      <c r="F74">
        <f>IF(E74="","",Rosters!I15)</f>
        <v>0</v>
      </c>
      <c r="G74" t="str">
        <f t="shared" si="3"/>
        <v>0 - NICO PAVANI</v>
      </c>
    </row>
    <row r="75" spans="1:7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10</v>
      </c>
      <c r="E152" t="str">
        <f>IF(Rosters!Q3="","",Rosters!Q3)</f>
        <v>DAVIDE ZAGHI</v>
      </c>
      <c r="F152" t="str">
        <f>IF(E152="","",Rosters!R3)</f>
        <v>Yes</v>
      </c>
      <c r="G152" t="str">
        <f t="shared" si="5"/>
        <v>10 - DAVIDE ZAGHI (C)</v>
      </c>
    </row>
    <row r="153" spans="1:7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5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5 - JACOPO VOLTOLINA</v>
      </c>
    </row>
    <row r="154" spans="1:7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3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3 - MATTEO ZAMBERLAN</v>
      </c>
    </row>
    <row r="155" spans="1:7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20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20 - MATTEO DALL'ARA</v>
      </c>
    </row>
    <row r="156" spans="1:7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8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8 - LEONARDO FUSCO</v>
      </c>
    </row>
    <row r="157" spans="1:7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7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7 - DENIS TIMPANARO</v>
      </c>
    </row>
    <row r="158" spans="1:7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1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1 - MATTEO TOSETTI</v>
      </c>
    </row>
    <row r="159" spans="1:7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4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4 - MATTEO AMBROSINI</v>
      </c>
    </row>
    <row r="160" spans="1:7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6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6 - ANDREA BONIN</v>
      </c>
    </row>
    <row r="161" spans="1:7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17</v>
      </c>
      <c r="E161" t="str">
        <f>IF(Rosters!Q12="","",Rosters!Q12)</f>
        <v>DOMENICO IACOVINO</v>
      </c>
      <c r="F161" t="str">
        <f>IF(E161="","",Rosters!R12)</f>
        <v>No</v>
      </c>
      <c r="G161" t="str">
        <f t="shared" si="5"/>
        <v>17 - DOMENICO IACOVINO</v>
      </c>
    </row>
    <row r="162" spans="1:7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16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16 - GIACOMO PROTTI</v>
      </c>
    </row>
    <row r="163" spans="1:7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17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17 - NICOLA BARONI</v>
      </c>
    </row>
    <row r="193" spans="1:7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ANDREI BARZAGHIDEANU</v>
      </c>
      <c r="F248" t="str">
        <f>IF(E248="","",Rosters!AA9)</f>
        <v>No</v>
      </c>
      <c r="G248" t="str">
        <f t="shared" si="7"/>
        <v>10 - ANDREI BARZAGHIDEANU</v>
      </c>
    </row>
    <row r="249" spans="1:7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>
      <c r="A250" t="str">
        <f t="shared" si="6"/>
        <v>P249</v>
      </c>
      <c r="B250" t="str">
        <f>IF(E250="","",Teams!A10)</f>
        <v>T09</v>
      </c>
      <c r="C250" t="str">
        <f>IF(E250="","",Teams!C10)</f>
        <v>Leoni di Ricky</v>
      </c>
      <c r="D250">
        <f>IF(E250="","",Rosters!Y11)</f>
        <v>20</v>
      </c>
      <c r="E250" t="str">
        <f>IF(Rosters!Z11="","",Rosters!Z11)</f>
        <v>TOMMASO ZANGIROLAMI</v>
      </c>
      <c r="F250" t="str">
        <f>IF(E250="","",Rosters!AA11)</f>
        <v>No</v>
      </c>
      <c r="G250" t="str">
        <f t="shared" si="7"/>
        <v>20 - TOMMASO ZANGIROLAMI</v>
      </c>
    </row>
    <row r="251" spans="1:7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ELIA SICCHIERO</v>
      </c>
      <c r="F273" t="str">
        <f>IF(E273="","",Rosters!AD4)</f>
        <v>No</v>
      </c>
      <c r="G273" t="str">
        <f t="shared" si="9"/>
        <v>7 - ELIA SICCHIERO</v>
      </c>
    </row>
    <row r="274" spans="1:7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NICCOLO' PALTANIN</v>
      </c>
      <c r="F275" t="str">
        <f>IF(E275="","",Rosters!AD6)</f>
        <v>No</v>
      </c>
      <c r="G275" t="str">
        <f t="shared" si="9"/>
        <v>10 - NICCOLO' PALTANIN</v>
      </c>
    </row>
    <row r="276" spans="1:7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ALEX MENEGHELLO</v>
      </c>
      <c r="F335" t="str">
        <f>IF(E335="","",Rosters!AJ6)</f>
        <v>No</v>
      </c>
      <c r="G335" t="str">
        <f t="shared" si="11"/>
        <v>8 - ALEX MENEGHELLO</v>
      </c>
    </row>
    <row r="336" spans="1:7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7</v>
      </c>
      <c r="E462" t="str">
        <f>IF(Rosters!AU13="","",Rosters!AU13)</f>
        <v>MATTEO BOLZANI</v>
      </c>
      <c r="F462" t="str">
        <f>IF(E462="","",Rosters!AV13)</f>
        <v>No</v>
      </c>
      <c r="G462" t="str">
        <f t="shared" si="15"/>
        <v>7 - MATTEO BOLZANI</v>
      </c>
    </row>
    <row r="463" spans="1:7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1" workbookViewId="0">
      <selection activeCell="I10" sqref="I10"/>
    </sheetView>
  </sheetViews>
  <sheetFormatPr defaultRowHeight="13.8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>
      <c r="A1" s="5" t="s">
        <v>243</v>
      </c>
      <c r="B1" s="5" t="s">
        <v>244</v>
      </c>
      <c r="C1" s="5" t="s">
        <v>1</v>
      </c>
      <c r="D1" s="5" t="s">
        <v>245</v>
      </c>
      <c r="E1" s="5" t="s">
        <v>246</v>
      </c>
      <c r="F1" s="8" t="s">
        <v>247</v>
      </c>
      <c r="G1" s="5" t="s">
        <v>248</v>
      </c>
      <c r="H1" s="5" t="s">
        <v>249</v>
      </c>
      <c r="I1" s="5" t="s">
        <v>250</v>
      </c>
      <c r="J1" s="5" t="s">
        <v>251</v>
      </c>
      <c r="K1" s="5" t="s">
        <v>56</v>
      </c>
      <c r="L1" s="5" t="s">
        <v>252</v>
      </c>
      <c r="M1" s="5" t="s">
        <v>253</v>
      </c>
      <c r="N1" s="5" t="s">
        <v>254</v>
      </c>
      <c r="O1" s="5" t="s">
        <v>255</v>
      </c>
      <c r="P1" s="5" t="s">
        <v>256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257</v>
      </c>
      <c r="B2" t="s">
        <v>1</v>
      </c>
      <c r="C2" t="s">
        <v>32</v>
      </c>
      <c r="D2">
        <v>1</v>
      </c>
      <c r="E2" t="s">
        <v>258</v>
      </c>
      <c r="F2" s="10">
        <v>0.59375</v>
      </c>
      <c r="G2" t="s">
        <v>33</v>
      </c>
      <c r="H2" t="s">
        <v>35</v>
      </c>
      <c r="I2" s="2"/>
      <c r="J2" s="2"/>
      <c r="K2" s="2"/>
      <c r="L2" t="str">
        <f t="shared" ref="L2:L25" si="0">IF(OR(I2="",J2=""),"Pending",IF(I2=J2,IF(K2="","Needs penalty winner","Complete"),"Complete"))</f>
        <v>Pending</v>
      </c>
      <c r="M2" t="str">
        <f>IF(OR(I2="",J2=""),"",IF(I2&gt;J2,Settings!$B$2,IF(I2&lt;J2,Settings!$B$5,IF(K2=G2,Settings!$B$3,IF(K2=H2,Settings!$B$4,"")))))</f>
        <v/>
      </c>
      <c r="N2" t="str">
        <f>IF(OR(I2="",J2=""),"",IF(J2&gt;I2,Settings!$B$2,IF(J2&lt;I2,Settings!$B$5,IF(K2=H2,Settings!$B$3,IF(K2=G2,Settings!$B$4,"")))))</f>
        <v/>
      </c>
      <c r="O2" t="str">
        <f t="shared" ref="O2:O25" si="1">IF(OR(I2="",J2=""),"",IF(I2&gt;J2,G2,IF(J2&gt;I2,H2,K2)))</f>
        <v/>
      </c>
      <c r="P2" t="str">
        <f t="shared" ref="P2:P25" si="2">IF(OR(I2="",J2=""),"",G2&amp;" "&amp;I2&amp;" - "&amp;J2&amp;" "&amp;H2&amp;IF(K2&lt;&gt;""," (rigori: "&amp;K2&amp;")",""))</f>
        <v/>
      </c>
    </row>
    <row r="3" spans="1:26">
      <c r="A3" t="s">
        <v>259</v>
      </c>
      <c r="B3" t="s">
        <v>1</v>
      </c>
      <c r="C3" t="s">
        <v>32</v>
      </c>
      <c r="D3">
        <v>1</v>
      </c>
      <c r="E3" t="s">
        <v>260</v>
      </c>
      <c r="F3" s="10">
        <v>0.59375</v>
      </c>
      <c r="G3" t="s">
        <v>37</v>
      </c>
      <c r="H3" t="s">
        <v>39</v>
      </c>
      <c r="I3" s="2"/>
      <c r="J3" s="2"/>
      <c r="K3" s="2"/>
      <c r="L3" t="str">
        <f t="shared" si="0"/>
        <v>Pending</v>
      </c>
      <c r="M3" t="str">
        <f>IF(OR(I3="",J3=""),"",IF(I3&gt;J3,Settings!$B$2,IF(I3&lt;J3,Settings!$B$5,IF(K3=G3,Settings!$B$3,IF(K3=H3,Settings!$B$4,"")))))</f>
        <v/>
      </c>
      <c r="N3" t="str">
        <f>IF(OR(I3="",J3=""),"",IF(J3&gt;I3,Settings!$B$2,IF(J3&lt;I3,Settings!$B$5,IF(K3=H3,Settings!$B$3,IF(K3=G3,Settings!$B$4,"")))))</f>
        <v/>
      </c>
      <c r="O3" t="str">
        <f t="shared" si="1"/>
        <v/>
      </c>
      <c r="P3" t="str">
        <f t="shared" si="2"/>
        <v/>
      </c>
    </row>
    <row r="4" spans="1:26">
      <c r="A4" t="s">
        <v>261</v>
      </c>
      <c r="B4" t="s">
        <v>1</v>
      </c>
      <c r="C4" t="s">
        <v>14</v>
      </c>
      <c r="D4">
        <v>1</v>
      </c>
      <c r="E4" t="s">
        <v>262</v>
      </c>
      <c r="F4" s="10">
        <v>0.59375</v>
      </c>
      <c r="G4" t="s">
        <v>15</v>
      </c>
      <c r="H4" t="s">
        <v>17</v>
      </c>
      <c r="I4" s="2"/>
      <c r="J4" s="2"/>
      <c r="K4" s="2"/>
      <c r="L4" t="str">
        <f t="shared" si="0"/>
        <v>Pending</v>
      </c>
      <c r="M4" t="str">
        <f>IF(OR(I4="",J4=""),"",IF(I4&gt;J4,Settings!$B$2,IF(I4&lt;J4,Settings!$B$5,IF(K4=G4,Settings!$B$3,IF(K4=H4,Settings!$B$4,"")))))</f>
        <v/>
      </c>
      <c r="N4" t="str">
        <f>IF(OR(I4="",J4=""),"",IF(J4&gt;I4,Settings!$B$2,IF(J4&lt;I4,Settings!$B$5,IF(K4=H4,Settings!$B$3,IF(K4=G4,Settings!$B$4,"")))))</f>
        <v/>
      </c>
      <c r="O4" t="str">
        <f t="shared" si="1"/>
        <v/>
      </c>
      <c r="P4" t="str">
        <f t="shared" si="2"/>
        <v/>
      </c>
    </row>
    <row r="5" spans="1:26">
      <c r="A5" t="s">
        <v>263</v>
      </c>
      <c r="B5" t="s">
        <v>1</v>
      </c>
      <c r="C5" t="s">
        <v>23</v>
      </c>
      <c r="D5">
        <v>1</v>
      </c>
      <c r="E5" t="s">
        <v>258</v>
      </c>
      <c r="F5" s="10">
        <v>0.61458333333333337</v>
      </c>
      <c r="G5" t="s">
        <v>24</v>
      </c>
      <c r="H5" t="s">
        <v>26</v>
      </c>
      <c r="I5" s="2"/>
      <c r="J5" s="2"/>
      <c r="K5" s="2"/>
      <c r="L5" t="str">
        <f t="shared" si="0"/>
        <v>Pending</v>
      </c>
      <c r="M5" t="str">
        <f>IF(OR(I5="",J5=""),"",IF(I5&gt;J5,Settings!$B$2,IF(I5&lt;J5,Settings!$B$5,IF(K5=G5,Settings!$B$3,IF(K5=H5,Settings!$B$4,"")))))</f>
        <v/>
      </c>
      <c r="N5" t="str">
        <f>IF(OR(I5="",J5=""),"",IF(J5&gt;I5,Settings!$B$2,IF(J5&lt;I5,Settings!$B$5,IF(K5=H5,Settings!$B$3,IF(K5=G5,Settings!$B$4,"")))))</f>
        <v/>
      </c>
      <c r="O5" t="str">
        <f t="shared" si="1"/>
        <v/>
      </c>
      <c r="P5" t="str">
        <f t="shared" si="2"/>
        <v/>
      </c>
    </row>
    <row r="6" spans="1:26">
      <c r="A6" t="s">
        <v>264</v>
      </c>
      <c r="B6" t="s">
        <v>1</v>
      </c>
      <c r="C6" t="s">
        <v>23</v>
      </c>
      <c r="D6">
        <v>1</v>
      </c>
      <c r="E6" t="s">
        <v>260</v>
      </c>
      <c r="F6" s="10">
        <v>0.61458333333333337</v>
      </c>
      <c r="G6" t="s">
        <v>28</v>
      </c>
      <c r="H6" t="s">
        <v>30</v>
      </c>
      <c r="I6" s="2"/>
      <c r="J6" s="2"/>
      <c r="K6" s="2"/>
      <c r="L6" t="str">
        <f t="shared" si="0"/>
        <v>Pending</v>
      </c>
      <c r="M6" t="str">
        <f>IF(OR(I6="",J6=""),"",IF(I6&gt;J6,Settings!$B$2,IF(I6&lt;J6,Settings!$B$5,IF(K6=G6,Settings!$B$3,IF(K6=H6,Settings!$B$4,"")))))</f>
        <v/>
      </c>
      <c r="N6" t="str">
        <f>IF(OR(I6="",J6=""),"",IF(J6&gt;I6,Settings!$B$2,IF(J6&lt;I6,Settings!$B$5,IF(K6=H6,Settings!$B$3,IF(K6=G6,Settings!$B$4,"")))))</f>
        <v/>
      </c>
      <c r="O6" t="str">
        <f t="shared" si="1"/>
        <v/>
      </c>
      <c r="P6" t="str">
        <f t="shared" si="2"/>
        <v/>
      </c>
    </row>
    <row r="7" spans="1:26">
      <c r="A7" t="s">
        <v>265</v>
      </c>
      <c r="B7" t="s">
        <v>1</v>
      </c>
      <c r="C7" t="s">
        <v>14</v>
      </c>
      <c r="D7">
        <v>1</v>
      </c>
      <c r="E7" t="s">
        <v>262</v>
      </c>
      <c r="F7" s="10">
        <v>0.61458333333333337</v>
      </c>
      <c r="G7" t="s">
        <v>19</v>
      </c>
      <c r="H7" t="s">
        <v>21</v>
      </c>
      <c r="I7" s="2"/>
      <c r="J7" s="2"/>
      <c r="K7" s="2"/>
      <c r="L7" t="str">
        <f t="shared" si="0"/>
        <v>Pending</v>
      </c>
      <c r="M7" t="str">
        <f>IF(OR(I7="",J7=""),"",IF(I7&gt;J7,Settings!$B$2,IF(I7&lt;J7,Settings!$B$5,IF(K7=G7,Settings!$B$3,IF(K7=H7,Settings!$B$4,"")))))</f>
        <v/>
      </c>
      <c r="N7" t="str">
        <f>IF(OR(I7="",J7=""),"",IF(J7&gt;I7,Settings!$B$2,IF(J7&lt;I7,Settings!$B$5,IF(K7=H7,Settings!$B$3,IF(K7=G7,Settings!$B$4,"")))))</f>
        <v/>
      </c>
      <c r="O7" t="str">
        <f t="shared" si="1"/>
        <v/>
      </c>
      <c r="P7" t="str">
        <f t="shared" si="2"/>
        <v/>
      </c>
    </row>
    <row r="8" spans="1:26">
      <c r="A8" t="s">
        <v>266</v>
      </c>
      <c r="B8" t="s">
        <v>1</v>
      </c>
      <c r="C8" t="s">
        <v>5</v>
      </c>
      <c r="D8">
        <v>1</v>
      </c>
      <c r="E8" t="s">
        <v>258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>
      <c r="A9" t="s">
        <v>267</v>
      </c>
      <c r="B9" t="s">
        <v>1</v>
      </c>
      <c r="C9" t="s">
        <v>5</v>
      </c>
      <c r="D9">
        <v>1</v>
      </c>
      <c r="E9" t="s">
        <v>260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>
      <c r="A10" t="s">
        <v>268</v>
      </c>
      <c r="B10" t="s">
        <v>1</v>
      </c>
      <c r="C10" t="s">
        <v>32</v>
      </c>
      <c r="D10">
        <v>2</v>
      </c>
      <c r="E10" t="s">
        <v>262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>
      <c r="A11" t="s">
        <v>269</v>
      </c>
      <c r="B11" t="s">
        <v>1</v>
      </c>
      <c r="C11" t="s">
        <v>14</v>
      </c>
      <c r="D11">
        <v>2</v>
      </c>
      <c r="E11" t="s">
        <v>258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>
      <c r="A12" t="s">
        <v>270</v>
      </c>
      <c r="B12" t="s">
        <v>1</v>
      </c>
      <c r="C12" t="s">
        <v>14</v>
      </c>
      <c r="D12">
        <v>2</v>
      </c>
      <c r="E12" t="s">
        <v>260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>
      <c r="A13" t="s">
        <v>271</v>
      </c>
      <c r="B13" t="s">
        <v>1</v>
      </c>
      <c r="C13" t="s">
        <v>32</v>
      </c>
      <c r="D13">
        <v>2</v>
      </c>
      <c r="E13" t="s">
        <v>262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>
      <c r="A14" t="s">
        <v>272</v>
      </c>
      <c r="B14" t="s">
        <v>1</v>
      </c>
      <c r="C14" t="s">
        <v>23</v>
      </c>
      <c r="D14">
        <v>2</v>
      </c>
      <c r="E14" t="s">
        <v>258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>
      <c r="A15" t="s">
        <v>273</v>
      </c>
      <c r="B15" t="s">
        <v>1</v>
      </c>
      <c r="C15" t="s">
        <v>23</v>
      </c>
      <c r="D15">
        <v>2</v>
      </c>
      <c r="E15" t="s">
        <v>260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>
      <c r="A16" t="s">
        <v>274</v>
      </c>
      <c r="B16" t="s">
        <v>1</v>
      </c>
      <c r="C16" t="s">
        <v>5</v>
      </c>
      <c r="D16">
        <v>2</v>
      </c>
      <c r="E16" t="s">
        <v>262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>
      <c r="A17" t="s">
        <v>275</v>
      </c>
      <c r="B17" t="s">
        <v>1</v>
      </c>
      <c r="C17" t="s">
        <v>32</v>
      </c>
      <c r="D17">
        <v>3</v>
      </c>
      <c r="E17" t="s">
        <v>258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>
      <c r="A18" t="s">
        <v>276</v>
      </c>
      <c r="B18" t="s">
        <v>1</v>
      </c>
      <c r="C18" t="s">
        <v>32</v>
      </c>
      <c r="D18">
        <v>3</v>
      </c>
      <c r="E18" t="s">
        <v>260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>
      <c r="A19" t="s">
        <v>277</v>
      </c>
      <c r="B19" t="s">
        <v>1</v>
      </c>
      <c r="C19" t="s">
        <v>5</v>
      </c>
      <c r="D19">
        <v>2</v>
      </c>
      <c r="E19" t="s">
        <v>262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>
      <c r="A20" t="s">
        <v>278</v>
      </c>
      <c r="B20" t="s">
        <v>1</v>
      </c>
      <c r="C20" t="s">
        <v>14</v>
      </c>
      <c r="D20">
        <v>3</v>
      </c>
      <c r="E20" t="s">
        <v>258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>
      <c r="A21" t="s">
        <v>279</v>
      </c>
      <c r="B21" t="s">
        <v>1</v>
      </c>
      <c r="C21" t="s">
        <v>14</v>
      </c>
      <c r="D21">
        <v>3</v>
      </c>
      <c r="E21" t="s">
        <v>260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>
      <c r="A22" t="s">
        <v>280</v>
      </c>
      <c r="B22" t="s">
        <v>1</v>
      </c>
      <c r="C22" t="s">
        <v>23</v>
      </c>
      <c r="D22">
        <v>3</v>
      </c>
      <c r="E22" t="s">
        <v>262</v>
      </c>
      <c r="F22" s="10">
        <v>0.69930555555555551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>
      <c r="A23" t="s">
        <v>281</v>
      </c>
      <c r="B23" t="s">
        <v>1</v>
      </c>
      <c r="C23" t="s">
        <v>5</v>
      </c>
      <c r="D23">
        <v>3</v>
      </c>
      <c r="E23" t="s">
        <v>258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>
      <c r="A24" t="s">
        <v>282</v>
      </c>
      <c r="B24" t="s">
        <v>1</v>
      </c>
      <c r="C24" t="s">
        <v>5</v>
      </c>
      <c r="D24">
        <v>3</v>
      </c>
      <c r="E24" t="s">
        <v>260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>
      <c r="A25" t="s">
        <v>283</v>
      </c>
      <c r="B25" t="s">
        <v>1</v>
      </c>
      <c r="C25" t="s">
        <v>23</v>
      </c>
      <c r="D25">
        <v>3</v>
      </c>
      <c r="E25" t="s">
        <v>262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workbookViewId="0">
      <selection activeCell="G17" sqref="G17"/>
    </sheetView>
  </sheetViews>
  <sheetFormatPr defaultRowHeight="13.8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>
      <c r="A1" s="5" t="s">
        <v>243</v>
      </c>
      <c r="B1" s="5" t="s">
        <v>284</v>
      </c>
      <c r="C1" s="5" t="s">
        <v>285</v>
      </c>
      <c r="D1" s="5" t="s">
        <v>58</v>
      </c>
      <c r="E1" s="5" t="s">
        <v>286</v>
      </c>
      <c r="F1" s="5" t="s">
        <v>287</v>
      </c>
      <c r="G1" s="5" t="s">
        <v>252</v>
      </c>
      <c r="H1" s="5" t="s">
        <v>288</v>
      </c>
      <c r="I1" s="5" t="s">
        <v>289</v>
      </c>
      <c r="J1" s="5" t="s">
        <v>290</v>
      </c>
      <c r="K1" s="5" t="s">
        <v>291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IF(OR(INDEX(Matches!$I$2:$I$25,I2-1)="",INDEX(Matches!$J$2:$J$25,I2-1)=""),"",IF(J2&lt;=INDEX(Matches!$I$2:$I$25,I2-1)+INDEX(Matches!$J$2:$J$25,I2-1),INDEX(Matches!$A$2:$A$25,I2-1),""))</f>
        <v/>
      </c>
      <c r="B2" t="str">
        <f>IF(A2="","",IF(J2&lt;=INDEX(Matches!$I$2:$I$25,I2-1),INDEX(Matches!$G$2:$G$25,I2-1),INDEX(Matches!$H$2:$H$25,I2-1)))</f>
        <v/>
      </c>
      <c r="C2" t="str">
        <f>IF(A2="","",COUNTIFS($A$2:A2,A2,$B$2:B2,B2))</f>
        <v/>
      </c>
      <c r="D2" s="2" t="str">
        <f t="shared" ref="D2:D65" si="0">IF(A2="","","Goal")</f>
        <v/>
      </c>
      <c r="E2" s="2"/>
      <c r="F2" t="str">
        <f t="shared" ref="F2:F65" si="1">IF(A2="","",IF(D2="Autogol","",IF(D2="Goal",B2,"")))</f>
        <v/>
      </c>
      <c r="G2" t="str">
        <f t="shared" ref="G2:G65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292</v>
      </c>
    </row>
    <row r="3" spans="1:26">
      <c r="A3" t="str">
        <f>IF(OR(INDEX(Matches!$I$2:$I$25,I3-1)="",INDEX(Matches!$J$2:$J$25,I3-1)=""),"",IF(J3&lt;=INDEX(Matches!$I$2:$I$25,I3-1)+INDEX(Matches!$J$2:$J$25,I3-1),INDEX(Matches!$A$2:$A$25,I3-1),""))</f>
        <v/>
      </c>
      <c r="B3" t="str">
        <f>IF(A3="","",IF(J3&lt;=INDEX(Matches!$I$2:$I$25,I3-1),INDEX(Matches!$G$2:$G$25,I3-1),INDEX(Matches!$H$2:$H$25,I3-1)))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IF(OR(INDEX(Matches!$I$2:$I$25,I14-1)="",INDEX(Matches!$J$2:$J$25,I14-1)=""),"",IF(J14&lt;=INDEX(Matches!$I$2:$I$25,I14-1)+INDEX(Matches!$J$2:$J$25,I14-1),INDEX(Matches!$A$2:$A$25,I14-1),""))</f>
        <v/>
      </c>
      <c r="B14" t="str">
        <f>IF(A14="","",IF(J14&lt;=INDEX(Matches!$I$2:$I$25,I14-1),INDEX(Matches!$G$2:$G$25,I14-1),INDEX(Matches!$H$2:$H$25,I14-1)))</f>
        <v/>
      </c>
      <c r="C14" t="str">
        <f>IF(A14="","",COUNTIFS($A$2:A14,A14,$B$2:B14,B14))</f>
        <v/>
      </c>
      <c r="D14" s="2"/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/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/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IF(OR(INDEX(Matches!$I$2:$I$25,I26-1)="",INDEX(Matches!$J$2:$J$25,I26-1)=""),"",IF(J26&lt;=INDEX(Matches!$I$2:$I$25,I26-1)+INDEX(Matches!$J$2:$J$25,I26-1),INDEX(Matches!$A$2:$A$25,I26-1),""))</f>
        <v/>
      </c>
      <c r="B26" t="str">
        <f>IF(A26="","",IF(J26&lt;=INDEX(Matches!$I$2:$I$25,I26-1),INDEX(Matches!$G$2:$G$25,I26-1),INDEX(Matches!$H$2:$H$25,I26-1)))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IF(OR(INDEX(Matches!$I$2:$I$25,I38-1)="",INDEX(Matches!$J$2:$J$25,I38-1)=""),"",IF(J38&lt;=INDEX(Matches!$I$2:$I$25,I38-1)+INDEX(Matches!$J$2:$J$25,I38-1),INDEX(Matches!$A$2:$A$25,I38-1),""))</f>
        <v/>
      </c>
      <c r="B38" t="str">
        <f>IF(A38="","",IF(J38&lt;=INDEX(Matches!$I$2:$I$25,I38-1),INDEX(Matches!$G$2:$G$25,I38-1),INDEX(Matches!$H$2:$H$25,I38-1)))</f>
        <v/>
      </c>
      <c r="C38" t="str">
        <f>IF(A38="","",COUNTIFS($A$2:A38,A38,$B$2:B38,B38))</f>
        <v/>
      </c>
      <c r="D38" s="2" t="str">
        <f t="shared" si="0"/>
        <v/>
      </c>
      <c r="E38" s="2"/>
      <c r="F38" t="str">
        <f t="shared" si="1"/>
        <v/>
      </c>
      <c r="G38" t="str">
        <f t="shared" si="2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IF(OR(INDEX(Matches!$I$2:$I$25,I39-1)="",INDEX(Matches!$J$2:$J$25,I39-1)=""),"",IF(J39&lt;=INDEX(Matches!$I$2:$I$25,I39-1)+INDEX(Matches!$J$2:$J$25,I39-1),INDEX(Matches!$A$2:$A$25,I39-1),""))</f>
        <v/>
      </c>
      <c r="B39" t="str">
        <f>IF(A39="","",IF(J39&lt;=INDEX(Matches!$I$2:$I$25,I39-1),INDEX(Matches!$G$2:$G$25,I39-1),INDEX(Matches!$H$2:$H$25,I39-1)))</f>
        <v/>
      </c>
      <c r="C39" t="str">
        <f>IF(A39="","",COUNTIFS($A$2:A39,A39,$B$2:B39,B39))</f>
        <v/>
      </c>
      <c r="D39" s="2" t="str">
        <f t="shared" si="0"/>
        <v/>
      </c>
      <c r="E39" s="2"/>
      <c r="F39" t="str">
        <f t="shared" si="1"/>
        <v/>
      </c>
      <c r="G39" t="str">
        <f t="shared" si="2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IF(OR(INDEX(Matches!$I$2:$I$25,I40-1)="",INDEX(Matches!$J$2:$J$25,I40-1)=""),"",IF(J40&lt;=INDEX(Matches!$I$2:$I$25,I40-1)+INDEX(Matches!$J$2:$J$25,I40-1),INDEX(Matches!$A$2:$A$25,I40-1),""))</f>
        <v/>
      </c>
      <c r="B40" t="str">
        <f>IF(A40="","",IF(J40&lt;=INDEX(Matches!$I$2:$I$25,I40-1),INDEX(Matches!$G$2:$G$25,I40-1),INDEX(Matches!$H$2:$H$25,I40-1)))</f>
        <v/>
      </c>
      <c r="C40" t="str">
        <f>IF(A40="","",COUNTIFS($A$2:A40,A40,$B$2:B40,B40))</f>
        <v/>
      </c>
      <c r="D40" s="2" t="str">
        <f t="shared" si="0"/>
        <v/>
      </c>
      <c r="E40" s="2"/>
      <c r="F40" t="str">
        <f t="shared" si="1"/>
        <v/>
      </c>
      <c r="G40" t="str">
        <f t="shared" si="2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IF(OR(INDEX(Matches!$I$2:$I$25,I41-1)="",INDEX(Matches!$J$2:$J$25,I41-1)=""),"",IF(J41&lt;=INDEX(Matches!$I$2:$I$25,I41-1)+INDEX(Matches!$J$2:$J$25,I41-1),INDEX(Matches!$A$2:$A$25,I41-1),""))</f>
        <v/>
      </c>
      <c r="B41" t="str">
        <f>IF(A41="","",IF(J41&lt;=INDEX(Matches!$I$2:$I$25,I41-1),INDEX(Matches!$G$2:$G$25,I41-1),INDEX(Matches!$H$2:$H$25,I41-1)))</f>
        <v/>
      </c>
      <c r="C41" t="str">
        <f>IF(A41="","",COUNTIFS($A$2:A41,A41,$B$2:B41,B41))</f>
        <v/>
      </c>
      <c r="D41" s="2" t="str">
        <f t="shared" si="0"/>
        <v/>
      </c>
      <c r="E41" s="2"/>
      <c r="F41" t="str">
        <f t="shared" si="1"/>
        <v/>
      </c>
      <c r="G41" t="str">
        <f t="shared" si="2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IF(OR(INDEX(Matches!$I$2:$I$25,I42-1)="",INDEX(Matches!$J$2:$J$25,I42-1)=""),"",IF(J42&lt;=INDEX(Matches!$I$2:$I$25,I42-1)+INDEX(Matches!$J$2:$J$25,I42-1),INDEX(Matches!$A$2:$A$25,I42-1),""))</f>
        <v/>
      </c>
      <c r="B42" t="str">
        <f>IF(A42="","",IF(J42&lt;=INDEX(Matches!$I$2:$I$25,I42-1),INDEX(Matches!$G$2:$G$25,I42-1),INDEX(Matches!$H$2:$H$25,I42-1)))</f>
        <v/>
      </c>
      <c r="C42" t="str">
        <f>IF(A42="","",COUNTIFS($A$2:A42,A42,$B$2:B42,B42))</f>
        <v/>
      </c>
      <c r="D42" s="2" t="str">
        <f t="shared" si="0"/>
        <v/>
      </c>
      <c r="E42" s="2"/>
      <c r="F42" t="str">
        <f t="shared" si="1"/>
        <v/>
      </c>
      <c r="G42" t="str">
        <f t="shared" si="2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IF(OR(INDEX(Matches!$I$2:$I$25,I50-1)="",INDEX(Matches!$J$2:$J$25,I50-1)=""),"",IF(J50&lt;=INDEX(Matches!$I$2:$I$25,I50-1)+INDEX(Matches!$J$2:$J$25,I50-1),INDEX(Matches!$A$2:$A$25,I50-1),""))</f>
        <v/>
      </c>
      <c r="B50" t="str">
        <f>IF(A50="","",IF(J50&lt;=INDEX(Matches!$I$2:$I$25,I50-1),INDEX(Matches!$G$2:$G$25,I50-1),INDEX(Matches!$H$2:$H$25,I50-1)))</f>
        <v/>
      </c>
      <c r="C50" t="str">
        <f>IF(A50="","",COUNTIFS($A$2:A50,A50,$B$2:B50,B50))</f>
        <v/>
      </c>
      <c r="D50" s="2" t="str">
        <f t="shared" si="0"/>
        <v/>
      </c>
      <c r="E50" s="2"/>
      <c r="F50" t="str">
        <f t="shared" si="1"/>
        <v/>
      </c>
      <c r="G50" t="str">
        <f t="shared" si="2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IF(OR(INDEX(Matches!$I$2:$I$25,I51-1)="",INDEX(Matches!$J$2:$J$25,I51-1)=""),"",IF(J51&lt;=INDEX(Matches!$I$2:$I$25,I51-1)+INDEX(Matches!$J$2:$J$25,I51-1),INDEX(Matches!$A$2:$A$25,I51-1),""))</f>
        <v/>
      </c>
      <c r="B51" t="str">
        <f>IF(A51="","",IF(J51&lt;=INDEX(Matches!$I$2:$I$25,I51-1),INDEX(Matches!$G$2:$G$25,I51-1),INDEX(Matches!$H$2:$H$25,I51-1)))</f>
        <v/>
      </c>
      <c r="C51" t="str">
        <f>IF(A51="","",COUNTIFS($A$2:A51,A51,$B$2:B51,B51))</f>
        <v/>
      </c>
      <c r="D51" s="2" t="str">
        <f t="shared" si="0"/>
        <v/>
      </c>
      <c r="E51" s="2"/>
      <c r="F51" t="str">
        <f t="shared" si="1"/>
        <v/>
      </c>
      <c r="G51" t="str">
        <f t="shared" si="2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IF(OR(INDEX(Matches!$I$2:$I$25,I62-1)="",INDEX(Matches!$J$2:$J$25,I62-1)=""),"",IF(J62&lt;=INDEX(Matches!$I$2:$I$25,I62-1)+INDEX(Matches!$J$2:$J$25,I62-1),INDEX(Matches!$A$2:$A$25,I62-1),""))</f>
        <v/>
      </c>
      <c r="B62" t="str">
        <f>IF(A62="","",IF(J62&lt;=INDEX(Matches!$I$2:$I$25,I62-1),INDEX(Matches!$G$2:$G$25,I62-1),INDEX(Matches!$H$2:$H$25,I62-1)))</f>
        <v/>
      </c>
      <c r="C62" t="str">
        <f>IF(A62="","",COUNTIFS($A$2:A62,A62,$B$2:B62,B62))</f>
        <v/>
      </c>
      <c r="D62" s="2" t="str">
        <f t="shared" si="0"/>
        <v/>
      </c>
      <c r="E62" s="2"/>
      <c r="F62" t="str">
        <f t="shared" si="1"/>
        <v/>
      </c>
      <c r="G62" t="str">
        <f t="shared" si="2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3.8"/>
  <cols>
    <col min="1" max="2" width="28" customWidth="1"/>
    <col min="3" max="3" width="38" customWidth="1"/>
    <col min="4" max="5" width="28" customWidth="1"/>
  </cols>
  <sheetData>
    <row r="1" spans="1:26">
      <c r="A1" s="5" t="s">
        <v>286</v>
      </c>
      <c r="B1" s="5" t="s">
        <v>293</v>
      </c>
      <c r="C1" s="5" t="s">
        <v>242</v>
      </c>
      <c r="D1" s="5" t="s">
        <v>294</v>
      </c>
      <c r="E1" s="5" t="s">
        <v>295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>
      <c r="A8" t="str">
        <f>IF(Players!E8="","",Players!E8)</f>
        <v>SAMUELE DURRA</v>
      </c>
      <c r="B8" t="str">
        <f>IF(A8="","",Players!C8)</f>
        <v>Fatine FC</v>
      </c>
      <c r="C8" t="str">
        <f>IF(A8="","",Players!G8)</f>
        <v>11 - SAMUELE DURRA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>
      <c r="A11" t="str">
        <f>IF(Players!E11="","",Players!E11)</f>
        <v>MATTEO COL</v>
      </c>
      <c r="B11" t="str">
        <f>IF(A11="","",Players!C11)</f>
        <v>Fatine FC</v>
      </c>
      <c r="C11" t="str">
        <f>IF(A11="","",Players!G11)</f>
        <v>90 - MATTEO COL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>
      <c r="A35" t="str">
        <f>IF(Players!E35="","",Players!E35)</f>
        <v>DANIIL YAKIMENKO</v>
      </c>
      <c r="B35" t="str">
        <f>IF(A35="","",Players!C35)</f>
        <v>FC Internazionale Rovigo</v>
      </c>
      <c r="C35" t="str">
        <f>IF(A35="","",Players!G35)</f>
        <v>0 - DANIIL YAKIMENKO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0 -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>
      <c r="A66" t="str">
        <f>IF(Players!E66="","",Players!E66)</f>
        <v>EDDY MAZZETTO</v>
      </c>
      <c r="B66" t="str">
        <f>IF(A66="","",Players!C66)</f>
        <v>Moviola Utd</v>
      </c>
      <c r="C66" t="str">
        <f>IF(A66="","",Players!G66)</f>
        <v>0 - EDDY MAZZETTO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>
      <c r="A74" t="str">
        <f>IF(Players!E74="","",Players!E74)</f>
        <v>NICO PAVANI</v>
      </c>
      <c r="B74" t="str">
        <f>IF(A74="","",Players!C74)</f>
        <v>Moviola Utd</v>
      </c>
      <c r="C74" t="str">
        <f>IF(A74="","",Players!G74)</f>
        <v>0 - NICO PAVANI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0</v>
      </c>
      <c r="E74">
        <f t="shared" si="1"/>
        <v>-7.3999999999999996E-2</v>
      </c>
    </row>
    <row r="75" spans="1:5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10 - DAVIDE ZAGHI (C)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0</v>
      </c>
      <c r="E152">
        <f t="shared" si="2"/>
        <v>-0.152</v>
      </c>
    </row>
    <row r="153" spans="1:5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5 -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0</v>
      </c>
      <c r="E153">
        <f t="shared" si="2"/>
        <v>-0.153</v>
      </c>
    </row>
    <row r="154" spans="1:5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3 -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0</v>
      </c>
      <c r="E154">
        <f t="shared" si="2"/>
        <v>-0.154</v>
      </c>
    </row>
    <row r="155" spans="1:5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20 -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0</v>
      </c>
      <c r="E155">
        <f t="shared" si="2"/>
        <v>-0.155</v>
      </c>
    </row>
    <row r="156" spans="1:5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8 -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0</v>
      </c>
      <c r="E156">
        <f t="shared" si="2"/>
        <v>-0.156</v>
      </c>
    </row>
    <row r="157" spans="1:5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7 -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0</v>
      </c>
      <c r="E157">
        <f t="shared" si="2"/>
        <v>-0.157</v>
      </c>
    </row>
    <row r="158" spans="1:5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1 -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4 -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6 -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17 - DOMENICO IACOVINO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0</v>
      </c>
      <c r="E161">
        <f t="shared" si="2"/>
        <v>-0.161</v>
      </c>
    </row>
    <row r="162" spans="1:5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16 -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0</v>
      </c>
      <c r="E184">
        <f t="shared" si="2"/>
        <v>-0.184</v>
      </c>
    </row>
    <row r="185" spans="1:5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0</v>
      </c>
      <c r="E188">
        <f t="shared" si="2"/>
        <v>-0.188</v>
      </c>
    </row>
    <row r="189" spans="1:5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17 -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0</v>
      </c>
      <c r="E192">
        <f t="shared" si="2"/>
        <v>-0.192</v>
      </c>
    </row>
    <row r="193" spans="1:5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0</v>
      </c>
      <c r="E243">
        <f t="shared" si="3"/>
        <v>-0.24299999999999999</v>
      </c>
    </row>
    <row r="244" spans="1:5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>
      <c r="A248" t="str">
        <f>IF(Players!E248="","",Players!E248)</f>
        <v>ANDREI BARZAGHIDEANU</v>
      </c>
      <c r="B248" t="str">
        <f>IF(A248="","",Players!C248)</f>
        <v>Leoni di Ricky</v>
      </c>
      <c r="C248" t="str">
        <f>IF(A248="","",Players!G248)</f>
        <v>10 - ANDREI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>
      <c r="A250" t="str">
        <f>IF(Players!E250="","",Players!E250)</f>
        <v>TOMMASO ZANGIROLAMI</v>
      </c>
      <c r="B250" t="str">
        <f>IF(A250="","",Players!C250)</f>
        <v>Leoni di Ricky</v>
      </c>
      <c r="C250" t="str">
        <f>IF(A250="","",Players!G250)</f>
        <v>20 - TOMMASO ZANGIROLAMI</v>
      </c>
      <c r="D250">
        <f>IF(A250="","",COUNTIFS(Goals!$D$2:$D$289,"Goal",Goals!$E$2:$E$289,"*"&amp;A250&amp;"*",Goals!$F$2:$F$289,B250)+COUNTIFS(KnockoutGoals!$D$2:$D$85,"Goal",KnockoutGoals!$E$2:$E$85,"*"&amp;A250&amp;"*",KnockoutGoals!$F$2:$F$85,B250))</f>
        <v>0</v>
      </c>
      <c r="E250">
        <f t="shared" si="3"/>
        <v>-0.25</v>
      </c>
    </row>
    <row r="251" spans="1:5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>
      <c r="A273" t="str">
        <f>IF(Players!E273="","",Players!E273)</f>
        <v>ELIA SICCHIERO</v>
      </c>
      <c r="B273" t="str">
        <f>IF(A273="","",Players!C273)</f>
        <v>Pink 5ive</v>
      </c>
      <c r="C273" t="str">
        <f>IF(A273="","",Players!G273)</f>
        <v>7 - ELIA SICCHIERO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>
      <c r="A275" t="str">
        <f>IF(Players!E275="","",Players!E275)</f>
        <v>NICCOLO' PALTANIN</v>
      </c>
      <c r="B275" t="str">
        <f>IF(A275="","",Players!C275)</f>
        <v>Pink 5ive</v>
      </c>
      <c r="C275" t="str">
        <f>IF(A275="","",Players!G275)</f>
        <v>10 - NICCOLO' PALTANIN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>
      <c r="A335" t="str">
        <f>IF(Players!E335="","",Players!E335)</f>
        <v>ALEX MENEGHELLO</v>
      </c>
      <c r="B335" t="str">
        <f>IF(A335="","",Players!C335)</f>
        <v>Cani</v>
      </c>
      <c r="C335" t="str">
        <f>IF(A335="","",Players!G335)</f>
        <v>8 - ALEX MENEGHELLO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0</v>
      </c>
      <c r="E365">
        <f t="shared" si="5"/>
        <v>-0.36499999999999999</v>
      </c>
    </row>
    <row r="366" spans="1:5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0</v>
      </c>
      <c r="E401">
        <f t="shared" si="6"/>
        <v>-0.40100000000000002</v>
      </c>
    </row>
    <row r="402" spans="1:5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0</v>
      </c>
      <c r="E458">
        <f t="shared" si="7"/>
        <v>-0.45800000000000002</v>
      </c>
    </row>
    <row r="459" spans="1:5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>
      <c r="A462" t="str">
        <f>IF(Players!E462="","",Players!E462)</f>
        <v>MATTEO BOLZANI</v>
      </c>
      <c r="B462" t="str">
        <f>IF(A462="","",Players!C462)</f>
        <v>Piadineria la Salsiccia</v>
      </c>
      <c r="C462" t="str">
        <f>IF(A462="","",Players!G462)</f>
        <v>7 - MATTEO BOLZANI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0</v>
      </c>
      <c r="E462">
        <f t="shared" si="7"/>
        <v>-0.46200000000000002</v>
      </c>
    </row>
    <row r="463" spans="1:5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3.8"/>
  <cols>
    <col min="1" max="4" width="28" customWidth="1"/>
  </cols>
  <sheetData>
    <row r="1" spans="1:26">
      <c r="A1" s="5" t="s">
        <v>296</v>
      </c>
      <c r="B1" s="5" t="s">
        <v>286</v>
      </c>
      <c r="C1" s="5" t="s">
        <v>293</v>
      </c>
      <c r="D1" s="5" t="s">
        <v>294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/>
      </c>
      <c r="C2" t="str">
        <f>IF($A2="","",INDEX(ScorerData!$B$2:$B$481,MATCH(LARGE(ScorerData!$E$2:$E$481,$A2),ScorerData!$E$2:$E$481,0)))</f>
        <v/>
      </c>
      <c r="D2" t="str">
        <f>IF($A2="","",INDEX(ScorerData!$D$2:$D$481,MATCH(LARGE(ScorerData!$E$2:$E$481,$A2),ScorerData!$E$2:$E$481,0)))</f>
        <v/>
      </c>
    </row>
    <row r="3" spans="1:26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/>
      </c>
      <c r="C3" t="str">
        <f>IF($A3="","",INDEX(ScorerData!$B$2:$B$481,MATCH(LARGE(ScorerData!$E$2:$E$481,$A3),ScorerData!$E$2:$E$481,0)))</f>
        <v/>
      </c>
      <c r="D3" t="str">
        <f>IF($A3="","",INDEX(ScorerData!$D$2:$D$481,MATCH(LARGE(ScorerData!$E$2:$E$481,$A3),ScorerData!$E$2:$E$481,0)))</f>
        <v/>
      </c>
    </row>
    <row r="4" spans="1:26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/>
      </c>
      <c r="C4" t="str">
        <f>IF($A4="","",INDEX(ScorerData!$B$2:$B$481,MATCH(LARGE(ScorerData!$E$2:$E$481,$A4),ScorerData!$E$2:$E$481,0)))</f>
        <v/>
      </c>
      <c r="D4" t="str">
        <f>IF($A4="","",INDEX(ScorerData!$D$2:$D$481,MATCH(LARGE(ScorerData!$E$2:$E$481,$A4),ScorerData!$E$2:$E$481,0)))</f>
        <v/>
      </c>
    </row>
    <row r="5" spans="1:26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/>
      </c>
      <c r="C5" t="str">
        <f>IF($A5="","",INDEX(ScorerData!$B$2:$B$481,MATCH(LARGE(ScorerData!$E$2:$E$481,$A5),ScorerData!$E$2:$E$481,0)))</f>
        <v/>
      </c>
      <c r="D5" t="str">
        <f>IF($A5="","",INDEX(ScorerData!$D$2:$D$481,MATCH(LARGE(ScorerData!$E$2:$E$481,$A5),ScorerData!$E$2:$E$481,0)))</f>
        <v/>
      </c>
    </row>
    <row r="6" spans="1:26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/>
      </c>
      <c r="C6" t="str">
        <f>IF($A6="","",INDEX(ScorerData!$B$2:$B$481,MATCH(LARGE(ScorerData!$E$2:$E$481,$A6),ScorerData!$E$2:$E$481,0)))</f>
        <v/>
      </c>
      <c r="D6" t="str">
        <f>IF($A6="","",INDEX(ScorerData!$D$2:$D$481,MATCH(LARGE(ScorerData!$E$2:$E$481,$A6),ScorerData!$E$2:$E$481,0)))</f>
        <v/>
      </c>
    </row>
    <row r="7" spans="1:26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/>
      </c>
      <c r="C7" t="str">
        <f>IF($A7="","",INDEX(ScorerData!$B$2:$B$481,MATCH(LARGE(ScorerData!$E$2:$E$481,$A7),ScorerData!$E$2:$E$481,0)))</f>
        <v/>
      </c>
      <c r="D7" t="str">
        <f>IF($A7="","",INDEX(ScorerData!$D$2:$D$481,MATCH(LARGE(ScorerData!$E$2:$E$481,$A7),ScorerData!$E$2:$E$481,0)))</f>
        <v/>
      </c>
    </row>
    <row r="8" spans="1:26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/>
      </c>
      <c r="C8" t="str">
        <f>IF($A8="","",INDEX(ScorerData!$B$2:$B$481,MATCH(LARGE(ScorerData!$E$2:$E$481,$A8),ScorerData!$E$2:$E$481,0)))</f>
        <v/>
      </c>
      <c r="D8" t="str">
        <f>IF($A8="","",INDEX(ScorerData!$D$2:$D$481,MATCH(LARGE(ScorerData!$E$2:$E$481,$A8),ScorerData!$E$2:$E$481,0)))</f>
        <v/>
      </c>
    </row>
    <row r="9" spans="1:26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/>
      </c>
      <c r="C9" t="str">
        <f>IF($A9="","",INDEX(ScorerData!$B$2:$B$481,MATCH(LARGE(ScorerData!$E$2:$E$481,$A9),ScorerData!$E$2:$E$481,0)))</f>
        <v/>
      </c>
      <c r="D9" t="str">
        <f>IF($A9="","",INDEX(ScorerData!$D$2:$D$481,MATCH(LARGE(ScorerData!$E$2:$E$481,$A9),ScorerData!$E$2:$E$481,0)))</f>
        <v/>
      </c>
    </row>
    <row r="10" spans="1:26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/>
      </c>
      <c r="C10" t="str">
        <f>IF($A10="","",INDEX(ScorerData!$B$2:$B$481,MATCH(LARGE(ScorerData!$E$2:$E$481,$A10),ScorerData!$E$2:$E$481,0)))</f>
        <v/>
      </c>
      <c r="D10" t="str">
        <f>IF($A10="","",INDEX(ScorerData!$D$2:$D$481,MATCH(LARGE(ScorerData!$E$2:$E$481,$A10),ScorerData!$E$2:$E$481,0)))</f>
        <v/>
      </c>
    </row>
    <row r="11" spans="1:26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/>
      </c>
      <c r="C11" t="str">
        <f>IF($A11="","",INDEX(ScorerData!$B$2:$B$481,MATCH(LARGE(ScorerData!$E$2:$E$481,$A11),ScorerData!$E$2:$E$481,0)))</f>
        <v/>
      </c>
      <c r="D11" t="str">
        <f>IF($A11="","",INDEX(ScorerData!$D$2:$D$481,MATCH(LARGE(ScorerData!$E$2:$E$481,$A11),ScorerData!$E$2:$E$481,0)))</f>
        <v/>
      </c>
    </row>
    <row r="12" spans="1:26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/>
      </c>
      <c r="C12" t="str">
        <f>IF($A12="","",INDEX(ScorerData!$B$2:$B$481,MATCH(LARGE(ScorerData!$E$2:$E$481,$A12),ScorerData!$E$2:$E$481,0)))</f>
        <v/>
      </c>
      <c r="D12" t="str">
        <f>IF($A12="","",INDEX(ScorerData!$D$2:$D$481,MATCH(LARGE(ScorerData!$E$2:$E$481,$A12),ScorerData!$E$2:$E$481,0)))</f>
        <v/>
      </c>
    </row>
    <row r="13" spans="1:26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/>
      </c>
      <c r="C13" t="str">
        <f>IF($A13="","",INDEX(ScorerData!$B$2:$B$481,MATCH(LARGE(ScorerData!$E$2:$E$481,$A13),ScorerData!$E$2:$E$481,0)))</f>
        <v/>
      </c>
      <c r="D13" t="str">
        <f>IF($A13="","",INDEX(ScorerData!$D$2:$D$481,MATCH(LARGE(ScorerData!$E$2:$E$481,$A13),ScorerData!$E$2:$E$481,0)))</f>
        <v/>
      </c>
    </row>
    <row r="14" spans="1:26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/>
      </c>
      <c r="C14" t="str">
        <f>IF($A14="","",INDEX(ScorerData!$B$2:$B$481,MATCH(LARGE(ScorerData!$E$2:$E$481,$A14),ScorerData!$E$2:$E$481,0)))</f>
        <v/>
      </c>
      <c r="D14" t="str">
        <f>IF($A14="","",INDEX(ScorerData!$D$2:$D$481,MATCH(LARGE(ScorerData!$E$2:$E$481,$A14),ScorerData!$E$2:$E$481,0)))</f>
        <v/>
      </c>
    </row>
    <row r="15" spans="1:26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/>
      </c>
      <c r="C15" t="str">
        <f>IF($A15="","",INDEX(ScorerData!$B$2:$B$481,MATCH(LARGE(ScorerData!$E$2:$E$481,$A15),ScorerData!$E$2:$E$481,0)))</f>
        <v/>
      </c>
      <c r="D15" t="str">
        <f>IF($A15="","",INDEX(ScorerData!$D$2:$D$481,MATCH(LARGE(ScorerData!$E$2:$E$481,$A15),ScorerData!$E$2:$E$481,0)))</f>
        <v/>
      </c>
    </row>
    <row r="16" spans="1:26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/>
      </c>
      <c r="C16" t="str">
        <f>IF($A16="","",INDEX(ScorerData!$B$2:$B$481,MATCH(LARGE(ScorerData!$E$2:$E$481,$A16),ScorerData!$E$2:$E$481,0)))</f>
        <v/>
      </c>
      <c r="D16" t="str">
        <f>IF($A16="","",INDEX(ScorerData!$D$2:$D$481,MATCH(LARGE(ScorerData!$E$2:$E$481,$A16),ScorerData!$E$2:$E$481,0)))</f>
        <v/>
      </c>
    </row>
    <row r="17" spans="1:4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/>
      </c>
      <c r="C17" t="str">
        <f>IF($A17="","",INDEX(ScorerData!$B$2:$B$481,MATCH(LARGE(ScorerData!$E$2:$E$481,$A17),ScorerData!$E$2:$E$481,0)))</f>
        <v/>
      </c>
      <c r="D17" t="str">
        <f>IF($A17="","",INDEX(ScorerData!$D$2:$D$481,MATCH(LARGE(ScorerData!$E$2:$E$481,$A17),ScorerData!$E$2:$E$481,0)))</f>
        <v/>
      </c>
    </row>
    <row r="18" spans="1:4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/>
      </c>
      <c r="C18" t="str">
        <f>IF($A18="","",INDEX(ScorerData!$B$2:$B$481,MATCH(LARGE(ScorerData!$E$2:$E$481,$A18),ScorerData!$E$2:$E$481,0)))</f>
        <v/>
      </c>
      <c r="D18" t="str">
        <f>IF($A18="","",INDEX(ScorerData!$D$2:$D$481,MATCH(LARGE(ScorerData!$E$2:$E$481,$A18),ScorerData!$E$2:$E$481,0)))</f>
        <v/>
      </c>
    </row>
    <row r="19" spans="1:4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/>
      </c>
      <c r="C19" t="str">
        <f>IF($A19="","",INDEX(ScorerData!$B$2:$B$481,MATCH(LARGE(ScorerData!$E$2:$E$481,$A19),ScorerData!$E$2:$E$481,0)))</f>
        <v/>
      </c>
      <c r="D19" t="str">
        <f>IF($A19="","",INDEX(ScorerData!$D$2:$D$481,MATCH(LARGE(ScorerData!$E$2:$E$481,$A19),ScorerData!$E$2:$E$481,0)))</f>
        <v/>
      </c>
    </row>
    <row r="20" spans="1:4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/>
      </c>
      <c r="C20" t="str">
        <f>IF($A20="","",INDEX(ScorerData!$B$2:$B$481,MATCH(LARGE(ScorerData!$E$2:$E$481,$A20),ScorerData!$E$2:$E$481,0)))</f>
        <v/>
      </c>
      <c r="D20" t="str">
        <f>IF($A20="","",INDEX(ScorerData!$D$2:$D$481,MATCH(LARGE(ScorerData!$E$2:$E$481,$A20),ScorerData!$E$2:$E$481,0)))</f>
        <v/>
      </c>
    </row>
    <row r="21" spans="1:4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3.8"/>
  <cols>
    <col min="1" max="1" width="14" customWidth="1"/>
    <col min="2" max="2" width="28" customWidth="1"/>
    <col min="3" max="13" width="14" customWidth="1"/>
  </cols>
  <sheetData>
    <row r="1" spans="1:26">
      <c r="A1" s="5" t="s">
        <v>1</v>
      </c>
      <c r="B1" s="5" t="s">
        <v>293</v>
      </c>
      <c r="C1" s="5" t="s">
        <v>297</v>
      </c>
      <c r="D1" s="5" t="s">
        <v>298</v>
      </c>
      <c r="E1" s="5" t="s">
        <v>299</v>
      </c>
      <c r="F1" s="5" t="s">
        <v>300</v>
      </c>
      <c r="G1" s="5" t="s">
        <v>301</v>
      </c>
      <c r="H1" s="5" t="s">
        <v>302</v>
      </c>
      <c r="I1" s="5" t="s">
        <v>303</v>
      </c>
      <c r="J1" s="5" t="s">
        <v>304</v>
      </c>
      <c r="K1" s="5" t="s">
        <v>305</v>
      </c>
      <c r="L1" s="5" t="s">
        <v>306</v>
      </c>
      <c r="M1" s="5" t="s">
        <v>295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>
      <c r="A6" t="s">
        <v>14</v>
      </c>
      <c r="B6" t="s">
        <v>15</v>
      </c>
      <c r="C6">
        <f>COUNTIFS(Matches!$G$2:$G$25,$B6,Matches!$L$2:$L$25,"Complete")+COUNTIFS(Matches!$H$2:$H$25,$B6,Matches!$L$2:$L$25,"Complete")</f>
        <v>0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0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0</v>
      </c>
      <c r="J6">
        <f t="shared" si="0"/>
        <v>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-6.0000000000000001E-3</v>
      </c>
    </row>
    <row r="7" spans="1:26">
      <c r="A7" t="s">
        <v>14</v>
      </c>
      <c r="B7" t="s">
        <v>17</v>
      </c>
      <c r="C7">
        <f>COUNTIFS(Matches!$G$2:$G$25,$B7,Matches!$L$2:$L$25,"Complete")+COUNTIFS(Matches!$H$2:$H$25,$B7,Matches!$L$2:$L$25,"Complete")</f>
        <v>0</v>
      </c>
      <c r="D7">
        <f>COUNTIFS(Matches!$G$2:$G$25,$B7,Matches!$L$2:$L$25,"Complete",Matches!$M$2:$M$25,3)+COUNTIFS(Matches!$H$2:$H$25,$B7,Matches!$L$2:$L$25,"Complete",Matches!$N$2:$N$25,3)</f>
        <v>0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0</v>
      </c>
      <c r="K7">
        <f>SUMIFS(Matches!$M$2:$M$25,Matches!$G$2:$G$25,$B7,Matches!$L$2:$L$25,"Complete")+SUMIFS(Matches!$N$2:$N$25,Matches!$H$2:$H$25,$B7,Matches!$L$2:$L$25,"Complete")</f>
        <v>0</v>
      </c>
      <c r="L7" s="2">
        <f>0</f>
        <v>0</v>
      </c>
      <c r="M7">
        <f t="shared" si="1"/>
        <v>-7.0000000000000001E-3</v>
      </c>
    </row>
    <row r="8" spans="1:26">
      <c r="A8" t="s">
        <v>14</v>
      </c>
      <c r="B8" t="s">
        <v>19</v>
      </c>
      <c r="C8">
        <f>COUNTIFS(Matches!$G$2:$G$25,$B8,Matches!$L$2:$L$25,"Complete")+COUNTIFS(Matches!$H$2:$H$25,$B8,Matches!$L$2:$L$25,"Complete")</f>
        <v>0</v>
      </c>
      <c r="D8">
        <f>COUNTIFS(Matches!$G$2:$G$25,$B8,Matches!$L$2:$L$25,"Complete",Matches!$M$2:$M$25,3)+COUNTIFS(Matches!$H$2:$H$25,$B8,Matches!$L$2:$L$25,"Complete",Matches!$N$2:$N$25,3)</f>
        <v>0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0</v>
      </c>
      <c r="K8">
        <f>SUMIFS(Matches!$M$2:$M$25,Matches!$G$2:$G$25,$B8,Matches!$L$2:$L$25,"Complete")+SUMIFS(Matches!$N$2:$N$25,Matches!$H$2:$H$25,$B8,Matches!$L$2:$L$25,"Complete")</f>
        <v>0</v>
      </c>
      <c r="L8" s="2">
        <f>0</f>
        <v>0</v>
      </c>
      <c r="M8">
        <f t="shared" si="1"/>
        <v>-8.0000000000000002E-3</v>
      </c>
    </row>
    <row r="9" spans="1:26">
      <c r="A9" t="s">
        <v>14</v>
      </c>
      <c r="B9" t="s">
        <v>21</v>
      </c>
      <c r="C9">
        <f>COUNTIFS(Matches!$G$2:$G$25,$B9,Matches!$L$2:$L$25,"Complete")+COUNTIFS(Matches!$H$2:$H$25,$B9,Matches!$L$2:$L$25,"Complete")</f>
        <v>0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0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0</v>
      </c>
      <c r="J9">
        <f t="shared" si="0"/>
        <v>0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-8.9999999999999993E-3</v>
      </c>
    </row>
    <row r="10" spans="1:26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0</v>
      </c>
      <c r="D10">
        <f>COUNTIFS(Matches!$G$2:$G$25,$B10,Matches!$L$2:$L$25,"Complete",Matches!$M$2:$M$25,3)+COUNTIFS(Matches!$H$2:$H$25,$B10,Matches!$L$2:$L$25,"Complete",Matches!$N$2:$N$25,3)</f>
        <v>0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0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0</v>
      </c>
      <c r="K10">
        <f>SUMIFS(Matches!$M$2:$M$25,Matches!$G$2:$G$25,$B10,Matches!$L$2:$L$25,"Complete")+SUMIFS(Matches!$N$2:$N$25,Matches!$H$2:$H$25,$B10,Matches!$L$2:$L$25,"Complete")</f>
        <v>0</v>
      </c>
      <c r="L10" s="2">
        <f>0</f>
        <v>0</v>
      </c>
      <c r="M10">
        <f t="shared" si="1"/>
        <v>-0.01</v>
      </c>
    </row>
    <row r="11" spans="1:26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0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0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0</v>
      </c>
      <c r="J11">
        <f t="shared" si="0"/>
        <v>0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-1.0999999999999999E-2</v>
      </c>
    </row>
    <row r="12" spans="1:26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0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0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0</v>
      </c>
      <c r="L12" s="2">
        <f>0</f>
        <v>0</v>
      </c>
      <c r="M12">
        <f t="shared" si="1"/>
        <v>-1.2E-2</v>
      </c>
    </row>
    <row r="13" spans="1:26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0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0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-1.2999999999999999E-2</v>
      </c>
    </row>
    <row r="14" spans="1:26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0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0</v>
      </c>
      <c r="H14">
        <f>SUMIFS(Matches!$I$2:$I$25,Matches!$G$2:$G$25,$B14,Matches!$L$2:$L$25,"Complete")+SUMIFS(Matches!$J$2:$J$25,Matches!$H$2:$H$25,$B14,Matches!$L$2:$L$25,"Complete")</f>
        <v>0</v>
      </c>
      <c r="I14">
        <f>SUMIFS(Matches!$J$2:$J$25,Matches!$G$2:$G$25,$B14,Matches!$L$2:$L$25,"Complete")+SUMIFS(Matches!$I$2:$I$25,Matches!$H$2:$H$25,$B14,Matches!$L$2:$L$25,"Complete")</f>
        <v>0</v>
      </c>
      <c r="J14">
        <f t="shared" si="0"/>
        <v>0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-1.4E-2</v>
      </c>
    </row>
    <row r="15" spans="1:26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0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0</v>
      </c>
      <c r="I15">
        <f>SUMIFS(Matches!$J$2:$J$25,Matches!$G$2:$G$25,$B15,Matches!$L$2:$L$25,"Complete")+SUMIFS(Matches!$I$2:$I$25,Matches!$H$2:$H$25,$B15,Matches!$L$2:$L$25,"Complete")</f>
        <v>0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-1.4999999999999999E-2</v>
      </c>
    </row>
    <row r="16" spans="1:26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0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0</v>
      </c>
      <c r="J16">
        <f t="shared" si="0"/>
        <v>0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-1.6E-2</v>
      </c>
    </row>
    <row r="17" spans="1:1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0</v>
      </c>
      <c r="D17">
        <f>COUNTIFS(Matches!$G$2:$G$25,$B17,Matches!$L$2:$L$25,"Complete",Matches!$M$2:$M$25,3)+COUNTIFS(Matches!$H$2:$H$25,$B17,Matches!$L$2:$L$25,"Complete",Matches!$N$2:$N$25,3)</f>
        <v>0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0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0</v>
      </c>
      <c r="K17">
        <f>SUMIFS(Matches!$M$2:$M$25,Matches!$G$2:$G$25,$B17,Matches!$L$2:$L$25,"Complete")+SUMIFS(Matches!$N$2:$N$25,Matches!$H$2:$H$25,$B17,Matches!$L$2:$L$25,"Complete")</f>
        <v>0</v>
      </c>
      <c r="L17" s="2">
        <f>0</f>
        <v>0</v>
      </c>
      <c r="M17">
        <f t="shared" si="1"/>
        <v>-1.7000000000000001E-2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3.8"/>
  <cols>
    <col min="1" max="2" width="12" customWidth="1"/>
    <col min="3" max="3" width="30" customWidth="1"/>
    <col min="4" max="12" width="12" customWidth="1"/>
  </cols>
  <sheetData>
    <row r="1" spans="1:26">
      <c r="A1" s="5" t="s">
        <v>1</v>
      </c>
      <c r="B1" s="5" t="s">
        <v>296</v>
      </c>
      <c r="C1" s="5" t="s">
        <v>293</v>
      </c>
      <c r="D1" s="5" t="s">
        <v>307</v>
      </c>
      <c r="E1" s="5" t="s">
        <v>308</v>
      </c>
      <c r="F1" s="5" t="s">
        <v>309</v>
      </c>
      <c r="G1" s="5" t="s">
        <v>310</v>
      </c>
      <c r="H1" s="5" t="s">
        <v>311</v>
      </c>
      <c r="I1" s="5" t="s">
        <v>312</v>
      </c>
      <c r="J1" s="5" t="s">
        <v>302</v>
      </c>
      <c r="K1" s="5" t="s">
        <v>303</v>
      </c>
      <c r="L1" s="5" t="s">
        <v>304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>
      <c r="A6" t="s">
        <v>14</v>
      </c>
      <c r="B6">
        <v>1</v>
      </c>
      <c r="C6" t="str">
        <f>INDEX(StandingsData!$B$6:$B$9,MATCH(LARGE(StandingsData!$M$6:$M$9,1),StandingsData!$M$6:$M$9,0))</f>
        <v>Totani</v>
      </c>
      <c r="D6">
        <f>INDEX(StandingsData!$K$6:$K$9,MATCH(LARGE(StandingsData!$M$6:$M$9,1),StandingsData!$M$6:$M$9,0))</f>
        <v>0</v>
      </c>
      <c r="E6">
        <f>INDEX(StandingsData!$C$6:$C$9,MATCH(LARGE(StandingsData!$M$6:$M$9,1),StandingsData!$M$6:$M$9,0))</f>
        <v>0</v>
      </c>
      <c r="F6">
        <f>INDEX(StandingsData!$D$6:$D$9,MATCH(LARGE(StandingsData!$M$6:$M$9,1),StandingsData!$M$6:$M$9,0))</f>
        <v>0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0</v>
      </c>
    </row>
    <row r="7" spans="1:26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0</v>
      </c>
      <c r="E7">
        <f>INDEX(StandingsData!$C$6:$C$9,MATCH(LARGE(StandingsData!$M$6:$M$9,2),StandingsData!$M$6:$M$9,0))</f>
        <v>0</v>
      </c>
      <c r="F7">
        <f>INDEX(StandingsData!$D$6:$D$9,MATCH(LARGE(StandingsData!$M$6:$M$9,2),StandingsData!$M$6:$M$9,0))</f>
        <v>0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0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0</v>
      </c>
    </row>
    <row r="8" spans="1:26">
      <c r="A8" t="s">
        <v>14</v>
      </c>
      <c r="B8">
        <v>3</v>
      </c>
      <c r="C8" t="str">
        <f>INDEX(StandingsData!$B$6:$B$9,MATCH(LARGE(StandingsData!$M$6:$M$9,3),StandingsData!$M$6:$M$9,0))</f>
        <v>AS Bancatore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0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0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0</v>
      </c>
      <c r="L8">
        <f>INDEX(StandingsData!$J$6:$J$9,MATCH(LARGE(StandingsData!$M$6:$M$9,3),StandingsData!$M$6:$M$9,0))</f>
        <v>0</v>
      </c>
    </row>
    <row r="9" spans="1:26">
      <c r="A9" t="s">
        <v>14</v>
      </c>
      <c r="B9">
        <v>4</v>
      </c>
      <c r="C9" t="str">
        <f>INDEX(StandingsData!$B$6:$B$9,MATCH(LARGE(StandingsData!$M$6:$M$9,4),StandingsData!$M$6:$M$9,0))</f>
        <v>Beverton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0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0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0</v>
      </c>
      <c r="L9">
        <f>INDEX(StandingsData!$J$6:$J$9,MATCH(LARGE(StandingsData!$M$6:$M$9,4),StandingsData!$M$6:$M$9,0))</f>
        <v>0</v>
      </c>
    </row>
    <row r="10" spans="1:26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0</v>
      </c>
      <c r="E10">
        <f>INDEX(StandingsData!$C$10:$C$13,MATCH(LARGE(StandingsData!$M$10:$M$13,1),StandingsData!$M$10:$M$13,0))</f>
        <v>0</v>
      </c>
      <c r="F10">
        <f>INDEX(StandingsData!$D$10:$D$13,MATCH(LARGE(StandingsData!$M$10:$M$13,1),StandingsData!$M$10:$M$13,0))</f>
        <v>0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0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0</v>
      </c>
    </row>
    <row r="11" spans="1:26">
      <c r="A11" t="s">
        <v>23</v>
      </c>
      <c r="B11">
        <v>2</v>
      </c>
      <c r="C11" t="str">
        <f>INDEX(StandingsData!$B$10:$B$13,MATCH(LARGE(StandingsData!$M$10:$M$13,2),StandingsData!$M$10:$M$13,0))</f>
        <v>Pink 5ive</v>
      </c>
      <c r="D11">
        <f>INDEX(StandingsData!$K$10:$K$13,MATCH(LARGE(StandingsData!$M$10:$M$13,2),StandingsData!$M$10:$M$13,0))</f>
        <v>0</v>
      </c>
      <c r="E11">
        <f>INDEX(StandingsData!$C$10:$C$13,MATCH(LARGE(StandingsData!$M$10:$M$13,2),StandingsData!$M$10:$M$13,0))</f>
        <v>0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0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0</v>
      </c>
    </row>
    <row r="12" spans="1:26">
      <c r="A12" t="s">
        <v>23</v>
      </c>
      <c r="B12">
        <v>3</v>
      </c>
      <c r="C12" t="str">
        <f>INDEX(StandingsData!$B$10:$B$13,MATCH(LARGE(StandingsData!$M$10:$M$13,3),StandingsData!$M$10:$M$13,0))</f>
        <v>Barrio Boys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0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0</v>
      </c>
      <c r="L12">
        <f>INDEX(StandingsData!$J$10:$J$13,MATCH(LARGE(StandingsData!$M$10:$M$13,3),StandingsData!$M$10:$M$13,0))</f>
        <v>0</v>
      </c>
    </row>
    <row r="13" spans="1:26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0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0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0</v>
      </c>
      <c r="L13">
        <f>INDEX(StandingsData!$J$10:$J$13,MATCH(LARGE(StandingsData!$M$10:$M$13,4),StandingsData!$M$10:$M$13,0))</f>
        <v>0</v>
      </c>
    </row>
    <row r="14" spans="1:26">
      <c r="A14" t="s">
        <v>32</v>
      </c>
      <c r="B14">
        <v>1</v>
      </c>
      <c r="C14" t="str">
        <f>INDEX(StandingsData!$B$14:$B$17,MATCH(LARGE(StandingsData!$M$14:$M$17,1),StandingsData!$M$14:$M$17,0))</f>
        <v>All Blacks</v>
      </c>
      <c r="D14">
        <f>INDEX(StandingsData!$K$14:$K$17,MATCH(LARGE(StandingsData!$M$14:$M$17,1),StandingsData!$M$14:$M$17,0))</f>
        <v>0</v>
      </c>
      <c r="E14">
        <f>INDEX(StandingsData!$C$14:$C$17,MATCH(LARGE(StandingsData!$M$14:$M$17,1),StandingsData!$M$14:$M$17,0))</f>
        <v>0</v>
      </c>
      <c r="F14">
        <f>INDEX(StandingsData!$D$14:$D$17,MATCH(LARGE(StandingsData!$M$14:$M$17,1),StandingsData!$M$14:$M$17,0))</f>
        <v>0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0</v>
      </c>
      <c r="K14">
        <f>INDEX(StandingsData!$I$14:$I$17,MATCH(LARGE(StandingsData!$M$14:$M$17,1),StandingsData!$M$14:$M$17,0))</f>
        <v>0</v>
      </c>
      <c r="L14">
        <f>INDEX(StandingsData!$J$14:$J$17,MATCH(LARGE(StandingsData!$M$14:$M$17,1),StandingsData!$M$14:$M$17,0))</f>
        <v>0</v>
      </c>
    </row>
    <row r="15" spans="1:26">
      <c r="A15" t="s">
        <v>32</v>
      </c>
      <c r="B15">
        <v>2</v>
      </c>
      <c r="C15" t="str">
        <f>INDEX(StandingsData!$B$14:$B$17,MATCH(LARGE(StandingsData!$M$14:$M$17,2),StandingsData!$M$14:$M$17,0))</f>
        <v>Boldò Glimt</v>
      </c>
      <c r="D15">
        <f>INDEX(StandingsData!$K$14:$K$17,MATCH(LARGE(StandingsData!$M$14:$M$17,2),StandingsData!$M$14:$M$17,0))</f>
        <v>0</v>
      </c>
      <c r="E15">
        <f>INDEX(StandingsData!$C$14:$C$17,MATCH(LARGE(StandingsData!$M$14:$M$17,2),StandingsData!$M$14:$M$17,0))</f>
        <v>0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0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0</v>
      </c>
    </row>
    <row r="16" spans="1:26">
      <c r="A16" t="s">
        <v>32</v>
      </c>
      <c r="B16">
        <v>3</v>
      </c>
      <c r="C16" t="str">
        <f>INDEX(StandingsData!$B$14:$B$17,MATCH(LARGE(StandingsData!$M$14:$M$17,3),StandingsData!$M$14:$M$17,0))</f>
        <v>Coca Juniors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0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0</v>
      </c>
      <c r="J16">
        <f>INDEX(StandingsData!$H$14:$H$17,MATCH(LARGE(StandingsData!$M$14:$M$17,3),StandingsData!$M$14:$M$17,0))</f>
        <v>0</v>
      </c>
      <c r="K16">
        <f>INDEX(StandingsData!$I$14:$I$17,MATCH(LARGE(StandingsData!$M$14:$M$17,3),StandingsData!$M$14:$M$17,0))</f>
        <v>0</v>
      </c>
      <c r="L16">
        <f>INDEX(StandingsData!$J$14:$J$17,MATCH(LARGE(StandingsData!$M$14:$M$17,3),StandingsData!$M$14:$M$17,0))</f>
        <v>0</v>
      </c>
    </row>
    <row r="17" spans="1:12">
      <c r="A17" t="s">
        <v>32</v>
      </c>
      <c r="B17">
        <v>4</v>
      </c>
      <c r="C17" t="str">
        <f>INDEX(StandingsData!$B$14:$B$17,MATCH(LARGE(StandingsData!$M$14:$M$17,4),StandingsData!$M$14:$M$17,0))</f>
        <v>Piadineria la Salsiccia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0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0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0</v>
      </c>
      <c r="L17">
        <f>INDEX(StandingsData!$J$14:$J$17,MATCH(LARGE(StandingsData!$M$14:$M$17,4),StandingsData!$M$14:$M$17,0))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K9" sqref="K9"/>
    </sheetView>
  </sheetViews>
  <sheetFormatPr defaultRowHeight="13.8"/>
  <cols>
    <col min="1" max="6" width="18" customWidth="1"/>
    <col min="7" max="8" width="28" customWidth="1"/>
    <col min="9" max="13" width="18" customWidth="1"/>
  </cols>
  <sheetData>
    <row r="1" spans="1:26">
      <c r="A1" s="5" t="s">
        <v>243</v>
      </c>
      <c r="B1" s="5" t="s">
        <v>244</v>
      </c>
      <c r="C1" s="5" t="s">
        <v>1</v>
      </c>
      <c r="D1" s="5" t="s">
        <v>245</v>
      </c>
      <c r="E1" s="5" t="s">
        <v>246</v>
      </c>
      <c r="F1" s="5" t="s">
        <v>247</v>
      </c>
      <c r="G1" s="5" t="s">
        <v>248</v>
      </c>
      <c r="H1" s="5" t="s">
        <v>249</v>
      </c>
      <c r="I1" s="5" t="s">
        <v>250</v>
      </c>
      <c r="J1" s="5" t="s">
        <v>251</v>
      </c>
      <c r="K1" s="5" t="s">
        <v>56</v>
      </c>
      <c r="L1" s="5" t="s">
        <v>255</v>
      </c>
      <c r="M1" s="5" t="s">
        <v>256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313</v>
      </c>
      <c r="B2" t="s">
        <v>314</v>
      </c>
      <c r="E2" t="s">
        <v>258</v>
      </c>
      <c r="F2" s="12">
        <v>0.74027777777777781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>
      <c r="A3" t="s">
        <v>315</v>
      </c>
      <c r="B3" t="s">
        <v>314</v>
      </c>
      <c r="E3" t="s">
        <v>260</v>
      </c>
      <c r="F3" s="12" t="s">
        <v>316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>
      <c r="A4" t="s">
        <v>317</v>
      </c>
      <c r="B4" t="s">
        <v>314</v>
      </c>
      <c r="E4" t="s">
        <v>258</v>
      </c>
      <c r="F4" s="12" t="s">
        <v>318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>
      <c r="A5" t="s">
        <v>319</v>
      </c>
      <c r="B5" t="s">
        <v>314</v>
      </c>
      <c r="E5" t="s">
        <v>260</v>
      </c>
      <c r="F5" s="12" t="s">
        <v>318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>
      <c r="A6" t="s">
        <v>320</v>
      </c>
      <c r="B6" t="s">
        <v>321</v>
      </c>
      <c r="E6" t="s">
        <v>258</v>
      </c>
      <c r="F6" s="12" t="s">
        <v>322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>
      <c r="A7" t="s">
        <v>323</v>
      </c>
      <c r="B7" t="s">
        <v>321</v>
      </c>
      <c r="E7" t="s">
        <v>260</v>
      </c>
      <c r="F7" s="12" t="s">
        <v>322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>
      <c r="A8" t="s">
        <v>324</v>
      </c>
      <c r="B8" t="s">
        <v>325</v>
      </c>
      <c r="F8" s="12">
        <v>0.4548611111111111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75" activePane="bottomLeft" state="frozen"/>
      <selection pane="bottomLeft" activeCell="F84" sqref="F84"/>
    </sheetView>
  </sheetViews>
  <sheetFormatPr defaultRowHeight="13.8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>
      <c r="A1" s="5" t="s">
        <v>243</v>
      </c>
      <c r="B1" s="5" t="s">
        <v>284</v>
      </c>
      <c r="C1" s="5" t="s">
        <v>285</v>
      </c>
      <c r="D1" s="5" t="s">
        <v>58</v>
      </c>
      <c r="E1" s="5" t="s">
        <v>286</v>
      </c>
      <c r="F1" s="5" t="s">
        <v>287</v>
      </c>
      <c r="G1" s="5" t="s">
        <v>252</v>
      </c>
      <c r="H1" s="5" t="s">
        <v>288</v>
      </c>
      <c r="I1" s="5" t="s">
        <v>289</v>
      </c>
      <c r="J1" s="5" t="s">
        <v>290</v>
      </c>
      <c r="K1" s="5" t="s">
        <v>291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326</v>
      </c>
    </row>
    <row r="3" spans="1:26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BDD91-BEDC-4021-839F-34CAAE8DEC38}">
  <sheetPr>
    <tabColor rgb="FFFFFF00"/>
  </sheetPr>
  <dimension ref="A1:C101"/>
  <sheetViews>
    <sheetView workbookViewId="0">
      <selection activeCell="A2" sqref="A2:C6"/>
    </sheetView>
  </sheetViews>
  <sheetFormatPr defaultRowHeight="13.8"/>
  <cols>
    <col min="1" max="1" width="24.796875" customWidth="1"/>
    <col min="2" max="2" width="28.796875" customWidth="1"/>
    <col min="3" max="3" width="12.796875" customWidth="1"/>
  </cols>
  <sheetData>
    <row r="1" spans="1:3" ht="25.05" customHeight="1">
      <c r="A1" s="17" t="s">
        <v>388</v>
      </c>
      <c r="B1" s="17" t="s">
        <v>389</v>
      </c>
      <c r="C1" s="17" t="s">
        <v>390</v>
      </c>
    </row>
    <row r="2" spans="1:3">
      <c r="A2" s="18"/>
      <c r="B2" s="18"/>
      <c r="C2" s="19"/>
    </row>
    <row r="3" spans="1:3">
      <c r="A3" s="18"/>
      <c r="B3" s="18"/>
      <c r="C3" s="19"/>
    </row>
    <row r="4" spans="1:3">
      <c r="A4" s="18"/>
      <c r="B4" s="18"/>
      <c r="C4" s="19"/>
    </row>
    <row r="5" spans="1:3">
      <c r="A5" s="18"/>
      <c r="B5" s="18"/>
      <c r="C5" s="19"/>
    </row>
    <row r="6" spans="1:3">
      <c r="A6" s="18"/>
      <c r="B6" s="18"/>
      <c r="C6" s="19"/>
    </row>
    <row r="7" spans="1:3">
      <c r="A7" s="18"/>
      <c r="B7" s="18"/>
      <c r="C7" s="19"/>
    </row>
    <row r="8" spans="1:3">
      <c r="A8" s="18"/>
      <c r="B8" s="18"/>
      <c r="C8" s="19"/>
    </row>
    <row r="9" spans="1:3">
      <c r="A9" s="18"/>
      <c r="B9" s="18"/>
      <c r="C9" s="19"/>
    </row>
    <row r="10" spans="1:3">
      <c r="A10" s="18"/>
      <c r="B10" s="18"/>
      <c r="C10" s="19"/>
    </row>
    <row r="11" spans="1:3">
      <c r="A11" s="18"/>
      <c r="B11" s="18"/>
      <c r="C11" s="19"/>
    </row>
    <row r="12" spans="1:3">
      <c r="A12" s="18"/>
      <c r="B12" s="18"/>
      <c r="C12" s="19"/>
    </row>
    <row r="13" spans="1:3">
      <c r="A13" s="18"/>
      <c r="B13" s="18"/>
      <c r="C13" s="19"/>
    </row>
    <row r="14" spans="1:3">
      <c r="A14" s="18"/>
      <c r="B14" s="18"/>
      <c r="C14" s="19"/>
    </row>
    <row r="15" spans="1:3">
      <c r="A15" s="18"/>
      <c r="B15" s="18"/>
      <c r="C15" s="19"/>
    </row>
    <row r="16" spans="1:3">
      <c r="A16" s="18"/>
      <c r="B16" s="18"/>
      <c r="C16" s="19"/>
    </row>
    <row r="17" spans="1:3">
      <c r="A17" s="18"/>
      <c r="B17" s="18"/>
      <c r="C17" s="19"/>
    </row>
    <row r="18" spans="1:3">
      <c r="A18" s="18"/>
      <c r="B18" s="18"/>
      <c r="C18" s="19"/>
    </row>
    <row r="19" spans="1:3">
      <c r="A19" s="18"/>
      <c r="B19" s="18"/>
      <c r="C19" s="19"/>
    </row>
    <row r="20" spans="1:3">
      <c r="A20" s="18"/>
      <c r="B20" s="18"/>
      <c r="C20" s="19"/>
    </row>
    <row r="21" spans="1:3">
      <c r="A21" s="18"/>
      <c r="B21" s="18"/>
      <c r="C21" s="19"/>
    </row>
    <row r="22" spans="1:3">
      <c r="A22" s="18"/>
      <c r="B22" s="18"/>
      <c r="C22" s="19"/>
    </row>
    <row r="23" spans="1:3">
      <c r="A23" s="18"/>
      <c r="B23" s="18"/>
      <c r="C23" s="19"/>
    </row>
    <row r="24" spans="1:3">
      <c r="A24" s="18"/>
      <c r="B24" s="18"/>
      <c r="C24" s="19"/>
    </row>
    <row r="25" spans="1:3">
      <c r="A25" s="18"/>
      <c r="B25" s="18"/>
      <c r="C25" s="19"/>
    </row>
    <row r="26" spans="1:3">
      <c r="A26" s="18"/>
      <c r="B26" s="18"/>
      <c r="C26" s="19"/>
    </row>
    <row r="27" spans="1:3">
      <c r="A27" s="18"/>
      <c r="B27" s="18"/>
      <c r="C27" s="19"/>
    </row>
    <row r="28" spans="1:3">
      <c r="A28" s="18"/>
      <c r="B28" s="18"/>
      <c r="C28" s="19"/>
    </row>
    <row r="29" spans="1:3">
      <c r="A29" s="18"/>
      <c r="B29" s="18"/>
      <c r="C29" s="19"/>
    </row>
    <row r="30" spans="1:3">
      <c r="A30" s="18"/>
      <c r="B30" s="18"/>
      <c r="C30" s="19"/>
    </row>
    <row r="31" spans="1:3">
      <c r="A31" s="18"/>
      <c r="B31" s="18"/>
      <c r="C31" s="19"/>
    </row>
    <row r="32" spans="1:3">
      <c r="A32" s="18"/>
      <c r="B32" s="18"/>
      <c r="C32" s="19"/>
    </row>
    <row r="33" spans="1:3">
      <c r="A33" s="18"/>
      <c r="B33" s="18"/>
      <c r="C33" s="19"/>
    </row>
    <row r="34" spans="1:3">
      <c r="A34" s="18"/>
      <c r="B34" s="18"/>
      <c r="C34" s="19"/>
    </row>
    <row r="35" spans="1:3">
      <c r="A35" s="18"/>
      <c r="B35" s="18"/>
      <c r="C35" s="19"/>
    </row>
    <row r="36" spans="1:3">
      <c r="A36" s="18"/>
      <c r="B36" s="18"/>
      <c r="C36" s="19"/>
    </row>
    <row r="37" spans="1:3">
      <c r="A37" s="18"/>
      <c r="B37" s="18"/>
      <c r="C37" s="19"/>
    </row>
    <row r="38" spans="1:3">
      <c r="A38" s="18"/>
      <c r="B38" s="18"/>
      <c r="C38" s="19"/>
    </row>
    <row r="39" spans="1:3">
      <c r="A39" s="18"/>
      <c r="B39" s="18"/>
      <c r="C39" s="19"/>
    </row>
    <row r="40" spans="1:3">
      <c r="A40" s="18"/>
      <c r="B40" s="18"/>
      <c r="C40" s="19"/>
    </row>
    <row r="41" spans="1:3">
      <c r="A41" s="18"/>
      <c r="B41" s="18"/>
      <c r="C41" s="19"/>
    </row>
    <row r="42" spans="1:3">
      <c r="A42" s="18"/>
      <c r="B42" s="18"/>
      <c r="C42" s="19"/>
    </row>
    <row r="43" spans="1:3">
      <c r="A43" s="18"/>
      <c r="B43" s="18"/>
      <c r="C43" s="19"/>
    </row>
    <row r="44" spans="1:3">
      <c r="A44" s="18"/>
      <c r="B44" s="18"/>
      <c r="C44" s="19"/>
    </row>
    <row r="45" spans="1:3">
      <c r="A45" s="18"/>
      <c r="B45" s="18"/>
      <c r="C45" s="19"/>
    </row>
    <row r="46" spans="1:3">
      <c r="A46" s="18"/>
      <c r="B46" s="18"/>
      <c r="C46" s="19"/>
    </row>
    <row r="47" spans="1:3">
      <c r="A47" s="18"/>
      <c r="B47" s="18"/>
      <c r="C47" s="19"/>
    </row>
    <row r="48" spans="1:3">
      <c r="A48" s="18"/>
      <c r="B48" s="18"/>
      <c r="C48" s="19"/>
    </row>
    <row r="49" spans="1:3">
      <c r="A49" s="18"/>
      <c r="B49" s="18"/>
      <c r="C49" s="19"/>
    </row>
    <row r="50" spans="1:3">
      <c r="A50" s="18"/>
      <c r="B50" s="18"/>
      <c r="C50" s="19"/>
    </row>
    <row r="51" spans="1:3">
      <c r="A51" s="18"/>
      <c r="B51" s="18"/>
      <c r="C51" s="19"/>
    </row>
    <row r="52" spans="1:3">
      <c r="A52" s="18"/>
      <c r="B52" s="18"/>
      <c r="C52" s="19"/>
    </row>
    <row r="53" spans="1:3">
      <c r="A53" s="18"/>
      <c r="B53" s="18"/>
      <c r="C53" s="19"/>
    </row>
    <row r="54" spans="1:3">
      <c r="A54" s="18"/>
      <c r="B54" s="18"/>
      <c r="C54" s="19"/>
    </row>
    <row r="55" spans="1:3">
      <c r="A55" s="18"/>
      <c r="B55" s="18"/>
      <c r="C55" s="19"/>
    </row>
    <row r="56" spans="1:3">
      <c r="A56" s="18"/>
      <c r="B56" s="18"/>
      <c r="C56" s="19"/>
    </row>
    <row r="57" spans="1:3">
      <c r="A57" s="18"/>
      <c r="B57" s="18"/>
      <c r="C57" s="19"/>
    </row>
    <row r="58" spans="1:3">
      <c r="A58" s="18"/>
      <c r="B58" s="18"/>
      <c r="C58" s="19"/>
    </row>
    <row r="59" spans="1:3">
      <c r="A59" s="18"/>
      <c r="B59" s="18"/>
      <c r="C59" s="19"/>
    </row>
    <row r="60" spans="1:3">
      <c r="A60" s="18"/>
      <c r="B60" s="18"/>
      <c r="C60" s="19"/>
    </row>
    <row r="61" spans="1:3">
      <c r="A61" s="18"/>
      <c r="B61" s="18"/>
      <c r="C61" s="19"/>
    </row>
    <row r="62" spans="1:3">
      <c r="A62" s="18"/>
      <c r="B62" s="18"/>
      <c r="C62" s="19"/>
    </row>
    <row r="63" spans="1:3">
      <c r="A63" s="18"/>
      <c r="B63" s="18"/>
      <c r="C63" s="19"/>
    </row>
    <row r="64" spans="1:3">
      <c r="A64" s="18"/>
      <c r="B64" s="18"/>
      <c r="C64" s="19"/>
    </row>
    <row r="65" spans="1:3">
      <c r="A65" s="18"/>
      <c r="B65" s="18"/>
      <c r="C65" s="19"/>
    </row>
    <row r="66" spans="1:3">
      <c r="A66" s="18"/>
      <c r="B66" s="18"/>
      <c r="C66" s="19"/>
    </row>
    <row r="67" spans="1:3">
      <c r="A67" s="18"/>
      <c r="B67" s="18"/>
      <c r="C67" s="19"/>
    </row>
    <row r="68" spans="1:3">
      <c r="A68" s="18"/>
      <c r="B68" s="18"/>
      <c r="C68" s="19"/>
    </row>
    <row r="69" spans="1:3">
      <c r="A69" s="18"/>
      <c r="B69" s="18"/>
      <c r="C69" s="19"/>
    </row>
    <row r="70" spans="1:3">
      <c r="A70" s="18"/>
      <c r="B70" s="18"/>
      <c r="C70" s="19"/>
    </row>
    <row r="71" spans="1:3">
      <c r="A71" s="18"/>
      <c r="B71" s="18"/>
      <c r="C71" s="19"/>
    </row>
    <row r="72" spans="1:3">
      <c r="A72" s="18"/>
      <c r="B72" s="18"/>
      <c r="C72" s="19"/>
    </row>
    <row r="73" spans="1:3">
      <c r="A73" s="18"/>
      <c r="B73" s="18"/>
      <c r="C73" s="19"/>
    </row>
    <row r="74" spans="1:3">
      <c r="A74" s="18"/>
      <c r="B74" s="18"/>
      <c r="C74" s="19"/>
    </row>
    <row r="75" spans="1:3">
      <c r="A75" s="18"/>
      <c r="B75" s="18"/>
      <c r="C75" s="19"/>
    </row>
    <row r="76" spans="1:3">
      <c r="A76" s="18"/>
      <c r="B76" s="18"/>
      <c r="C76" s="19"/>
    </row>
    <row r="77" spans="1:3">
      <c r="A77" s="18"/>
      <c r="B77" s="18"/>
      <c r="C77" s="19"/>
    </row>
    <row r="78" spans="1:3">
      <c r="A78" s="18"/>
      <c r="B78" s="18"/>
      <c r="C78" s="19"/>
    </row>
    <row r="79" spans="1:3">
      <c r="A79" s="18"/>
      <c r="B79" s="18"/>
      <c r="C79" s="19"/>
    </row>
    <row r="80" spans="1:3">
      <c r="A80" s="18"/>
      <c r="B80" s="18"/>
      <c r="C80" s="19"/>
    </row>
    <row r="81" spans="1:3">
      <c r="A81" s="18"/>
      <c r="B81" s="18"/>
      <c r="C81" s="19"/>
    </row>
    <row r="82" spans="1:3">
      <c r="A82" s="18"/>
      <c r="B82" s="18"/>
      <c r="C82" s="19"/>
    </row>
    <row r="83" spans="1:3">
      <c r="A83" s="18"/>
      <c r="B83" s="18"/>
      <c r="C83" s="19"/>
    </row>
    <row r="84" spans="1:3">
      <c r="A84" s="18"/>
      <c r="B84" s="18"/>
      <c r="C84" s="19"/>
    </row>
    <row r="85" spans="1:3">
      <c r="A85" s="18"/>
      <c r="B85" s="18"/>
      <c r="C85" s="19"/>
    </row>
    <row r="86" spans="1:3">
      <c r="A86" s="18"/>
      <c r="B86" s="18"/>
      <c r="C86" s="19"/>
    </row>
    <row r="87" spans="1:3">
      <c r="A87" s="18"/>
      <c r="B87" s="18"/>
      <c r="C87" s="19"/>
    </row>
    <row r="88" spans="1:3">
      <c r="A88" s="18"/>
      <c r="B88" s="18"/>
      <c r="C88" s="19"/>
    </row>
    <row r="89" spans="1:3">
      <c r="A89" s="18"/>
      <c r="B89" s="18"/>
      <c r="C89" s="19"/>
    </row>
    <row r="90" spans="1:3">
      <c r="A90" s="18"/>
      <c r="B90" s="18"/>
      <c r="C90" s="19"/>
    </row>
    <row r="91" spans="1:3">
      <c r="A91" s="18"/>
      <c r="B91" s="18"/>
      <c r="C91" s="19"/>
    </row>
    <row r="92" spans="1:3">
      <c r="A92" s="18"/>
      <c r="B92" s="18"/>
      <c r="C92" s="19"/>
    </row>
    <row r="93" spans="1:3">
      <c r="A93" s="18"/>
      <c r="B93" s="18"/>
      <c r="C93" s="19"/>
    </row>
    <row r="94" spans="1:3">
      <c r="A94" s="18"/>
      <c r="B94" s="18"/>
      <c r="C94" s="19"/>
    </row>
    <row r="95" spans="1:3">
      <c r="A95" s="18"/>
      <c r="B95" s="18"/>
      <c r="C95" s="19"/>
    </row>
    <row r="96" spans="1:3">
      <c r="A96" s="18"/>
      <c r="B96" s="18"/>
      <c r="C96" s="19"/>
    </row>
    <row r="97" spans="1:3">
      <c r="A97" s="18"/>
      <c r="B97" s="18"/>
      <c r="C97" s="19"/>
    </row>
    <row r="98" spans="1:3">
      <c r="A98" s="18"/>
      <c r="B98" s="18"/>
      <c r="C98" s="19"/>
    </row>
    <row r="99" spans="1:3">
      <c r="A99" s="18"/>
      <c r="B99" s="18"/>
      <c r="C99" s="19"/>
    </row>
    <row r="100" spans="1:3">
      <c r="A100" s="18"/>
      <c r="B100" s="18"/>
      <c r="C100" s="19"/>
    </row>
    <row r="101" spans="1:3">
      <c r="A101" s="18"/>
      <c r="B101" s="18"/>
      <c r="C101" s="19"/>
    </row>
  </sheetData>
  <autoFilter ref="A1:C101" xr:uid="{77FBDD91-BEDC-4021-839F-34CAAE8DEC38}"/>
  <dataValidations count="1">
    <dataValidation type="whole" allowBlank="1" showInputMessage="1" showErrorMessage="1" errorTitle="Valore non valido" error="I punti devono essere un numero intero da 0 a 999." promptTitle="Punti No Bounce" prompt="Inserisci un numero intero da 0 a 999." sqref="C2:C101" xr:uid="{87CF629D-AF64-4405-B7D7-8CB451F4386C}">
      <formula1>0</formula1>
      <formula2>999</formula2>
    </dataValidation>
  </dataValidation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3.8"/>
  <cols>
    <col min="1" max="18" width="28" customWidth="1"/>
  </cols>
  <sheetData>
    <row r="1" spans="1:26">
      <c r="A1" s="5" t="s">
        <v>2</v>
      </c>
      <c r="B1" s="5" t="s">
        <v>327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>
      <c r="A2" t="s">
        <v>6</v>
      </c>
      <c r="B2" t="s">
        <v>328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10 - DAVIDE ZAGHI (C)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>
      <c r="A3" t="s">
        <v>8</v>
      </c>
      <c r="B3" t="s">
        <v>329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5 - 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ELIA SICCHIERO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>
      <c r="A4" t="s">
        <v>10</v>
      </c>
      <c r="B4" t="s">
        <v>330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3 - 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>
      <c r="A5" t="s">
        <v>12</v>
      </c>
      <c r="B5" t="s">
        <v>331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DANIIL YAKIMENKO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20 - 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NICCOLO' PALTANIN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ALEX MENEGHELLO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>
      <c r="A6" t="s">
        <v>15</v>
      </c>
      <c r="B6" t="s">
        <v>332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EDDY MAZZETTO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8 - 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>
      <c r="A7" t="s">
        <v>17</v>
      </c>
      <c r="B7" t="s">
        <v>333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7 - 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>
      <c r="A8" t="s">
        <v>19</v>
      </c>
      <c r="B8" t="s">
        <v>334</v>
      </c>
      <c r="C8" t="str">
        <f>IF(Rosters!B9="","",IF(Rosters!A9="","",Rosters!A9&amp;" - ")&amp;Rosters!B9&amp;IF(Rosters!C9="Yes"," (C)",""))</f>
        <v>11 - SAMUELE DURRA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1 - 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ANDREI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>
      <c r="A9" t="s">
        <v>21</v>
      </c>
      <c r="B9" t="s">
        <v>335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4 - 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>
      <c r="A10" t="s">
        <v>24</v>
      </c>
      <c r="B10" t="s">
        <v>336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6 - 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>20 - TOMMASO ZANGIROLAMI</v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>
      <c r="A11" t="s">
        <v>26</v>
      </c>
      <c r="B11" t="s">
        <v>337</v>
      </c>
      <c r="C11" t="str">
        <f>IF(Rosters!B12="","",IF(Rosters!A12="","",Rosters!A12&amp;" - ")&amp;Rosters!B12&amp;IF(Rosters!C12="Yes"," (C)",""))</f>
        <v>90 - MATTEO COL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17 - DOMENICO IACOVINO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>
      <c r="A12" t="s">
        <v>28</v>
      </c>
      <c r="B12" t="s">
        <v>338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16 - GIACOMO PROTTI</v>
      </c>
      <c r="I12" t="str">
        <f>IF(Rosters!T13="","",IF(Rosters!S13="","",Rosters!S13&amp;" - ")&amp;Rosters!T13&amp;IF(Rosters!U13="Yes"," (C)",""))</f>
        <v>17 -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7 - MATTEO BOLZANI</v>
      </c>
    </row>
    <row r="13" spans="1:26">
      <c r="A13" t="s">
        <v>30</v>
      </c>
      <c r="B13" t="s">
        <v>339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>
      <c r="A14" t="s">
        <v>33</v>
      </c>
      <c r="B14" t="s">
        <v>340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NICO PAVANI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>
      <c r="A15" t="s">
        <v>35</v>
      </c>
      <c r="B15" t="s">
        <v>341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>
      <c r="A16" t="s">
        <v>37</v>
      </c>
      <c r="B16" t="s">
        <v>342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>
      <c r="A17" t="s">
        <v>39</v>
      </c>
      <c r="B17" t="s">
        <v>343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A62" zoomScale="85" zoomScaleNormal="85" workbookViewId="0">
      <selection activeCell="G26" sqref="G26"/>
    </sheetView>
  </sheetViews>
  <sheetFormatPr defaultRowHeight="13.8"/>
  <cols>
    <col min="1" max="1" width="12" customWidth="1"/>
    <col min="2" max="2" width="14" customWidth="1"/>
    <col min="3" max="3" width="24" customWidth="1"/>
    <col min="4" max="4" width="10" customWidth="1"/>
    <col min="5" max="5" width="21.6992187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>
      <c r="A1" s="6" t="s">
        <v>344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2" t="s">
        <v>345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1"/>
      <c r="N3" s="22" t="s">
        <v>346</v>
      </c>
      <c r="O3" s="21"/>
      <c r="P3" s="21"/>
      <c r="Q3" s="2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7" t="s">
        <v>347</v>
      </c>
      <c r="B4" s="7" t="s">
        <v>348</v>
      </c>
      <c r="C4" s="7" t="s">
        <v>349</v>
      </c>
      <c r="D4" s="7" t="s">
        <v>350</v>
      </c>
      <c r="E4" s="7" t="s">
        <v>351</v>
      </c>
      <c r="F4" s="7" t="s">
        <v>352</v>
      </c>
      <c r="G4" s="7" t="s">
        <v>353</v>
      </c>
      <c r="H4" s="7" t="s">
        <v>354</v>
      </c>
      <c r="I4" s="7" t="s">
        <v>355</v>
      </c>
      <c r="J4" s="7" t="s">
        <v>356</v>
      </c>
      <c r="K4" s="7" t="s">
        <v>357</v>
      </c>
      <c r="L4" s="7" t="s">
        <v>358</v>
      </c>
      <c r="M4" s="1"/>
      <c r="N4" s="7" t="s">
        <v>348</v>
      </c>
      <c r="O4" s="7" t="s">
        <v>359</v>
      </c>
      <c r="P4" s="7" t="s">
        <v>349</v>
      </c>
      <c r="Q4" s="7" t="s">
        <v>360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>
        <f>IF(TopScorers!A2="","",TopScorers!A2)</f>
        <v>1</v>
      </c>
      <c r="O5" s="1" t="str">
        <f>IF(TopScorers!B2="","",TopScorers!B2)</f>
        <v/>
      </c>
      <c r="P5" s="1" t="str">
        <f>IF(TopScorers!C2="","",TopScorers!C2)</f>
        <v/>
      </c>
      <c r="Q5" s="1" t="str">
        <f>IF(TopScorers!D2="","",TopScorers!D2)</f>
        <v/>
      </c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>
        <f>IF(TopScorers!A3="","",TopScorers!A3)</f>
        <v>2</v>
      </c>
      <c r="O6" s="1" t="str">
        <f>IF(TopScorers!B3="","",TopScorers!B3)</f>
        <v/>
      </c>
      <c r="P6" s="1" t="str">
        <f>IF(TopScorers!C3="","",TopScorers!C3)</f>
        <v/>
      </c>
      <c r="Q6" s="1" t="str">
        <f>IF(TopScorers!D3="","",TopScorers!D3)</f>
        <v/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>
        <f>IF(TopScorers!A4="","",TopScorers!A4)</f>
        <v>3</v>
      </c>
      <c r="O7" s="1" t="str">
        <f>IF(TopScorers!B4="","",TopScorers!B4)</f>
        <v/>
      </c>
      <c r="P7" s="1" t="str">
        <f>IF(TopScorers!C4="","",TopScorers!C4)</f>
        <v/>
      </c>
      <c r="Q7" s="1" t="str">
        <f>IF(TopScorers!D4="","",TopScorers!D4)</f>
        <v/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>
        <f>IF(TopScorers!A5="","",TopScorers!A5)</f>
        <v>4</v>
      </c>
      <c r="O8" s="1" t="str">
        <f>IF(TopScorers!B5="","",TopScorers!B5)</f>
        <v/>
      </c>
      <c r="P8" s="1" t="str">
        <f>IF(TopScorers!C5="","",TopScorers!C5)</f>
        <v/>
      </c>
      <c r="Q8" s="1" t="str">
        <f>IF(TopScorers!D5="","",TopScorers!D5)</f>
        <v/>
      </c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tr">
        <f>Standings!A6</f>
        <v>B</v>
      </c>
      <c r="B9" s="1">
        <f>Standings!B6</f>
        <v>1</v>
      </c>
      <c r="C9" s="1" t="str">
        <f>Standings!C6</f>
        <v>Totani</v>
      </c>
      <c r="D9" s="1">
        <f>Standings!D6</f>
        <v>0</v>
      </c>
      <c r="E9" s="1">
        <f>Standings!E6</f>
        <v>0</v>
      </c>
      <c r="F9" s="1">
        <f>Standings!F6</f>
        <v>0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0</v>
      </c>
      <c r="K9" s="1">
        <f>Standings!K6</f>
        <v>0</v>
      </c>
      <c r="L9" s="1">
        <f>Standings!L6</f>
        <v>0</v>
      </c>
      <c r="M9" s="1"/>
      <c r="N9" s="1">
        <f>IF(TopScorers!A6="","",TopScorers!A6)</f>
        <v>5</v>
      </c>
      <c r="O9" s="1" t="str">
        <f>IF(TopScorers!B6="","",TopScorers!B6)</f>
        <v/>
      </c>
      <c r="P9" s="1" t="str">
        <f>IF(TopScorers!C6="","",TopScorers!C6)</f>
        <v/>
      </c>
      <c r="Q9" s="1" t="str">
        <f>IF(TopScorers!D6="","",TopScorers!D6)</f>
        <v/>
      </c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0</v>
      </c>
      <c r="E10" s="1">
        <f>Standings!E7</f>
        <v>0</v>
      </c>
      <c r="F10" s="1">
        <f>Standings!F7</f>
        <v>0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0</v>
      </c>
      <c r="K10" s="1">
        <f>Standings!K7</f>
        <v>0</v>
      </c>
      <c r="L10" s="1">
        <f>Standings!L7</f>
        <v>0</v>
      </c>
      <c r="M10" s="1"/>
      <c r="N10" s="1">
        <f>IF(TopScorers!A7="","",TopScorers!A7)</f>
        <v>6</v>
      </c>
      <c r="O10" s="1" t="str">
        <f>IF(TopScorers!B7="","",TopScorers!B7)</f>
        <v/>
      </c>
      <c r="P10" s="1" t="str">
        <f>IF(TopScorers!C7="","",TopScorers!C7)</f>
        <v/>
      </c>
      <c r="Q10" s="1" t="str">
        <f>IF(TopScorers!D7="","",TopScorers!D7)</f>
        <v/>
      </c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 t="str">
        <f>Standings!A8</f>
        <v>B</v>
      </c>
      <c r="B11" s="1">
        <f>Standings!B8</f>
        <v>3</v>
      </c>
      <c r="C11" s="1" t="str">
        <f>Standings!C8</f>
        <v>AS Bancatore</v>
      </c>
      <c r="D11" s="1">
        <f>Standings!D8</f>
        <v>0</v>
      </c>
      <c r="E11" s="1">
        <f>Standings!E8</f>
        <v>0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0</v>
      </c>
      <c r="J11" s="1">
        <f>Standings!J8</f>
        <v>0</v>
      </c>
      <c r="K11" s="1">
        <f>Standings!K8</f>
        <v>0</v>
      </c>
      <c r="L11" s="1">
        <f>Standings!L8</f>
        <v>0</v>
      </c>
      <c r="M11" s="1"/>
      <c r="N11" s="1">
        <f>IF(TopScorers!A8="","",TopScorers!A8)</f>
        <v>7</v>
      </c>
      <c r="O11" s="1" t="str">
        <f>IF(TopScorers!B8="","",TopScorers!B8)</f>
        <v/>
      </c>
      <c r="P11" s="1" t="str">
        <f>IF(TopScorers!C8="","",TopScorers!C8)</f>
        <v/>
      </c>
      <c r="Q11" s="1" t="str">
        <f>IF(TopScorers!D8="","",TopScorers!D8)</f>
        <v/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>
      <c r="A12" s="1" t="str">
        <f>Standings!A9</f>
        <v>B</v>
      </c>
      <c r="B12" s="1">
        <f>Standings!B9</f>
        <v>4</v>
      </c>
      <c r="C12" s="1" t="str">
        <f>Standings!C9</f>
        <v>Beverton</v>
      </c>
      <c r="D12" s="1">
        <f>Standings!D9</f>
        <v>0</v>
      </c>
      <c r="E12" s="1">
        <f>Standings!E9</f>
        <v>0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0</v>
      </c>
      <c r="J12" s="1">
        <f>Standings!J9</f>
        <v>0</v>
      </c>
      <c r="K12" s="1">
        <f>Standings!K9</f>
        <v>0</v>
      </c>
      <c r="L12" s="1">
        <f>Standings!L9</f>
        <v>0</v>
      </c>
      <c r="M12" s="1"/>
      <c r="N12" s="1">
        <f>IF(TopScorers!A9="","",TopScorers!A9)</f>
        <v>8</v>
      </c>
      <c r="O12" s="1" t="str">
        <f>IF(TopScorers!B9="","",TopScorers!B9)</f>
        <v/>
      </c>
      <c r="P12" s="1" t="str">
        <f>IF(TopScorers!C9="","",TopScorers!C9)</f>
        <v/>
      </c>
      <c r="Q12" s="1" t="str">
        <f>IF(TopScorers!D9="","",TopScorers!D9)</f>
        <v/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0</v>
      </c>
      <c r="E13" s="1">
        <f>Standings!E10</f>
        <v>0</v>
      </c>
      <c r="F13" s="1">
        <f>Standings!F10</f>
        <v>0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0</v>
      </c>
      <c r="K13" s="1">
        <f>Standings!K10</f>
        <v>0</v>
      </c>
      <c r="L13" s="1">
        <f>Standings!L10</f>
        <v>0</v>
      </c>
      <c r="M13" s="1"/>
      <c r="N13" s="1">
        <f>IF(TopScorers!A10="","",TopScorers!A10)</f>
        <v>9</v>
      </c>
      <c r="O13" s="1" t="str">
        <f>IF(TopScorers!B10="","",TopScorers!B10)</f>
        <v/>
      </c>
      <c r="P13" s="1" t="str">
        <f>IF(TopScorers!C10="","",TopScorers!C10)</f>
        <v/>
      </c>
      <c r="Q13" s="1" t="str">
        <f>IF(TopScorers!D10="","",TopScorers!D10)</f>
        <v/>
      </c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 t="str">
        <f>Standings!A11</f>
        <v>C</v>
      </c>
      <c r="B14" s="1">
        <f>Standings!B11</f>
        <v>2</v>
      </c>
      <c r="C14" s="1" t="str">
        <f>Standings!C11</f>
        <v>Pink 5ive</v>
      </c>
      <c r="D14" s="1">
        <f>Standings!D11</f>
        <v>0</v>
      </c>
      <c r="E14" s="1">
        <f>Standings!E11</f>
        <v>0</v>
      </c>
      <c r="F14" s="1">
        <f>Standings!F11</f>
        <v>0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0</v>
      </c>
      <c r="K14" s="1">
        <f>Standings!K11</f>
        <v>0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/>
      </c>
      <c r="P14" s="1" t="str">
        <f>IF(TopScorers!C11="","",TopScorers!C11)</f>
        <v/>
      </c>
      <c r="Q14" s="1" t="str">
        <f>IF(TopScorers!D11="","",TopScorers!D11)</f>
        <v/>
      </c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 t="str">
        <f>Standings!A12</f>
        <v>C</v>
      </c>
      <c r="B15" s="1">
        <f>Standings!B12</f>
        <v>3</v>
      </c>
      <c r="C15" s="1" t="str">
        <f>Standings!C12</f>
        <v>Barrio Boys</v>
      </c>
      <c r="D15" s="1">
        <f>Standings!D12</f>
        <v>0</v>
      </c>
      <c r="E15" s="1">
        <f>Standings!E12</f>
        <v>0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0</v>
      </c>
      <c r="J15" s="1">
        <f>Standings!J12</f>
        <v>0</v>
      </c>
      <c r="K15" s="1">
        <f>Standings!K12</f>
        <v>0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/>
      </c>
      <c r="P15" s="1" t="str">
        <f>IF(TopScorers!C12="","",TopScorers!C12)</f>
        <v/>
      </c>
      <c r="Q15" s="1" t="str">
        <f>IF(TopScorers!D12="","",TopScorers!D12)</f>
        <v/>
      </c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0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0</v>
      </c>
      <c r="J16" s="1">
        <f>Standings!J13</f>
        <v>0</v>
      </c>
      <c r="K16" s="1">
        <f>Standings!K13</f>
        <v>0</v>
      </c>
      <c r="L16" s="1">
        <f>Standings!L13</f>
        <v>0</v>
      </c>
      <c r="M16" s="1"/>
      <c r="N16" s="1">
        <f>IF(TopScorers!A13="","",TopScorers!A13)</f>
        <v>12</v>
      </c>
      <c r="O16" s="1" t="str">
        <f>IF(TopScorers!B13="","",TopScorers!B13)</f>
        <v/>
      </c>
      <c r="P16" s="1" t="str">
        <f>IF(TopScorers!C13="","",TopScorers!C13)</f>
        <v/>
      </c>
      <c r="Q16" s="1" t="str">
        <f>IF(TopScorers!D13="","",TopScorers!D13)</f>
        <v/>
      </c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 t="str">
        <f>Standings!A14</f>
        <v>D</v>
      </c>
      <c r="B17" s="1">
        <f>Standings!B14</f>
        <v>1</v>
      </c>
      <c r="C17" s="1" t="str">
        <f>Standings!C14</f>
        <v>All Blacks</v>
      </c>
      <c r="D17" s="1">
        <f>Standings!D14</f>
        <v>0</v>
      </c>
      <c r="E17" s="1">
        <f>Standings!E14</f>
        <v>0</v>
      </c>
      <c r="F17" s="1">
        <f>Standings!F14</f>
        <v>0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0</v>
      </c>
      <c r="K17" s="1">
        <f>Standings!K14</f>
        <v>0</v>
      </c>
      <c r="L17" s="1">
        <f>Standings!L14</f>
        <v>0</v>
      </c>
      <c r="M17" s="1"/>
      <c r="N17" s="1">
        <f>IF(TopScorers!A14="","",TopScorers!A14)</f>
        <v>13</v>
      </c>
      <c r="O17" s="1" t="str">
        <f>IF(TopScorers!B14="","",TopScorers!B14)</f>
        <v/>
      </c>
      <c r="P17" s="1" t="str">
        <f>IF(TopScorers!C14="","",TopScorers!C14)</f>
        <v/>
      </c>
      <c r="Q17" s="1" t="str">
        <f>IF(TopScorers!D14="","",TopScorers!D14)</f>
        <v/>
      </c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 t="str">
        <f>Standings!A15</f>
        <v>D</v>
      </c>
      <c r="B18" s="1">
        <f>Standings!B15</f>
        <v>2</v>
      </c>
      <c r="C18" s="1" t="str">
        <f>Standings!C15</f>
        <v>Boldò Glimt</v>
      </c>
      <c r="D18" s="1">
        <f>Standings!D15</f>
        <v>0</v>
      </c>
      <c r="E18" s="1">
        <f>Standings!E15</f>
        <v>0</v>
      </c>
      <c r="F18" s="1">
        <f>Standings!F15</f>
        <v>0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0</v>
      </c>
      <c r="K18" s="1">
        <f>Standings!K15</f>
        <v>0</v>
      </c>
      <c r="L18" s="1">
        <f>Standings!L15</f>
        <v>0</v>
      </c>
      <c r="M18" s="1"/>
      <c r="N18" s="1">
        <f>IF(TopScorers!A15="","",TopScorers!A15)</f>
        <v>14</v>
      </c>
      <c r="O18" s="1" t="str">
        <f>IF(TopScorers!B15="","",TopScorers!B15)</f>
        <v/>
      </c>
      <c r="P18" s="1" t="str">
        <f>IF(TopScorers!C15="","",TopScorers!C15)</f>
        <v/>
      </c>
      <c r="Q18" s="1" t="str">
        <f>IF(TopScorers!D15="","",TopScorers!D15)</f>
        <v/>
      </c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 t="str">
        <f>Standings!A16</f>
        <v>D</v>
      </c>
      <c r="B19" s="1">
        <f>Standings!B16</f>
        <v>3</v>
      </c>
      <c r="C19" s="1" t="str">
        <f>Standings!C16</f>
        <v>Coca Juniors</v>
      </c>
      <c r="D19" s="1">
        <f>Standings!D16</f>
        <v>0</v>
      </c>
      <c r="E19" s="1">
        <f>Standings!E16</f>
        <v>0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0</v>
      </c>
      <c r="J19" s="1">
        <f>Standings!J16</f>
        <v>0</v>
      </c>
      <c r="K19" s="1">
        <f>Standings!K16</f>
        <v>0</v>
      </c>
      <c r="L19" s="1">
        <f>Standings!L16</f>
        <v>0</v>
      </c>
      <c r="M19" s="1"/>
      <c r="N19" s="1">
        <f>IF(TopScorers!A16="","",TopScorers!A16)</f>
        <v>15</v>
      </c>
      <c r="O19" s="1" t="str">
        <f>IF(TopScorers!B16="","",TopScorers!B16)</f>
        <v/>
      </c>
      <c r="P19" s="1" t="str">
        <f>IF(TopScorers!C16="","",TopScorers!C16)</f>
        <v/>
      </c>
      <c r="Q19" s="1" t="str">
        <f>IF(TopScorers!D16="","",TopScorers!D16)</f>
        <v/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>
      <c r="A20" s="1" t="str">
        <f>Standings!A17</f>
        <v>D</v>
      </c>
      <c r="B20" s="1">
        <f>Standings!B17</f>
        <v>4</v>
      </c>
      <c r="C20" s="1" t="str">
        <f>Standings!C17</f>
        <v>Piadineria la Salsiccia</v>
      </c>
      <c r="D20" s="1">
        <f>Standings!D17</f>
        <v>0</v>
      </c>
      <c r="E20" s="1">
        <f>Standings!E17</f>
        <v>0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0</v>
      </c>
      <c r="J20" s="1">
        <f>Standings!J17</f>
        <v>0</v>
      </c>
      <c r="K20" s="1">
        <f>Standings!K17</f>
        <v>0</v>
      </c>
      <c r="L20" s="1">
        <f>Standings!L17</f>
        <v>0</v>
      </c>
      <c r="M20" s="1"/>
      <c r="N20" s="1">
        <f>IF(TopScorers!A17="","",TopScorers!A17)</f>
        <v>16</v>
      </c>
      <c r="O20" s="1" t="str">
        <f>IF(TopScorers!B17="","",TopScorers!B17)</f>
        <v/>
      </c>
      <c r="P20" s="1" t="str">
        <f>IF(TopScorers!C17="","",TopScorers!C17)</f>
        <v/>
      </c>
      <c r="Q20" s="1" t="str">
        <f>IF(TopScorers!D17="","",TopScorers!D17)</f>
        <v/>
      </c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/>
      </c>
      <c r="P21" s="1" t="str">
        <f>IF(TopScorers!C18="","",TopScorers!C18)</f>
        <v/>
      </c>
      <c r="Q21" s="1" t="str">
        <f>IF(TopScorers!D18="","",TopScorers!D18)</f>
        <v/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/>
      </c>
      <c r="P22" s="5" t="str">
        <f>IF(TopScorers!C19="","",TopScorers!C19)</f>
        <v/>
      </c>
      <c r="Q22" s="1" t="str">
        <f>IF(TopScorers!D19="","",TopScorers!D19)</f>
        <v/>
      </c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22" t="s">
        <v>361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1"/>
      <c r="U23" s="1"/>
      <c r="V23" s="1"/>
      <c r="W23" s="1"/>
      <c r="X23" s="1"/>
      <c r="Y23" s="1"/>
      <c r="Z23" s="1"/>
    </row>
    <row r="24" spans="1:26" ht="28.8" customHeight="1">
      <c r="A24" s="7" t="s">
        <v>362</v>
      </c>
      <c r="B24" s="7" t="s">
        <v>363</v>
      </c>
      <c r="C24" s="7" t="s">
        <v>347</v>
      </c>
      <c r="D24" s="7" t="s">
        <v>364</v>
      </c>
      <c r="E24" s="7" t="s">
        <v>365</v>
      </c>
      <c r="F24" s="7" t="s">
        <v>366</v>
      </c>
      <c r="G24" s="7" t="s">
        <v>367</v>
      </c>
      <c r="H24" s="7" t="s">
        <v>368</v>
      </c>
      <c r="I24" s="7" t="s">
        <v>369</v>
      </c>
      <c r="J24" s="7" t="s">
        <v>370</v>
      </c>
      <c r="K24" s="7" t="s">
        <v>371</v>
      </c>
      <c r="L24" s="7" t="s">
        <v>372</v>
      </c>
      <c r="M24" s="7" t="s">
        <v>373</v>
      </c>
      <c r="N24" s="7" t="s">
        <v>374</v>
      </c>
      <c r="O24" s="7" t="s">
        <v>375</v>
      </c>
      <c r="P24" s="7" t="s">
        <v>376</v>
      </c>
      <c r="Q24" s="7" t="s">
        <v>377</v>
      </c>
      <c r="R24" s="7" t="s">
        <v>378</v>
      </c>
      <c r="S24" s="7" t="s">
        <v>379</v>
      </c>
      <c r="T24" s="1"/>
      <c r="U24" s="1"/>
      <c r="V24" s="1"/>
      <c r="W24" s="1"/>
      <c r="X24" s="1"/>
      <c r="Y24" s="1"/>
      <c r="Z24" s="1"/>
    </row>
    <row r="25" spans="1:26" ht="28.8" customHeight="1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 t="str">
        <f>IF(Matches!I2="","",Matches!I2)</f>
        <v/>
      </c>
      <c r="J25" s="1" t="str">
        <f>IF(Matches!J2="","",Matches!J2)</f>
        <v/>
      </c>
      <c r="K25" s="1" t="str">
        <f>IF(Matches!K2="","",Matches!K2)</f>
        <v/>
      </c>
      <c r="L25" s="1" t="str">
        <f>Matches!L2</f>
        <v>Pending</v>
      </c>
      <c r="M25" s="1" t="str">
        <f>IF(Matches!M2="","",Matches!M2)</f>
        <v/>
      </c>
      <c r="N25" s="1" t="str">
        <f>IF(Matches!N2="","",Matches!N2)</f>
        <v/>
      </c>
      <c r="O25" s="1" t="str">
        <f>IF(Matches!O2="","",Matches!O2)</f>
        <v/>
      </c>
      <c r="P25" s="1" t="str">
        <f>IF(Matches!P2="","",Matches!P2)</f>
        <v/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 t="str">
        <f>IF(Matches!I3="","",Matches!I3)</f>
        <v/>
      </c>
      <c r="J26" s="1" t="str">
        <f>IF(Matches!J3="","",Matches!J3)</f>
        <v/>
      </c>
      <c r="K26" s="1" t="str">
        <f>IF(Matches!K3="","",Matches!K3)</f>
        <v/>
      </c>
      <c r="L26" s="1" t="str">
        <f>Matches!L3</f>
        <v>Pending</v>
      </c>
      <c r="M26" s="1" t="str">
        <f>IF(Matches!M3="","",Matches!M3)</f>
        <v/>
      </c>
      <c r="N26" s="1" t="str">
        <f>IF(Matches!N3="","",Matches!N3)</f>
        <v/>
      </c>
      <c r="O26" s="1" t="str">
        <f>IF(Matches!O3="","",Matches!O3)</f>
        <v/>
      </c>
      <c r="P26" s="1" t="str">
        <f>IF(Matches!P3="","",Matches!P3)</f>
        <v/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 t="str">
        <f>IF(Matches!I4="","",Matches!I4)</f>
        <v/>
      </c>
      <c r="J27" s="1" t="str">
        <f>IF(Matches!J4="","",Matches!J4)</f>
        <v/>
      </c>
      <c r="K27" s="1" t="str">
        <f>IF(Matches!K4="","",Matches!K4)</f>
        <v/>
      </c>
      <c r="L27" s="1" t="str">
        <f>Matches!L4</f>
        <v>Pending</v>
      </c>
      <c r="M27" s="1" t="str">
        <f>IF(Matches!M4="","",Matches!M4)</f>
        <v/>
      </c>
      <c r="N27" s="1" t="str">
        <f>IF(Matches!N4="","",Matches!N4)</f>
        <v/>
      </c>
      <c r="O27" s="1" t="str">
        <f>IF(Matches!O4="","",Matches!O4)</f>
        <v/>
      </c>
      <c r="P27" s="1" t="str">
        <f>IF(Matches!P4="","",Matches!P4)</f>
        <v/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 t="str">
        <f>IF(Matches!I5="","",Matches!I5)</f>
        <v/>
      </c>
      <c r="J28" s="1" t="str">
        <f>IF(Matches!J5="","",Matches!J5)</f>
        <v/>
      </c>
      <c r="K28" s="1" t="str">
        <f>IF(Matches!K5="","",Matches!K5)</f>
        <v/>
      </c>
      <c r="L28" s="1" t="str">
        <f>Matches!L5</f>
        <v>Pending</v>
      </c>
      <c r="M28" s="1" t="str">
        <f>IF(Matches!M5="","",Matches!M5)</f>
        <v/>
      </c>
      <c r="N28" s="1" t="str">
        <f>IF(Matches!N5="","",Matches!N5)</f>
        <v/>
      </c>
      <c r="O28" s="1" t="str">
        <f>IF(Matches!O5="","",Matches!O5)</f>
        <v/>
      </c>
      <c r="P28" s="1" t="str">
        <f>IF(Matches!P5="","",Matches!P5)</f>
        <v/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 t="str">
        <f>IF(Matches!I6="","",Matches!I6)</f>
        <v/>
      </c>
      <c r="J29" s="1" t="str">
        <f>IF(Matches!J6="","",Matches!J6)</f>
        <v/>
      </c>
      <c r="K29" s="1" t="str">
        <f>IF(Matches!K6="","",Matches!K6)</f>
        <v/>
      </c>
      <c r="L29" s="1" t="str">
        <f>Matches!L6</f>
        <v>Pending</v>
      </c>
      <c r="M29" s="1" t="str">
        <f>IF(Matches!M6="","",Matches!M6)</f>
        <v/>
      </c>
      <c r="N29" s="1" t="str">
        <f>IF(Matches!N6="","",Matches!N6)</f>
        <v/>
      </c>
      <c r="O29" s="1" t="str">
        <f>IF(Matches!O6="","",Matches!O6)</f>
        <v/>
      </c>
      <c r="P29" s="1" t="str">
        <f>IF(Matches!P6="","",Matches!P6)</f>
        <v/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 t="str">
        <f>IF(Matches!I7="","",Matches!I7)</f>
        <v/>
      </c>
      <c r="J30" s="1" t="str">
        <f>IF(Matches!J7="","",Matches!J7)</f>
        <v/>
      </c>
      <c r="K30" s="1" t="str">
        <f>IF(Matches!K7="","",Matches!K7)</f>
        <v/>
      </c>
      <c r="L30" s="1" t="str">
        <f>Matches!L7</f>
        <v>Pending</v>
      </c>
      <c r="M30" s="1" t="str">
        <f>IF(Matches!M7="","",Matches!M7)</f>
        <v/>
      </c>
      <c r="N30" s="1" t="str">
        <f>IF(Matches!N7="","",Matches!N7)</f>
        <v/>
      </c>
      <c r="O30" s="1" t="str">
        <f>IF(Matches!O7="","",Matches!O7)</f>
        <v/>
      </c>
      <c r="P30" s="1" t="str">
        <f>IF(Matches!P7="","",Matches!P7)</f>
        <v/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0.69930555555555551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22" t="s">
        <v>380</v>
      </c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>
      <c r="A52" s="7" t="s">
        <v>362</v>
      </c>
      <c r="B52" s="7" t="s">
        <v>363</v>
      </c>
      <c r="C52" s="7" t="s">
        <v>347</v>
      </c>
      <c r="D52" s="7" t="s">
        <v>364</v>
      </c>
      <c r="E52" s="7" t="s">
        <v>365</v>
      </c>
      <c r="F52" s="7" t="s">
        <v>366</v>
      </c>
      <c r="G52" s="1" t="s">
        <v>367</v>
      </c>
      <c r="H52" s="1" t="s">
        <v>368</v>
      </c>
      <c r="I52" s="1" t="s">
        <v>369</v>
      </c>
      <c r="J52" s="1" t="s">
        <v>370</v>
      </c>
      <c r="K52" s="1" t="s">
        <v>371</v>
      </c>
      <c r="L52" s="1" t="s">
        <v>375</v>
      </c>
      <c r="M52" s="1" t="s">
        <v>376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0.74027777777777781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0.4548611111111111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22" t="s">
        <v>381</v>
      </c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>
      <c r="A62" s="7" t="s">
        <v>362</v>
      </c>
      <c r="B62" s="7" t="s">
        <v>382</v>
      </c>
      <c r="C62" s="7" t="s">
        <v>383</v>
      </c>
      <c r="D62" s="7" t="s">
        <v>384</v>
      </c>
      <c r="E62" s="7" t="s">
        <v>359</v>
      </c>
      <c r="F62" s="7" t="s">
        <v>385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 t="str">
        <f>IF(Goals!A2="","",Goals!A2)</f>
        <v/>
      </c>
      <c r="B63" s="1" t="str">
        <f>IF(Goals!A2="","",Goals!B2)</f>
        <v/>
      </c>
      <c r="C63" s="1" t="str">
        <f>IF(Goals!A2="","",Goals!C2)</f>
        <v/>
      </c>
      <c r="D63" s="1" t="str">
        <f>IF(Goals!A2="","",Goals!D2)</f>
        <v/>
      </c>
      <c r="E63" s="1" t="str">
        <f>IF(Goals!A2="","",Goals!E2)</f>
        <v/>
      </c>
      <c r="F63" s="1" t="str">
        <f>IF(Goals!A2="","",Goals!F2)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 t="str">
        <f>IF(Goals!A3="","",Goals!A3)</f>
        <v/>
      </c>
      <c r="B64" s="1" t="str">
        <f>IF(Goals!A3="","",Goals!B3)</f>
        <v/>
      </c>
      <c r="C64" s="1" t="str">
        <f>IF(Goals!A3="","",Goals!C3)</f>
        <v/>
      </c>
      <c r="D64" s="1" t="str">
        <f>IF(Goals!A3="","",Goals!D3)</f>
        <v/>
      </c>
      <c r="E64" s="1" t="str">
        <f>IF(Goals!A3="","",Goals!E3)</f>
        <v/>
      </c>
      <c r="F64" s="1" t="str">
        <f>IF(Goals!A3="","",Goals!F3)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>
      <c r="A65" s="1" t="str">
        <f>IF(Goals!A4="","",Goals!A4)</f>
        <v/>
      </c>
      <c r="B65" s="1" t="str">
        <f>IF(Goals!A4="","",Goals!B4)</f>
        <v/>
      </c>
      <c r="C65" s="1" t="str">
        <f>IF(Goals!A4="","",Goals!C4)</f>
        <v/>
      </c>
      <c r="D65" s="1" t="str">
        <f>IF(Goals!A4="","",Goals!D4)</f>
        <v/>
      </c>
      <c r="E65" s="1" t="str">
        <f>IF(Goals!A4="","",Goals!E4)</f>
        <v/>
      </c>
      <c r="F65" s="1" t="str">
        <f>IF(Goals!A4="","",Goals!F4)</f>
        <v/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>
      <c r="A75" s="1" t="str">
        <f>IF(Goals!A14="","",Goals!A14)</f>
        <v/>
      </c>
      <c r="B75" s="1" t="str">
        <f>IF(Goals!A14="","",Goals!B14)</f>
        <v/>
      </c>
      <c r="C75" s="1" t="str">
        <f>IF(Goals!A14="","",Goals!C14)</f>
        <v/>
      </c>
      <c r="D75" s="1" t="str">
        <f>IF(Goals!A14="","",Goals!D14)</f>
        <v/>
      </c>
      <c r="E75" s="1" t="str">
        <f>IF(Goals!A14="","",Goals!E14)</f>
        <v/>
      </c>
      <c r="F75" s="1" t="str">
        <f>IF(Goals!A14="","",Goals!F14)</f>
        <v/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>
      <c r="A87" s="1" t="str">
        <f>IF(Goals!A26="","",Goals!A26)</f>
        <v/>
      </c>
      <c r="B87" s="1" t="str">
        <f>IF(Goals!A26="","",Goals!B26)</f>
        <v/>
      </c>
      <c r="C87" s="1" t="str">
        <f>IF(Goals!A26="","",Goals!C26)</f>
        <v/>
      </c>
      <c r="D87" s="1" t="str">
        <f>IF(Goals!A26="","",Goals!D26)</f>
        <v/>
      </c>
      <c r="E87" s="1" t="str">
        <f>IF(Goals!A26="","",Goals!E26)</f>
        <v/>
      </c>
      <c r="F87" s="1" t="str">
        <f>IF(Goals!A26="","",Goals!F26)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>
      <c r="A99" s="1" t="str">
        <f>IF(Goals!A38="","",Goals!A38)</f>
        <v/>
      </c>
      <c r="B99" s="1" t="str">
        <f>IF(Goals!A38="","",Goals!B38)</f>
        <v/>
      </c>
      <c r="C99" s="1" t="str">
        <f>IF(Goals!A38="","",Goals!C38)</f>
        <v/>
      </c>
      <c r="D99" s="1" t="str">
        <f>IF(Goals!A38="","",Goals!D38)</f>
        <v/>
      </c>
      <c r="E99" s="1" t="str">
        <f>IF(Goals!A38="","",Goals!E38)</f>
        <v/>
      </c>
      <c r="F99" s="1" t="str">
        <f>IF(Goals!A38="","",Goals!F38)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>
      <c r="A100" s="1" t="str">
        <f>IF(Goals!A39="","",Goals!A39)</f>
        <v/>
      </c>
      <c r="B100" s="1" t="str">
        <f>IF(Goals!A39="","",Goals!B39)</f>
        <v/>
      </c>
      <c r="C100" s="1" t="str">
        <f>IF(Goals!A39="","",Goals!C39)</f>
        <v/>
      </c>
      <c r="D100" s="1" t="str">
        <f>IF(Goals!A39="","",Goals!D39)</f>
        <v/>
      </c>
      <c r="E100" s="1" t="str">
        <f>IF(Goals!A39="","",Goals!E39)</f>
        <v/>
      </c>
      <c r="F100" s="1" t="str">
        <f>IF(Goals!A39="","",Goals!F39)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>
      <c r="A101" s="1" t="str">
        <f>IF(Goals!A40="","",Goals!A40)</f>
        <v/>
      </c>
      <c r="B101" s="1" t="str">
        <f>IF(Goals!A40="","",Goals!B40)</f>
        <v/>
      </c>
      <c r="C101" s="1" t="str">
        <f>IF(Goals!A40="","",Goals!C40)</f>
        <v/>
      </c>
      <c r="D101" s="1" t="str">
        <f>IF(Goals!A40="","",Goals!D40)</f>
        <v/>
      </c>
      <c r="E101" s="1" t="str">
        <f>IF(Goals!A40="","",Goals!E40)</f>
        <v/>
      </c>
      <c r="F101" s="1" t="str">
        <f>IF(Goals!A40="","",Goals!F40)</f>
        <v/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>
      <c r="A102" s="1" t="str">
        <f>IF(Goals!A41="","",Goals!A41)</f>
        <v/>
      </c>
      <c r="B102" s="1" t="str">
        <f>IF(Goals!A41="","",Goals!B41)</f>
        <v/>
      </c>
      <c r="C102" s="1" t="str">
        <f>IF(Goals!A41="","",Goals!C41)</f>
        <v/>
      </c>
      <c r="D102" s="1" t="str">
        <f>IF(Goals!A41="","",Goals!D41)</f>
        <v/>
      </c>
      <c r="E102" s="1" t="str">
        <f>IF(Goals!A41="","",Goals!E41)</f>
        <v/>
      </c>
      <c r="F102" s="1" t="str">
        <f>IF(Goals!A41="","",Goals!F41)</f>
        <v/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>
      <c r="A103" s="1" t="str">
        <f>IF(Goals!A42="","",Goals!A42)</f>
        <v/>
      </c>
      <c r="B103" s="1" t="str">
        <f>IF(Goals!A42="","",Goals!B42)</f>
        <v/>
      </c>
      <c r="C103" s="1" t="str">
        <f>IF(Goals!A42="","",Goals!C42)</f>
        <v/>
      </c>
      <c r="D103" s="1" t="str">
        <f>IF(Goals!A42="","",Goals!D42)</f>
        <v/>
      </c>
      <c r="E103" s="1" t="str">
        <f>IF(Goals!A42="","",Goals!E42)</f>
        <v/>
      </c>
      <c r="F103" s="1" t="str">
        <f>IF(Goals!A42="","",Goals!F42)</f>
        <v/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>
      <c r="A111" s="1" t="str">
        <f>IF(Goals!A50="","",Goals!A50)</f>
        <v/>
      </c>
      <c r="B111" s="1" t="str">
        <f>IF(Goals!A50="","",Goals!B50)</f>
        <v/>
      </c>
      <c r="C111" s="1" t="str">
        <f>IF(Goals!A50="","",Goals!C50)</f>
        <v/>
      </c>
      <c r="D111" s="1" t="str">
        <f>IF(Goals!A50="","",Goals!D50)</f>
        <v/>
      </c>
      <c r="E111" s="1" t="str">
        <f>IF(Goals!A50="","",Goals!E50)</f>
        <v/>
      </c>
      <c r="F111" s="1" t="str">
        <f>IF(Goals!A50="","",Goals!F50)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>
      <c r="A112" s="1" t="str">
        <f>IF(Goals!A51="","",Goals!A51)</f>
        <v/>
      </c>
      <c r="B112" s="1" t="str">
        <f>IF(Goals!A51="","",Goals!B51)</f>
        <v/>
      </c>
      <c r="C112" s="1" t="str">
        <f>IF(Goals!A51="","",Goals!C51)</f>
        <v/>
      </c>
      <c r="D112" s="1" t="str">
        <f>IF(Goals!A51="","",Goals!D51)</f>
        <v/>
      </c>
      <c r="E112" s="1" t="str">
        <f>IF(Goals!A51="","",Goals!E51)</f>
        <v/>
      </c>
      <c r="F112" s="1" t="str">
        <f>IF(Goals!A51="","",Goals!F51)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>
      <c r="A123" s="1" t="str">
        <f>IF(Goals!A62="","",Goals!A62)</f>
        <v/>
      </c>
      <c r="B123" s="1" t="str">
        <f>IF(Goals!A62="","",Goals!B62)</f>
        <v/>
      </c>
      <c r="C123" s="1" t="str">
        <f>IF(Goals!A62="","",Goals!C62)</f>
        <v/>
      </c>
      <c r="D123" s="1" t="str">
        <f>IF(Goals!A62="","",Goals!D62)</f>
        <v/>
      </c>
      <c r="E123" s="1" t="str">
        <f>IF(Goals!A62="","",Goals!E62)</f>
        <v/>
      </c>
      <c r="F123" s="1" t="str">
        <f>IF(Goals!A62="","",Goals!F62)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16</vt:i4>
      </vt:variant>
      <vt:variant>
        <vt:lpstr>Intervalli denominati</vt:lpstr>
      </vt:variant>
      <vt:variant>
        <vt:i4>1</vt:i4>
      </vt:variant>
    </vt:vector>
  </HeadingPairs>
  <TitlesOfParts>
    <vt:vector size="17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NoBounce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MARCHI DANIEL</cp:lastModifiedBy>
  <dcterms:created xsi:type="dcterms:W3CDTF">2026-06-27T07:20:54Z</dcterms:created>
  <dcterms:modified xsi:type="dcterms:W3CDTF">2026-07-04T12:28:59Z</dcterms:modified>
</cp:coreProperties>
</file>