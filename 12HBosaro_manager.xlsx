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5AF90E8E-EE50-4F34-9DA9-FEEB21A46470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D16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B16" i="13" l="1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423" i="15" l="1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D460" i="8" s="1"/>
  <c r="E460" i="8" s="1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H74" i="13" l="1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<sst xmlns="http://schemas.openxmlformats.org/spreadsheetml/2006/main" count="886" uniqueCount="399">
  <si>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</si>
  <si>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</si>
  <si>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</si>
  <si>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</si>
  <si>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</si>
  <si>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</si>
  <si>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</si>
  <si>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</si>
  <si>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</si>
  <si>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</si>
  <si>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</si>
  <si>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</si>
  <si>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</si>
  <si>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</si>
  <si>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</si>
  <si>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</si>
  <si>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</si>
  <si>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</si>
  <si>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</si>
  <si>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</si>
  <si>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</si>
  <si>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</si>
  <si>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</si>
  <si>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</si>
  <si>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</si>
  <si>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</si>
  <si>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</si>
  <si>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</si>
  <si>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</si>
  <si>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</si>
  <si>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</si>
  <si>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</si>
  <si>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</si>
  <si>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</si>
  <si>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</si>
  <si>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</si>
  <si>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</si>
  <si>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</si>
  <si>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</si>
  <si>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</si>
  <si>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</si>
  <si>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</si>
  <si>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</si>
  <si>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</si>
  <si>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</si>
  <si>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</si>
  <si>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</si>
  <si>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</si>
  <si>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</si>
  <si>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</si>
  <si>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</si>
  <si>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</si>
  <si>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</si>
  <si>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</si>
  <si>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</si>
  <si>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</si>
  <si>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</si>
  <si>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</si>
  <si>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</si>
  <si>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</si>
  <si>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</si>
  <si>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</si>
  <si>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</si>
  <si>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</si>
  <si>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</si>
  <si>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</si>
  <si>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</si>
  <si>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</si>
  <si>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</si>
  <si>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</si>
  <si>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</si>
  <si>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</si>
  <si>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</si>
  <si>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</si>
  <si>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</si>
  <si>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</si>
  <si>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</si>
  <si>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</si>
  <si>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</si>
  <si>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</si>
  <si>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</si>
  <si>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</si>
  <si>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</si>
  <si>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</si>
  <si>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</si>
  <si>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</si>
  <si>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</si>
  <si>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</si>
  <si>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</si>
  <si>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</si>
  <si>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</si>
  <si>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</si>
  <si>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</si>
  <si>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</si>
  <si>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</si>
  <si>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</si>
  <si>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</si>
  <si>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</si>
  <si>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</si>
  <si>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</si>
  <si>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</si>
  <si>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</si>
  <si>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</si>
  <si>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</si>
  <si>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</si>
  <si>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</si>
  <si>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</si>
  <si>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</si>
  <si>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</si>
  <si>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</si>
  <si>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</si>
  <si>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</si>
  <si>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</si>
  <si>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</si>
  <si>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</si>
  <si>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</si>
  <si>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</si>
  <si>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</si>
  <si>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</si>
  <si>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</si>
  <si>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</si>
  <si>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</si>
  <si>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</si>
  <si>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</si>
  <si>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</si>
  <si>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</si>
  <si>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</si>
  <si>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</si>
  <si>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</si>
  <si>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</si>
  <si>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</si>
  <si>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</si>
  <si>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</si>
  <si>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</si>
  <si>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</si>
  <si>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</si>
  <si>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</si>
  <si>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</si>
  <si>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</si>
  <si>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</si>
  <si>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</si>
  <si>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</si>
  <si>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</si>
  <si>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</si>
  <si>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</si>
  <si>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</si>
  <si>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</si>
  <si>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</si>
  <si>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</si>
  <si>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</si>
  <si>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</si>
  <si>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</si>
  <si>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</si>
  <si>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</si>
  <si>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</si>
  <si>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</si>
  <si>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</si>
  <si>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</si>
  <si>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</si>
  <si>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</si>
  <si>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</si>
  <si>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</si>
  <si>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</si>
  <si>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</si>
  <si>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</si>
  <si>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</si>
  <si>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</si>
  <si>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</si>
  <si>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</si>
  <si>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</si>
  <si>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</si>
  <si>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</si>
  <si>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</si>
  <si>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</si>
  <si>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</si>
  <si>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</si>
  <si>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</si>
  <si>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</si>
  <si>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</si>
  <si>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</si>
  <si>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</si>
  <si>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</si>
  <si>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</si>
  <si>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</si>
  <si>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</si>
  <si>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</si>
  <si>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</si>
  <si>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</si>
  <si>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</si>
  <si>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</si>
  <si>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</si>
  <si>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</si>
  <si>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</si>
  <si>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</si>
  <si>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</si>
  <si>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</si>
  <si>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</si>
  <si>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</si>
  <si>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</si>
  <si>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</si>
  <si>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</si>
  <si>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</si>
  <si>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</si>
  <si>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</si>
  <si>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</si>
  <si>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</si>
  <si>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</si>
  <si>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</si>
  <si>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</si>
  <si>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</si>
  <si>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</si>
  <si>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</si>
  <si>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</si>
  <si>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</si>
  <si>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</si>
  <si>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</si>
  <si>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</si>
  <si>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</si>
  <si>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</si>
  <si>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</si>
  <si>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</si>
  <si>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</si>
  <si>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</si>
  <si>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</si>
  <si>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</si>
  <si>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</si>
  <si>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</si>
  <si>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</si>
  <si>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</si>
  <si>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</si>
  <si>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</si>
  <si>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</si>
  <si>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</si>
  <si>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</si>
  <si>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</si>
  <si>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</si>
  <si>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</si>
  <si>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</si>
  <si>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</si>
  <si>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</si>
  <si>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</si>
  <si>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</si>
  <si>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</si>
  <si>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</si>
  <si>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</si>
  <si>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</si>
  <si>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</si>
  <si>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</si>
  <si>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</si>
  <si>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</si>
  <si>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</si>
  <si>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</si>
  <si>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</si>
  <si>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</si>
  <si>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</si>
  <si>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</si>
  <si>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</si>
  <si>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</si>
  <si>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</si>
  <si>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</si>
  <si>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</si>
  <si>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</si>
  <si>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</si>
  <si>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</si>
  <si>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</si>
  <si>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</si>
  <si>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</si>
  <si>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</si>
  <si>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</si>
  <si>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</si>
  <si>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</si>
  <si>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</si>
  <si>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</si>
  <si>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</si>
  <si>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</si>
  <si>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</si>
  <si>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</si>
  <si>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</si>
  <si>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</si>
  <si>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</si>
  <si>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</si>
  <si>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</si>
  <si>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</si>
  <si>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</si>
  <si>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</si>
  <si>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</si>
  <si>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</si>
  <si>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</si>
  <si>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</si>
  <si>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</si>
  <si>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</si>
  <si>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</si>
  <si>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</si>
  <si>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</si>
  <si>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</si>
  <si>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</si>
  <si>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</si>
  <si>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</si>
  <si>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</si>
  <si>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</si>
  <si>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</si>
  <si>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</si>
  <si>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</si>
  <si>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</si>
  <si>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</si>
  <si>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</si>
  <si>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</si>
  <si>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</si>
  <si>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</si>
  <si>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</si>
  <si>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</si>
  <si>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</si>
  <si>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</si>
  <si>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</si>
  <si>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</si>
  <si>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</si>
  <si>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</si>
  <si>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</si>
  <si>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</si>
  <si>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</si>
  <si>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</si>
  <si>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</si>
  <si>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</si>
  <si>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</si>
  <si>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</si>
  <si>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</si>
  <si>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</si>
  <si>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</si>
  <si>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</si>
  <si>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</si>
  <si>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</si>
  <si>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</si>
  <si>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</si>
  <si>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</si>
  <si>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</si>
  <si>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</si>
  <si>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</si>
  <si>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</si>
  <si>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</si>
  <si>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</si>
  <si>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</si>
  <si>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</si>
  <si>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</si>
  <si>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</si>
  <si>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</si>
  <si>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</si>
  <si>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</si>
  <si>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</si>
  <si>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</si>
  <si>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</si>
  <si>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</si>
  <si>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</si>
  <si>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</si>
  <si>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</si>
  <si>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</si>
  <si>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</si>
  <si>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</si>
  <si>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</si>
  <si>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</si>
  <si>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</si>
  <si>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</si>
  <si>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</si>
  <si>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</si>
  <si>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</si>
  <si>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</si>
  <si>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</si>
  <si>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</si>
  <si>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</si>
  <si>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</si>
  <si>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</si>
  <si>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</si>
  <si>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</si>
  <si>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</si>
  <si>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</si>
  <si>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</si>
  <si>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</si>
  <si>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</si>
  <si>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</si>
  <si>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</si>
  <si>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</si>
  <si>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</si>
  <si>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</si>
  <si>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</si>
  <si>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</si>
  <si>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</si>
  <si>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</si>
  <si>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</si>
  <si>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</si>
  <si>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</si>
  <si>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</si>
  <si>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</si>
  <si>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</si>
  <si>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</si>
  <si>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</si>
  <si>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</si>
  <si>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</si>
  <si>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</si>
  <si>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11 - ALEX BERGO</t>
  </si>
  <si>
    <t>10 - RAFFAELE GAROFALO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</si>
</sst>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17"/>
      <c r="B19" s="17"/>
      <c r="C19" s="17"/>
      <c r="D19" s="17"/>
      <c r="E19" s="17"/>
      <c r="F19" s="17"/>
    </row>
    <row r="20" spans="1:6" x14ac:dyDescent="0.3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R17" sqref="AR17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 x14ac:dyDescent="0.3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 x14ac:dyDescent="0.3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 x14ac:dyDescent="0.3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 x14ac:dyDescent="0.3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 x14ac:dyDescent="0.3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 x14ac:dyDescent="0.3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 x14ac:dyDescent="0.3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 x14ac:dyDescent="0.3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 x14ac:dyDescent="0.3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7" sqref="I7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 x14ac:dyDescent="0.3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>
        <v>0</v>
      </c>
      <c r="J3" s="2">
        <v>3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0 - 3 Piadineria la Salsiccia</v>
      </c>
    </row>
    <row r="4" spans="1:26" x14ac:dyDescent="0.3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 x14ac:dyDescent="0.3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 x14ac:dyDescent="0.3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 x14ac:dyDescent="0.3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 x14ac:dyDescent="0.3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7" workbookViewId="0">
      <selection activeCell="G26" sqref="G26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tr">
        <f t="shared" si="0"/>
        <v>Goal</v>
      </c>
      <c r="E14" s="2" t="s">
        <v>397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Piadineria la Salsiccia</v>
      </c>
      <c r="C15">
        <f>IF(A15="","",COUNTIFS($A$2:A15,A15,$B$2:B15,B15))</f>
        <v>2</v>
      </c>
      <c r="D15" s="2" t="str">
        <f t="shared" si="0"/>
        <v>Goal</v>
      </c>
      <c r="E15" s="2" t="s">
        <v>398</v>
      </c>
      <c r="F15" t="str">
        <f t="shared" si="1"/>
        <v>Piadineria la Salsiccia</v>
      </c>
      <c r="G15" t="str">
        <f t="shared" si="2"/>
        <v>OK</v>
      </c>
      <c r="H15" t="str">
        <f>IF(F15="","",VLOOKUP(F15,Validation!$A$2:$B$17,2,FALSE))</f>
        <v>Validation!$R$2:$R$31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Piadineria la Salsiccia</v>
      </c>
      <c r="C16">
        <f>IF(A16="","",COUNTIFS($A$2:A16,A16,$B$2:B16,B16))</f>
        <v>3</v>
      </c>
      <c r="D16" s="2" t="str">
        <f t="shared" si="0"/>
        <v>Goal</v>
      </c>
      <c r="E16" s="2" t="s">
        <v>398</v>
      </c>
      <c r="F16" t="str">
        <f t="shared" si="1"/>
        <v>Piadineria la Salsiccia</v>
      </c>
      <c r="G16" t="str">
        <f t="shared" si="2"/>
        <v>OK</v>
      </c>
      <c r="H16" t="str">
        <f>IF(F16="","",VLOOKUP(F16,Validation!$A$2:$B$17,2,FALSE))</f>
        <v>Validation!$R$2:$R$31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2</v>
      </c>
      <c r="E460">
        <f t="shared" si="7"/>
        <v>199999.54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1</v>
      </c>
      <c r="E461">
        <f t="shared" si="7"/>
        <v>99999.539000000004</v>
      </c>
    </row>
    <row r="462" spans="1:5" x14ac:dyDescent="0.3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RAFFAELE GAROFALO</v>
      </c>
      <c r="C2" t="str">
        <f>IF($A2="","",INDEX(ScorerData!$B$2:$B$481,MATCH(LARGE(ScorerData!$E$2:$E$481,$A2),ScorerData!$E$2:$E$481,0)))</f>
        <v>Piadineria la Salsiccia</v>
      </c>
      <c r="D2">
        <f>IF($A2="","",INDEX(ScorerData!$D$2:$D$481,MATCH(LARGE(ScorerData!$E$2:$E$481,$A2),ScorerData!$E$2:$E$481,0)))</f>
        <v>2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ALEX BERGO</v>
      </c>
      <c r="C3" t="str">
        <f>IF($A3="","",INDEX(ScorerData!$B$2:$B$481,MATCH(LARGE(ScorerData!$E$2:$E$481,$A3),ScorerData!$E$2:$E$481,0)))</f>
        <v>Piadineria la Salsiccia</v>
      </c>
      <c r="D3">
        <f>IF($A3="","",INDEX(ScorerData!$D$2:$D$481,MATCH(LARGE(ScorerData!$E$2:$E$481,$A3),ScorerData!$E$2:$E$481,0)))</f>
        <v>1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1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1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3</v>
      </c>
      <c r="J16">
        <f t="shared" si="0"/>
        <v>-3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-300.01600000000002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3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3</v>
      </c>
      <c r="K17">
        <f>SUMIFS(Matches!$M$2:$M$25,Matches!$G$2:$G$25,$B17,Matches!$L$2:$L$25,"Complete")+SUMIFS(Matches!$N$2:$N$25,Matches!$H$2:$H$25,$B17,Matches!$L$2:$L$25,"Complete")</f>
        <v>3</v>
      </c>
      <c r="L17" s="2">
        <f>0</f>
        <v>0</v>
      </c>
      <c r="M17">
        <f t="shared" si="1"/>
        <v>3000302.983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Piadineria la Salsiccia</v>
      </c>
      <c r="D14">
        <f>INDEX(StandingsData!$K$14:$K$17,MATCH(LARGE(StandingsData!$M$14:$M$17,1),StandingsData!$M$14:$M$17,0))</f>
        <v>3</v>
      </c>
      <c r="E14">
        <f>INDEX(StandingsData!$C$14:$C$17,MATCH(LARGE(StandingsData!$M$14:$M$17,1),StandingsData!$M$14:$M$17,0))</f>
        <v>1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3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All Blacks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Boldò Glimt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3</v>
      </c>
      <c r="L17">
        <f>INDEX(StandingsData!$J$14:$J$17,MATCH(LARGE(StandingsData!$M$14:$M$17,4),StandingsData!$M$14:$M$17,0))</f>
        <v>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322</v>
      </c>
      <c r="B2" t="s">
        <v>323</v>
      </c>
      <c r="E2" t="s">
        <v>267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333</v>
      </c>
      <c r="B8" t="s">
        <v>334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 x14ac:dyDescent="0.3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>RAFFAELE GAROFALO</v>
      </c>
      <c r="P5" s="1" t="str">
        <f>IF(TopScorers!C2="","",TopScorers!C2)</f>
        <v>Piadineria la Salsiccia</v>
      </c>
      <c r="Q5" s="1">
        <f>IF(TopScorers!D2="","",TopScorers!D2)</f>
        <v>2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>ALEX BERGO</v>
      </c>
      <c r="P6" s="1" t="str">
        <f>IF(TopScorers!C3="","",TopScorers!C3)</f>
        <v>Piadineria la Salsiccia</v>
      </c>
      <c r="Q6" s="1">
        <f>IF(TopScorers!D3="","",TopScorers!D3)</f>
        <v>1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Piadineria la Salsiccia</v>
      </c>
      <c r="D17" s="1">
        <f>Standings!D14</f>
        <v>3</v>
      </c>
      <c r="E17" s="1">
        <f>Standings!E14</f>
        <v>1</v>
      </c>
      <c r="F17" s="1">
        <f>Standings!F14</f>
        <v>1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0</v>
      </c>
      <c r="L17" s="1">
        <f>Standings!L14</f>
        <v>3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All Blacks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Boldò Glimt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0</v>
      </c>
      <c r="K20" s="1">
        <f>Standings!K17</f>
        <v>3</v>
      </c>
      <c r="L20" s="1">
        <f>Standings!L17</f>
        <v>-3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3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0 - 3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11 - ALEX BERGO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>M02</v>
      </c>
      <c r="B76" s="1" t="str">
        <f>IF(Goals!A15="","",Goals!B15)</f>
        <v>Piadineria la Salsiccia</v>
      </c>
      <c r="C76" s="1">
        <f>IF(Goals!A15="","",Goals!C15)</f>
        <v>2</v>
      </c>
      <c r="D76" s="1" t="str">
        <f>IF(Goals!A15="","",Goals!D15)</f>
        <v>Goal</v>
      </c>
      <c r="E76" s="1" t="str">
        <f>IF(Goals!A15="","",Goals!E15)</f>
        <v>10 - RAFFAELE GAROFALO</v>
      </c>
      <c r="F76" s="1" t="str">
        <f>IF(Goals!A15="","",Goals!F15)</f>
        <v>Piadineria la Salsiccia</v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>M02</v>
      </c>
      <c r="B77" s="1" t="str">
        <f>IF(Goals!A16="","",Goals!B16)</f>
        <v>Piadineria la Salsiccia</v>
      </c>
      <c r="C77" s="1">
        <f>IF(Goals!A16="","",Goals!C16)</f>
        <v>3</v>
      </c>
      <c r="D77" s="1" t="str">
        <f>IF(Goals!A16="","",Goals!D16)</f>
        <v>Goal</v>
      </c>
      <c r="E77" s="1" t="str">
        <f>IF(Goals!A16="","",Goals!E16)</f>
        <v>10 - RAFFAELE GAROFALO</v>
      </c>
      <c r="F77" s="1" t="str">
        <f>IF(Goals!A16="","",Goals!F16)</f>
        <v>Piadineria la Salsiccia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2026-07-03T16:29:17Z</dcterms:modified>
</cp:coreProperties>
</file>