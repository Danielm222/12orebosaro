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CEFF66C6-6794-4440-9EC7-C83AFC70E576}" xr6:coauthVersionLast="47" xr6:coauthVersionMax="47" xr10:uidLastSave="{00000000-0000-0000-0000-000000000000}"/>
  <bookViews>
    <workbookView xWindow="-108" yWindow="-108" windowWidth="23256" windowHeight="12456" firstSheet="3" activeTab="6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18" i="5" l="1"/>
  <c r="C218" i="8" s="1"/>
  <c r="G220" i="5"/>
  <c r="C220" i="8" s="1"/>
  <c r="G219" i="5"/>
  <c r="C219" i="8" s="1"/>
  <c r="G221" i="5"/>
  <c r="C221" i="8" s="1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C63" i="7" s="1"/>
  <c r="C124" i="15" s="1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B221" i="8"/>
  <c r="B220" i="8"/>
  <c r="B219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E184" i="15"/>
  <c r="D184" i="15"/>
  <c r="A184" i="15"/>
  <c r="E183" i="15"/>
  <c r="D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B123" i="7"/>
  <c r="B184" i="15" s="1"/>
  <c r="G122" i="7"/>
  <c r="B122" i="7"/>
  <c r="B183" i="15" s="1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D221" i="8" l="1"/>
  <c r="E221" i="8" s="1"/>
  <c r="D220" i="8"/>
  <c r="E220" i="8" s="1"/>
  <c r="D219" i="8"/>
  <c r="E219" i="8" s="1"/>
  <c r="D218" i="8"/>
  <c r="E218" i="8" s="1"/>
  <c r="F123" i="7"/>
  <c r="C123" i="7"/>
  <c r="C184" i="15" s="1"/>
  <c r="F122" i="7"/>
  <c r="C122" i="7"/>
  <c r="C183" i="15" s="1"/>
  <c r="F106" i="7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D152" i="8" s="1"/>
  <c r="E152" i="8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H30" i="7"/>
  <c r="F91" i="15"/>
  <c r="F28" i="7"/>
  <c r="C28" i="7"/>
  <c r="C89" i="15" s="1"/>
  <c r="F88" i="15"/>
  <c r="H27" i="7"/>
  <c r="H29" i="7"/>
  <c r="F90" i="15"/>
  <c r="D250" i="8"/>
  <c r="E250" i="8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74" i="8" s="1"/>
  <c r="E74" i="8" s="1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D248" i="8" s="1"/>
  <c r="E248" i="8" s="1"/>
  <c r="G40" i="7"/>
  <c r="G39" i="7"/>
  <c r="F39" i="7"/>
  <c r="G38" i="7"/>
  <c r="G89" i="7"/>
  <c r="F89" i="7"/>
  <c r="C89" i="7"/>
  <c r="C150" i="15" s="1"/>
  <c r="C88" i="7"/>
  <c r="C149" i="15" s="1"/>
  <c r="F50" i="7"/>
  <c r="D309" i="8" s="1"/>
  <c r="E309" i="8" s="1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D247" i="8"/>
  <c r="E247" i="8" s="1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F184" i="15" l="1"/>
  <c r="H123" i="7"/>
  <c r="F183" i="15"/>
  <c r="H122" i="7"/>
  <c r="D187" i="8"/>
  <c r="E187" i="8" s="1"/>
  <c r="D65" i="8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98" i="8"/>
  <c r="E363" i="8"/>
  <c r="E189" i="8"/>
  <c r="E396" i="8"/>
  <c r="E182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<sst xmlns="http://schemas.openxmlformats.org/spreadsheetml/2006/main" count="960" uniqueCount="448">
  <si>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</si>
  <si>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</si>
  <si>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</si>
  <si>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</si>
  <si>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</si>
  <si>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</si>
  <si>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</si>
  <si>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</si>
  <si>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</si>
  <si>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</si>
  <si>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</si>
  <si>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</si>
  <si>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</si>
  <si>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</si>
  <si>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</si>
  <si>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</si>
  <si>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</si>
  <si>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</si>
  <si>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</si>
  <si>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</si>
  <si>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</si>
  <si>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</si>
  <si>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</si>
  <si>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</si>
  <si>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</si>
  <si>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</si>
  <si>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</si>
  <si>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</si>
  <si>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</si>
  <si>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</si>
  <si>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</si>
  <si>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</si>
  <si>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</si>
  <si>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</si>
  <si>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</si>
  <si>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</si>
  <si>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</si>
  <si>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</si>
  <si>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</si>
  <si>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</si>
  <si>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</si>
  <si>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</si>
  <si>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</si>
  <si>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</si>
  <si>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</si>
  <si>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</si>
  <si>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</si>
  <si>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</si>
  <si>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</si>
  <si>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</si>
  <si>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</si>
  <si>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</si>
  <si>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</si>
  <si>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</si>
  <si>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</si>
  <si>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</si>
  <si>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</si>
  <si>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</si>
  <si>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</si>
  <si>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</si>
  <si>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</si>
  <si>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</si>
  <si>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</si>
  <si>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</si>
  <si>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</si>
  <si>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</si>
  <si>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</si>
  <si>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</si>
  <si>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</si>
  <si>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</si>
  <si>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</si>
  <si>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</si>
  <si>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</si>
  <si>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</si>
  <si>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</si>
  <si>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</si>
  <si>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</si>
  <si>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</si>
  <si>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</si>
  <si>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</si>
  <si>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</si>
  <si>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</si>
  <si>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</si>
  <si>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</si>
  <si>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</si>
  <si>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</si>
  <si>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</si>
  <si>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</si>
  <si>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</si>
  <si>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</si>
  <si>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</si>
  <si>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</si>
  <si>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</si>
  <si>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</si>
  <si>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</si>
  <si>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</si>
  <si>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</si>
  <si>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</si>
  <si>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</si>
  <si>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</si>
  <si>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</si>
  <si>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</si>
  <si>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</si>
  <si>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</si>
  <si>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</si>
  <si>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</si>
  <si>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</si>
  <si>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</si>
  <si>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</si>
  <si>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</si>
  <si>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</si>
  <si>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</si>
  <si>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</si>
  <si>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</si>
  <si>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</si>
  <si>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</si>
  <si>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</si>
  <si>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</si>
  <si>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</si>
  <si>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</si>
  <si>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</si>
  <si>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</si>
  <si>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</si>
  <si>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</si>
  <si>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</si>
  <si>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</si>
  <si>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</si>
  <si>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</si>
  <si>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</si>
  <si>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</si>
  <si>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</si>
  <si>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</si>
  <si>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</si>
  <si>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</si>
  <si>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</si>
  <si>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</si>
  <si>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</si>
  <si>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</si>
  <si>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</si>
  <si>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</si>
  <si>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</si>
  <si>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</si>
  <si>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</si>
  <si>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</si>
  <si>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</si>
  <si>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</si>
  <si>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</si>
  <si>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</si>
  <si>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</si>
  <si>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</si>
  <si>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</si>
  <si>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</si>
  <si>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</si>
  <si>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</si>
  <si>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</si>
  <si>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</si>
  <si>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</si>
  <si>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</si>
  <si>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</si>
  <si>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</si>
  <si>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</si>
  <si>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</si>
  <si>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</si>
  <si>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</si>
  <si>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</si>
  <si>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</si>
  <si>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</si>
  <si>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</si>
  <si>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</si>
  <si>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</si>
  <si>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</si>
  <si>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</si>
  <si>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</si>
  <si>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</si>
  <si>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</si>
  <si>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</si>
  <si>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</si>
  <si>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</si>
  <si>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</si>
  <si>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</si>
  <si>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</si>
  <si>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</si>
  <si>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</si>
  <si>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</si>
  <si>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</si>
  <si>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</si>
  <si>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</si>
  <si>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</si>
  <si>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</si>
  <si>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</si>
  <si>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</si>
  <si>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</si>
  <si>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</si>
  <si>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</si>
  <si>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</si>
  <si>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</si>
  <si>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</si>
  <si>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</si>
  <si>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</si>
  <si>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</si>
  <si>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</si>
  <si>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</si>
  <si>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</si>
  <si>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</si>
  <si>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</si>
  <si>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</si>
  <si>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</si>
  <si>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</si>
  <si>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</si>
  <si>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</si>
  <si>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</si>
  <si>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</si>
  <si>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</si>
  <si>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</si>
  <si>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</si>
  <si>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</si>
  <si>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</si>
  <si>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</si>
  <si>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</si>
  <si>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</si>
  <si>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</si>
  <si>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</si>
  <si>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</si>
  <si>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</si>
  <si>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</si>
  <si>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</si>
  <si>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</si>
  <si>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</si>
  <si>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</si>
  <si>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</si>
  <si>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</si>
  <si>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</si>
  <si>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</si>
  <si>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</si>
  <si>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</si>
  <si>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</si>
  <si>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</si>
  <si>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</si>
  <si>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</si>
  <si>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</si>
  <si>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</si>
  <si>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</si>
  <si>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</si>
  <si>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</si>
  <si>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</si>
  <si>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</si>
  <si>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</si>
  <si>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</si>
  <si>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</si>
  <si>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</si>
  <si>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</si>
  <si>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</si>
  <si>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</si>
  <si>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</si>
  <si>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</si>
  <si>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</si>
  <si>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</si>
  <si>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</si>
  <si>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</si>
  <si>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</si>
  <si>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</si>
  <si>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</si>
  <si>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</si>
  <si>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</si>
  <si>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</si>
  <si>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</si>
  <si>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</si>
  <si>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</si>
  <si>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</si>
  <si>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</si>
  <si>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</si>
  <si>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</si>
  <si>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</si>
  <si>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</si>
  <si>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</si>
  <si>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</si>
  <si>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</si>
  <si>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</si>
  <si>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</si>
  <si>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</si>
  <si>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</si>
  <si>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</si>
  <si>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</si>
  <si>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</si>
  <si>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</si>
  <si>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</si>
  <si>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</si>
  <si>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</si>
  <si>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</si>
  <si>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</si>
  <si>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</si>
  <si>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</si>
  <si>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</si>
  <si>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</si>
  <si>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</si>
  <si>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</si>
  <si>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</si>
  <si>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</si>
  <si>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</si>
  <si>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</si>
  <si>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</si>
  <si>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</si>
  <si>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</si>
  <si>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</si>
  <si>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</si>
  <si>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</si>
  <si>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</si>
  <si>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</si>
  <si>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</si>
  <si>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</si>
  <si>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</si>
  <si>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</si>
  <si>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</si>
  <si>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</si>
  <si>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</si>
  <si>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</si>
  <si>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</si>
  <si>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</si>
  <si>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</si>
  <si>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</si>
  <si>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</si>
  <si>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</si>
  <si>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</si>
  <si>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</si>
  <si>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</si>
  <si>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</si>
  <si>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</si>
  <si>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</si>
  <si>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</si>
  <si>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</si>
  <si>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</si>
  <si>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</si>
  <si>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</si>
  <si>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</si>
  <si>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</si>
  <si>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</si>
  <si>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</si>
  <si>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</si>
  <si>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</si>
  <si>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</si>
  <si>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</si>
  <si>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</si>
  <si>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</si>
  <si>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</si>
  <si>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</si>
  <si>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</si>
  <si>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</si>
  <si>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</si>
  <si>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</si>
  <si>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</si>
  <si>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</si>
  <si>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</si>
  <si>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</si>
  <si>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</si>
  <si>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</si>
  <si>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</si>
  <si>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</si>
  <si>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</si>
  <si>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</si>
  <si>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</si>
  <si>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</si>
  <si>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</si>
  <si>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</si>
  <si>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</si>
  <si>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</si>
  <si>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</si>
  <si>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</si>
  <si>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</si>
  <si>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</si>
  <si>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</si>
  <si>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</si>
  <si>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</si>
  <si>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</si>
  <si>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</si>
  <si>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</si>
  <si>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</si>
  <si>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</si>
  <si>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</si>
  <si>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</si>
  <si>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</si>
  <si>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</si>
  <si>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</si>
  <si>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</si>
  <si>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</si>
  <si>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</si>
  <si>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</si>
  <si>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</si>
  <si>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</si>
  <si>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</si>
  <si>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</si>
  <si>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</si>
  <si>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</si>
  <si>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</si>
  <si>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</si>
  <si>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</si>
  <si>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</si>
  <si>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</si>
  <si>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</si>
  <si>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</si>
  <si>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</si>
  <si>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</si>
  <si>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</si>
  <si>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</si>
  <si>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</si>
  <si>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</si>
  <si>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</si>
  <si>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</si>
  <si>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</si>
  <si>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</si>
  <si>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</si>
  <si>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</si>
  <si>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</si>
  <si>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</si>
  <si>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</si>
  <si>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</si>
  <si>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</si>
  <si>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</si>
  <si>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</si>
  <si>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</si>
  <si>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</si>
  <si>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</si>
  <si>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</si>
  <si>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</si>
  <si>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</si>
  <si>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</si>
  <si>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</si>
  <si>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</si>
  <si>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</si>
  <si>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</si>
  <si>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</si>
  <si>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</si>
  <si>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</si>
  <si>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</si>
  <si>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</si>
  <si>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</si>
  <si>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</si>
  <si>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</si>
  <si>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</si>
  <si>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</si>
  <si>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</si>
  <si>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</si>
  <si>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</si>
  <si>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</si>
  <si>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</si>
  <si>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</si>
  <si>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</si>
  <si>
    <t>8 - MATTEO SAVIOLI (C)</t>
  </si>
  <si>
    <t>10 - SAMUEL BONSU (C)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</si>
</sst>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M1" workbookViewId="0">
      <pane ySplit="2" topLeftCell="A3" activePane="bottomLeft" state="frozen"/>
      <selection pane="bottomLeft" activeCell="T21" sqref="T21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 x14ac:dyDescent="0.3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 x14ac:dyDescent="0.3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14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 x14ac:dyDescent="0.3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20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 x14ac:dyDescent="0.3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 x14ac:dyDescent="0.3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 x14ac:dyDescent="0.3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 x14ac:dyDescent="0.3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 x14ac:dyDescent="0.3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2" workbookViewId="0">
      <selection activeCell="I14" sqref="I14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 x14ac:dyDescent="0.3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 x14ac:dyDescent="0.3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 x14ac:dyDescent="0.3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>
        <v>0</v>
      </c>
      <c r="J11" s="2">
        <v>5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0 - 5 AS Bancatore</v>
      </c>
    </row>
    <row r="12" spans="1:26" x14ac:dyDescent="0.3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>
        <v>1</v>
      </c>
      <c r="J12" s="2">
        <v>1</v>
      </c>
      <c r="K12" s="2" t="s">
        <v>17</v>
      </c>
      <c r="L12" t="str">
        <f t="shared" si="0"/>
        <v>Complete</v>
      </c>
      <c r="M12">
        <f>IF(OR(I12="",J12=""),"",IF(I12&gt;J12,Settings!$B$2,IF(I12&lt;J12,Settings!$B$5,IF(K12=G12,Settings!$B$3,IF(K12=H12,Settings!$B$4,"")))))</f>
        <v>2</v>
      </c>
      <c r="N12">
        <f>IF(OR(I12="",J12=""),"",IF(J12&gt;I12,Settings!$B$2,IF(J12&lt;I12,Settings!$B$5,IF(K12=H12,Settings!$B$3,IF(K12=G12,Settings!$B$4,"")))))</f>
        <v>1</v>
      </c>
      <c r="O12" t="str">
        <f t="shared" si="1"/>
        <v>Vecchie Glorie Rovigo</v>
      </c>
      <c r="P12" t="str">
        <f t="shared" si="2"/>
        <v>Vecchie Glorie Rovigo 1 - 1 Beverton (rigori: Vecchie Glorie Rovigo)</v>
      </c>
    </row>
    <row r="13" spans="1:26" x14ac:dyDescent="0.3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>
        <v>0</v>
      </c>
      <c r="J13" s="2">
        <v>0</v>
      </c>
      <c r="K13" s="2" t="s">
        <v>35</v>
      </c>
      <c r="L13" t="str">
        <f t="shared" si="0"/>
        <v>Complete</v>
      </c>
      <c r="M13">
        <f>IF(OR(I13="",J13=""),"",IF(I13&gt;J13,Settings!$B$2,IF(I13&lt;J13,Settings!$B$5,IF(K13=G13,Settings!$B$3,IF(K13=H13,Settings!$B$4,"")))))</f>
        <v>2</v>
      </c>
      <c r="N13">
        <f>IF(OR(I13="",J13=""),"",IF(J13&gt;I13,Settings!$B$2,IF(J13&lt;I13,Settings!$B$5,IF(K13=H13,Settings!$B$3,IF(K13=G13,Settings!$B$4,"")))))</f>
        <v>1</v>
      </c>
      <c r="O13" t="str">
        <f t="shared" si="1"/>
        <v>Boldò Glimt</v>
      </c>
      <c r="P13" t="str">
        <f t="shared" si="2"/>
        <v>Boldò Glimt 0 - 0 Piadineria la Salsiccia (rigori: Boldò Glimt)</v>
      </c>
    </row>
    <row r="14" spans="1:26" x14ac:dyDescent="0.3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abSelected="1" topLeftCell="A113" workbookViewId="0">
      <selection activeCell="G129" sqref="G129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AS Bancatore</v>
      </c>
      <c r="C110">
        <f>IF(A110="","",COUNTIFS($A$2:A110,A110,$B$2:B110,B110))</f>
        <v>1</v>
      </c>
      <c r="D110" s="2" t="str">
        <f t="shared" si="3"/>
        <v>Goal</v>
      </c>
      <c r="E110" s="2" t="s">
        <v>418</v>
      </c>
      <c r="F110" t="str">
        <f t="shared" si="4"/>
        <v>AS Bancatore</v>
      </c>
      <c r="G110" t="str">
        <f t="shared" si="5"/>
        <v>OK</v>
      </c>
      <c r="H110" t="str">
        <f>IF(F110="","",VLOOKUP(F110,Validation!$A$2:$B$17,2,FALSE))</f>
        <v>Validation!$I$2:$I$31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AS Bancatore</v>
      </c>
      <c r="C111">
        <f>IF(A111="","",COUNTIFS($A$2:A111,A111,$B$2:B111,B111))</f>
        <v>2</v>
      </c>
      <c r="D111" s="2" t="str">
        <f t="shared" si="3"/>
        <v>Goal</v>
      </c>
      <c r="E111" s="2" t="s">
        <v>418</v>
      </c>
      <c r="F111" t="str">
        <f t="shared" si="4"/>
        <v>AS Bancatore</v>
      </c>
      <c r="G111" t="str">
        <f t="shared" si="5"/>
        <v>OK</v>
      </c>
      <c r="H111" t="str">
        <f>IF(F111="","",VLOOKUP(F111,Validation!$A$2:$B$17,2,FALSE))</f>
        <v>Validation!$I$2:$I$31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3</v>
      </c>
      <c r="D112" s="2" t="str">
        <f t="shared" si="3"/>
        <v>Goal</v>
      </c>
      <c r="E112" s="2" t="s">
        <v>418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4</v>
      </c>
      <c r="D113" s="2" t="str">
        <f t="shared" si="3"/>
        <v>Goal</v>
      </c>
      <c r="E113" s="2" t="s">
        <v>446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5</v>
      </c>
      <c r="D114" s="2" t="str">
        <f t="shared" si="3"/>
        <v>Goal</v>
      </c>
      <c r="E114" s="2" t="s">
        <v>421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>M11</v>
      </c>
      <c r="B122" t="str">
        <f>IF(A122="","",IF(J122&lt;=INDEX(Matches!$I$2:$I$25,I122-1),INDEX(Matches!$G$2:$G$25,I122-1),INDEX(Matches!$H$2:$H$25,I122-1)))</f>
        <v>Vecchie Glorie Rovigo</v>
      </c>
      <c r="C122">
        <f>IF(A122="","",COUNTIFS($A$2:A122,A122,$B$2:B122,B122))</f>
        <v>1</v>
      </c>
      <c r="D122" s="2" t="str">
        <f t="shared" si="3"/>
        <v>Goal</v>
      </c>
      <c r="E122" s="2" t="s">
        <v>409</v>
      </c>
      <c r="F122" t="str">
        <f t="shared" si="4"/>
        <v>Vecchie Glorie Rovigo</v>
      </c>
      <c r="G122" t="str">
        <f t="shared" si="5"/>
        <v>OK</v>
      </c>
      <c r="H122" t="str">
        <f>IF(F122="","",VLOOKUP(F122,Validation!$A$2:$B$17,2,FALSE))</f>
        <v>Validation!$H$2:$H$31</v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>M11</v>
      </c>
      <c r="B123" t="str">
        <f>IF(A123="","",IF(J123&lt;=INDEX(Matches!$I$2:$I$25,I123-1),INDEX(Matches!$G$2:$G$25,I123-1),INDEX(Matches!$H$2:$H$25,I123-1)))</f>
        <v>Beverton</v>
      </c>
      <c r="C123">
        <f>IF(A123="","",COUNTIFS($A$2:A123,A123,$B$2:B123,B123))</f>
        <v>1</v>
      </c>
      <c r="D123" s="2" t="str">
        <f t="shared" si="3"/>
        <v>Goal</v>
      </c>
      <c r="E123" s="2" t="s">
        <v>447</v>
      </c>
      <c r="F123" t="str">
        <f t="shared" si="4"/>
        <v>Beverton</v>
      </c>
      <c r="G123" t="str">
        <f t="shared" si="5"/>
        <v>OK</v>
      </c>
      <c r="H123" t="str">
        <f>IF(F123="","",VLOOKUP(F123,Validation!$A$2:$B$17,2,FALSE))</f>
        <v>Validation!$J$2:$J$31</v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1</v>
      </c>
      <c r="E5">
        <f t="shared" si="0"/>
        <v>99999.994999999995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1</v>
      </c>
      <c r="E33">
        <f t="shared" si="0"/>
        <v>99999.967000000004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1</v>
      </c>
      <c r="E65">
        <f t="shared" si="0"/>
        <v>99999.934999999998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3</v>
      </c>
      <c r="E152">
        <f t="shared" si="2"/>
        <v>299999.848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1</v>
      </c>
      <c r="E157">
        <f t="shared" si="2"/>
        <v>99999.842999999993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1</v>
      </c>
      <c r="E184">
        <f t="shared" si="2"/>
        <v>99999.816000000006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1</v>
      </c>
      <c r="E186">
        <f t="shared" si="2"/>
        <v>99999.813999999998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5</v>
      </c>
      <c r="E187">
        <f t="shared" si="2"/>
        <v>499999.81300000002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1</v>
      </c>
      <c r="E188">
        <f t="shared" si="2"/>
        <v>99999.812000000005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2</v>
      </c>
      <c r="E192">
        <f t="shared" si="2"/>
        <v>199999.80799999999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1</v>
      </c>
      <c r="E213">
        <f t="shared" si="3"/>
        <v>99999.786999999997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 x14ac:dyDescent="0.3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 x14ac:dyDescent="0.3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0</v>
      </c>
      <c r="E220">
        <f t="shared" si="3"/>
        <v>-0.22</v>
      </c>
    </row>
    <row r="221" spans="1:5" x14ac:dyDescent="0.3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3</v>
      </c>
      <c r="E243">
        <f t="shared" si="3"/>
        <v>299999.75699999998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1</v>
      </c>
      <c r="E248">
        <f t="shared" si="3"/>
        <v>99999.751999999993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1</v>
      </c>
      <c r="E249">
        <f t="shared" si="3"/>
        <v>99999.751000000004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1</v>
      </c>
      <c r="E309">
        <f t="shared" si="4"/>
        <v>99999.691000000006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1</v>
      </c>
      <c r="E310">
        <f t="shared" si="4"/>
        <v>99999.69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IGNAZIO BADALÌ</v>
      </c>
      <c r="C2" t="str">
        <f>IF($A2="","",INDEX(ScorerData!$B$2:$B$481,MATCH(LARGE(ScorerData!$E$2:$E$481,$A2),ScorerData!$E$2:$E$481,0)))</f>
        <v>AS Bancatore</v>
      </c>
      <c r="D2">
        <f>IF($A2="","",INDEX(ScorerData!$D$2:$D$481,MATCH(LARGE(ScorerData!$E$2:$E$481,$A2),ScorerData!$E$2:$E$481,0)))</f>
        <v>5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NICOLA BRESCIANI</v>
      </c>
      <c r="C3" t="str">
        <f>IF($A3="","",INDEX(ScorerData!$B$2:$B$481,MATCH(LARGE(ScorerData!$E$2:$E$481,$A3),ScorerData!$E$2:$E$481,0)))</f>
        <v>All Blacks</v>
      </c>
      <c r="D3">
        <f>IF($A3="","",INDEX(ScorerData!$D$2:$D$481,MATCH(LARGE(ScorerData!$E$2:$E$481,$A3),ScorerData!$E$2:$E$481,0)))</f>
        <v>4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DAVIDE ZAGHI</v>
      </c>
      <c r="C4" t="str">
        <f>IF($A4="","",INDEX(ScorerData!$B$2:$B$481,MATCH(LARGE(ScorerData!$E$2:$E$481,$A4),ScorerData!$E$2:$E$481,0)))</f>
        <v>Vecchie Glorie Rovigo</v>
      </c>
      <c r="D4">
        <f>IF($A4="","",INDEX(ScorerData!$D$2:$D$481,MATCH(LARGE(ScorerData!$E$2:$E$481,$A4),ScorerData!$E$2:$E$481,0)))</f>
        <v>3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MATTEO ZAMBERLAN</v>
      </c>
      <c r="C5" t="str">
        <f>IF($A5="","",INDEX(ScorerData!$B$2:$B$481,MATCH(LARGE(ScorerData!$E$2:$E$481,$A5),ScorerData!$E$2:$E$481,0)))</f>
        <v>Vecchie Glorie Rovigo</v>
      </c>
      <c r="D5">
        <f>IF($A5="","",INDEX(ScorerData!$D$2:$D$481,MATCH(LARGE(ScorerData!$E$2:$E$481,$A5),ScorerData!$E$2:$E$481,0)))</f>
        <v>3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LEONARDO MAGGIO</v>
      </c>
      <c r="C6" t="str">
        <f>IF($A6="","",INDEX(ScorerData!$B$2:$B$481,MATCH(LARGE(ScorerData!$E$2:$E$481,$A6),ScorerData!$E$2:$E$481,0)))</f>
        <v>Leoni di Ricky</v>
      </c>
      <c r="D6">
        <f>IF($A6="","",INDEX(ScorerData!$D$2:$D$481,MATCH(LARGE(ScorerData!$E$2:$E$481,$A6),ScorerData!$E$2:$E$481,0)))</f>
        <v>3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NICOLA BARONI</v>
      </c>
      <c r="C7" t="str">
        <f>IF($A7="","",INDEX(ScorerData!$B$2:$B$481,MATCH(LARGE(ScorerData!$E$2:$E$481,$A7),ScorerData!$E$2:$E$481,0)))</f>
        <v>AS Bancatore</v>
      </c>
      <c r="D7">
        <f>IF($A7="","",INDEX(ScorerData!$D$2:$D$481,MATCH(LARGE(ScorerData!$E$2:$E$481,$A7),ScorerData!$E$2:$E$481,0)))</f>
        <v>2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NICHOLAS MOSCHINI</v>
      </c>
      <c r="C8" t="str">
        <f>IF($A8="","",INDEX(ScorerData!$B$2:$B$481,MATCH(LARGE(ScorerData!$E$2:$E$481,$A8),ScorerData!$E$2:$E$481,0)))</f>
        <v>All Blacks</v>
      </c>
      <c r="D8">
        <f>IF($A8="","",INDEX(ScorerData!$D$2:$D$481,MATCH(LARGE(ScorerData!$E$2:$E$481,$A8),ScorerData!$E$2:$E$481,0)))</f>
        <v>2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LUCA CECCONELLO</v>
      </c>
      <c r="C9" t="str">
        <f>IF($A9="","",INDEX(ScorerData!$B$2:$B$481,MATCH(LARGE(ScorerData!$E$2:$E$481,$A9),ScorerData!$E$2:$E$481,0)))</f>
        <v>Boldò Glimt</v>
      </c>
      <c r="D9">
        <f>IF($A9="","",INDEX(ScorerData!$D$2:$D$481,MATCH(LARGE(ScorerData!$E$2:$E$481,$A9),ScorerData!$E$2:$E$481,0)))</f>
        <v>2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GIOVANNI BALLO</v>
      </c>
      <c r="C10" t="str">
        <f>IF($A10="","",INDEX(ScorerData!$B$2:$B$481,MATCH(LARGE(ScorerData!$E$2:$E$481,$A10),ScorerData!$E$2:$E$481,0)))</f>
        <v>Fatine FC</v>
      </c>
      <c r="D10">
        <f>IF($A10="","",INDEX(ScorerData!$D$2:$D$481,MATCH(LARGE(ScorerData!$E$2:$E$481,$A10),ScorerData!$E$2:$E$481,0)))</f>
        <v>1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NICHOLAS MILAN</v>
      </c>
      <c r="C11" t="str">
        <f>IF($A11="","",INDEX(ScorerData!$B$2:$B$481,MATCH(LARGE(ScorerData!$E$2:$E$481,$A11),ScorerData!$E$2:$E$481,0)))</f>
        <v>Fatine FC</v>
      </c>
      <c r="D11">
        <f>IF($A11="","",INDEX(ScorerData!$D$2:$D$481,MATCH(LARGE(ScorerData!$E$2:$E$481,$A11),ScorerData!$E$2:$E$481,0)))</f>
        <v>1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IVAN DENIS SHEVERAK</v>
      </c>
      <c r="C12" t="str">
        <f>IF($A12="","",INDEX(ScorerData!$B$2:$B$481,MATCH(LARGE(ScorerData!$E$2:$E$481,$A12),ScorerData!$E$2:$E$481,0)))</f>
        <v>FC Internazionale Rovigo</v>
      </c>
      <c r="D12">
        <f>IF($A12="","",INDEX(ScorerData!$D$2:$D$481,MATCH(LARGE(ScorerData!$E$2:$E$481,$A12),ScorerData!$E$2:$E$481,0)))</f>
        <v>1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FILIPPO SCARANELLO</v>
      </c>
      <c r="C13" t="str">
        <f>IF($A13="","",INDEX(ScorerData!$B$2:$B$481,MATCH(LARGE(ScorerData!$E$2:$E$481,$A13),ScorerData!$E$2:$E$481,0)))</f>
        <v>Moviola Utd</v>
      </c>
      <c r="D13">
        <f>IF($A13="","",INDEX(ScorerData!$D$2:$D$481,MATCH(LARGE(ScorerData!$E$2:$E$481,$A13),ScorerData!$E$2:$E$481,0)))</f>
        <v>1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MATTEO NATALI</v>
      </c>
      <c r="C14" t="str">
        <f>IF($A14="","",INDEX(ScorerData!$B$2:$B$481,MATCH(LARGE(ScorerData!$E$2:$E$481,$A14),ScorerData!$E$2:$E$481,0)))</f>
        <v>Moviola Utd</v>
      </c>
      <c r="D14">
        <f>IF($A14="","",INDEX(ScorerData!$D$2:$D$481,MATCH(LARGE(ScorerData!$E$2:$E$481,$A14),ScorerData!$E$2:$E$481,0)))</f>
        <v>1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NICO PAVANI</v>
      </c>
      <c r="C15" t="str">
        <f>IF($A15="","",INDEX(ScorerData!$B$2:$B$481,MATCH(LARGE(ScorerData!$E$2:$E$481,$A15),ScorerData!$E$2:$E$481,0)))</f>
        <v>Moviola Utd</v>
      </c>
      <c r="D15">
        <f>IF($A15="","",INDEX(ScorerData!$D$2:$D$481,MATCH(LARGE(ScorerData!$E$2:$E$481,$A15),ScorerData!$E$2:$E$481,0)))</f>
        <v>1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JACOPO VOLTOLINA</v>
      </c>
      <c r="C16" t="str">
        <f>IF($A16="","",INDEX(ScorerData!$B$2:$B$481,MATCH(LARGE(ScorerData!$E$2:$E$481,$A16),ScorerData!$E$2:$E$481,0)))</f>
        <v>Vecchie Glorie Rovigo</v>
      </c>
      <c r="D16">
        <f>IF($A16="","",INDEX(ScorerData!$D$2:$D$481,MATCH(LARGE(ScorerData!$E$2:$E$481,$A16),ScorerData!$E$2:$E$481,0)))</f>
        <v>1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MATTEO DALL'ARA</v>
      </c>
      <c r="C17" t="str">
        <f>IF($A17="","",INDEX(ScorerData!$B$2:$B$481,MATCH(LARGE(ScorerData!$E$2:$E$481,$A17),ScorerData!$E$2:$E$481,0)))</f>
        <v>Vecchie Glorie Rovigo</v>
      </c>
      <c r="D17">
        <f>IF($A17="","",INDEX(ScorerData!$D$2:$D$481,MATCH(LARGE(ScorerData!$E$2:$E$481,$A17),ScorerData!$E$2:$E$481,0)))</f>
        <v>1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LEONARDO FUSCO</v>
      </c>
      <c r="C18" t="str">
        <f>IF($A18="","",INDEX(ScorerData!$B$2:$B$481,MATCH(LARGE(ScorerData!$E$2:$E$481,$A18),ScorerData!$E$2:$E$481,0)))</f>
        <v>Vecchie Glorie Rovigo</v>
      </c>
      <c r="D18">
        <f>IF($A18="","",INDEX(ScorerData!$D$2:$D$481,MATCH(LARGE(ScorerData!$E$2:$E$481,$A18),ScorerData!$E$2:$E$481,0)))</f>
        <v>1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DENIS TIMPANARO</v>
      </c>
      <c r="C19" t="str">
        <f>IF($A19="","",INDEX(ScorerData!$B$2:$B$481,MATCH(LARGE(ScorerData!$E$2:$E$481,$A19),ScorerData!$E$2:$E$481,0)))</f>
        <v>Vecchie Glorie Rovigo</v>
      </c>
      <c r="D19">
        <f>IF($A19="","",INDEX(ScorerData!$D$2:$D$481,MATCH(LARGE(ScorerData!$E$2:$E$481,$A19),ScorerData!$E$2:$E$481,0)))</f>
        <v>1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DOMENICO IACOVINO</v>
      </c>
      <c r="C20" t="str">
        <f>IF($A20="","",INDEX(ScorerData!$B$2:$B$481,MATCH(LARGE(ScorerData!$E$2:$E$481,$A20),ScorerData!$E$2:$E$481,0)))</f>
        <v>Vecchie Glorie Rovigo</v>
      </c>
      <c r="D20">
        <f>IF($A20="","",INDEX(ScorerData!$D$2:$D$481,MATCH(LARGE(ScorerData!$E$2:$E$481,$A20),ScorerData!$E$2:$E$481,0)))</f>
        <v>1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MATTEO LONGO</v>
      </c>
      <c r="C21" t="str">
        <f>IF($A21="","",INDEX(ScorerData!$B$2:$B$481,MATCH(LARGE(ScorerData!$E$2:$E$481,$A21),ScorerData!$E$2:$E$481,0)))</f>
        <v>AS Bancatore</v>
      </c>
      <c r="D21">
        <f>IF($A21="","",INDEX(ScorerData!$D$2:$D$481,MATCH(LARGE(ScorerData!$E$2:$E$481,$A21),ScorerData!$E$2:$E$481,0)))</f>
        <v>1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MATTEO SAVIOLI</v>
      </c>
      <c r="C22" t="str">
        <f>IF($A22="","",INDEX(ScorerData!$B$2:$B$481,MATCH(LARGE(ScorerData!$E$2:$E$481,$A22),ScorerData!$E$2:$E$481,0)))</f>
        <v>AS Bancatore</v>
      </c>
      <c r="D22">
        <f>IF($A22="","",INDEX(ScorerData!$D$2:$D$481,MATCH(LARGE(ScorerData!$E$2:$E$481,$A22),ScorerData!$E$2:$E$481,0)))</f>
        <v>1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GIANLUCA FREZZATI</v>
      </c>
      <c r="C23" t="str">
        <f>IF($A23="","",INDEX(ScorerData!$B$2:$B$481,MATCH(LARGE(ScorerData!$E$2:$E$481,$A23),ScorerData!$E$2:$E$481,0)))</f>
        <v>AS Bancatore</v>
      </c>
      <c r="D23">
        <f>IF($A23="","",INDEX(ScorerData!$D$2:$D$481,MATCH(LARGE(ScorerData!$E$2:$E$481,$A23),ScorerData!$E$2:$E$481,0)))</f>
        <v>1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SAMUEL BONSU</v>
      </c>
      <c r="C24" t="str">
        <f>IF($A24="","",INDEX(ScorerData!$B$2:$B$481,MATCH(LARGE(ScorerData!$E$2:$E$481,$A24),ScorerData!$E$2:$E$481,0)))</f>
        <v>Beverton</v>
      </c>
      <c r="D24">
        <f>IF($A24="","",INDEX(ScorerData!$D$2:$D$481,MATCH(LARGE(ScorerData!$E$2:$E$481,$A24),ScorerData!$E$2:$E$481,0)))</f>
        <v>1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ANDREI BARZAGHIDEANU</v>
      </c>
      <c r="C25" t="str">
        <f>IF($A25="","",INDEX(ScorerData!$B$2:$B$481,MATCH(LARGE(ScorerData!$E$2:$E$481,$A25),ScorerData!$E$2:$E$481,0)))</f>
        <v>Leoni di Ricky</v>
      </c>
      <c r="D25">
        <f>IF($A25="","",INDEX(ScorerData!$D$2:$D$481,MATCH(LARGE(ScorerData!$E$2:$E$481,$A25),ScorerData!$E$2:$E$481,0)))</f>
        <v>1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VLAD GABRIEL DUMINICA</v>
      </c>
      <c r="C26" t="str">
        <f>IF($A26="","",INDEX(ScorerData!$B$2:$B$481,MATCH(LARGE(ScorerData!$E$2:$E$481,$A26),ScorerData!$E$2:$E$481,0)))</f>
        <v>Leoni di Ricky</v>
      </c>
      <c r="D26">
        <f>IF($A26="","",INDEX(ScorerData!$D$2:$D$481,MATCH(LARGE(ScorerData!$E$2:$E$481,$A26),ScorerData!$E$2:$E$481,0)))</f>
        <v>1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EDOARDO CAVALLARI</v>
      </c>
      <c r="C27" t="str">
        <f>IF($A27="","",INDEX(ScorerData!$B$2:$B$481,MATCH(LARGE(ScorerData!$E$2:$E$481,$A27),ScorerData!$E$2:$E$481,0)))</f>
        <v>Barrio Boys</v>
      </c>
      <c r="D27">
        <f>IF($A27="","",INDEX(ScorerData!$D$2:$D$481,MATCH(LARGE(ScorerData!$E$2:$E$481,$A27),ScorerData!$E$2:$E$481,0)))</f>
        <v>1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MATTEO FERRO</v>
      </c>
      <c r="C28" t="str">
        <f>IF($A28="","",INDEX(ScorerData!$B$2:$B$481,MATCH(LARGE(ScorerData!$E$2:$E$481,$A28),ScorerData!$E$2:$E$481,0)))</f>
        <v>Barrio Boys</v>
      </c>
      <c r="D28">
        <f>IF($A28="","",INDEX(ScorerData!$D$2:$D$481,MATCH(LARGE(ScorerData!$E$2:$E$481,$A28),ScorerData!$E$2:$E$481,0)))</f>
        <v>1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DAVIDE BEDESCHI</v>
      </c>
      <c r="C29" t="str">
        <f>IF($A29="","",INDEX(ScorerData!$B$2:$B$481,MATCH(LARGE(ScorerData!$E$2:$E$481,$A29),ScorerData!$E$2:$E$481,0)))</f>
        <v>All Blacks</v>
      </c>
      <c r="D29">
        <f>IF($A29="","",INDEX(ScorerData!$D$2:$D$481,MATCH(LARGE(ScorerData!$E$2:$E$481,$A29),ScorerData!$E$2:$E$481,0)))</f>
        <v>1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FILIPPO CLEMENTE</v>
      </c>
      <c r="C30" t="str">
        <f>IF($A30="","",INDEX(ScorerData!$B$2:$B$481,MATCH(LARGE(ScorerData!$E$2:$E$481,$A30),ScorerData!$E$2:$E$481,0)))</f>
        <v>All Blacks</v>
      </c>
      <c r="D30">
        <f>IF($A30="","",INDEX(ScorerData!$D$2:$D$481,MATCH(LARGE(ScorerData!$E$2:$E$481,$A30),ScorerData!$E$2:$E$481,0)))</f>
        <v>1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KEVIN DOBROZI</v>
      </c>
      <c r="C31" t="str">
        <f>IF($A31="","",INDEX(ScorerData!$B$2:$B$481,MATCH(LARGE(ScorerData!$E$2:$E$481,$A31),ScorerData!$E$2:$E$481,0)))</f>
        <v>Coca Juniors</v>
      </c>
      <c r="D31">
        <f>IF($A31="","",INDEX(ScorerData!$D$2:$D$481,MATCH(LARGE(ScorerData!$E$2:$E$481,$A31),ScorerData!$E$2:$E$481,0)))</f>
        <v>1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EMANUELE VERONESE</v>
      </c>
      <c r="C32" t="str">
        <f>IF($A32="","",INDEX(ScorerData!$B$2:$B$481,MATCH(LARGE(ScorerData!$E$2:$E$481,$A32),ScorerData!$E$2:$E$481,0)))</f>
        <v>Coca Juniors</v>
      </c>
      <c r="D32">
        <f>IF($A32="","",INDEX(ScorerData!$D$2:$D$481,MATCH(LARGE(ScorerData!$E$2:$E$481,$A32),ScorerData!$E$2:$E$481,0)))</f>
        <v>1</v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MATTIA AYRTON MARIOTTO</v>
      </c>
      <c r="C33" t="str">
        <f>IF($A33="","",INDEX(ScorerData!$B$2:$B$481,MATCH(LARGE(ScorerData!$E$2:$E$481,$A33),ScorerData!$E$2:$E$481,0)))</f>
        <v>Piadineria la Salsiccia</v>
      </c>
      <c r="D33">
        <f>IF($A33="","",INDEX(ScorerData!$D$2:$D$481,MATCH(LARGE(ScorerData!$E$2:$E$481,$A33),ScorerData!$E$2:$E$481,0)))</f>
        <v>1</v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1</v>
      </c>
      <c r="D2">
        <f>COUNTIFS(Matches!$G$2:$G$25,$B2,Matches!$L$2:$L$25,"Complete",Matches!$M$2:$M$25,3)+COUNTIFS(Matches!$H$2:$H$25,$B2,Matches!$L$2:$L$25,"Complete",Matches!$N$2:$N$25,3)</f>
        <v>1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2</v>
      </c>
      <c r="I2">
        <f>SUMIFS(Matches!$J$2:$J$25,Matches!$G$2:$G$25,$B2,Matches!$L$2:$L$25,"Complete")+SUMIFS(Matches!$I$2:$I$25,Matches!$H$2:$H$25,$B2,Matches!$L$2:$L$25,"Complete")</f>
        <v>1</v>
      </c>
      <c r="J2">
        <f t="shared" ref="J2:J17" si="0">H2-I2</f>
        <v>1</v>
      </c>
      <c r="K2">
        <f>SUMIFS(Matches!$M$2:$M$25,Matches!$G$2:$G$25,$B2,Matches!$L$2:$L$25,"Complete")+SUMIFS(Matches!$N$2:$N$25,Matches!$H$2:$H$25,$B2,Matches!$L$2:$L$25,"Complete")</f>
        <v>3</v>
      </c>
      <c r="L2" s="2">
        <v>0</v>
      </c>
      <c r="M2">
        <f t="shared" ref="M2:M17" si="1">K2*1000000+L2*10000+J2*100+H2-ROW()/1000</f>
        <v>3000101.9980000001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1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1</v>
      </c>
      <c r="I3">
        <f>SUMIFS(Matches!$J$2:$J$25,Matches!$G$2:$G$25,$B3,Matches!$L$2:$L$25,"Complete")+SUMIFS(Matches!$I$2:$I$25,Matches!$H$2:$H$25,$B3,Matches!$L$2:$L$25,"Complete")</f>
        <v>2</v>
      </c>
      <c r="J3">
        <f t="shared" si="0"/>
        <v>-1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-99.003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1</v>
      </c>
      <c r="D4">
        <f>COUNTIFS(Matches!$G$2:$G$25,$B4,Matches!$L$2:$L$25,"Complete",Matches!$M$2:$M$25,3)+COUNTIFS(Matches!$H$2:$H$25,$B4,Matches!$L$2:$L$25,"Complete",Matches!$N$2:$N$25,3)</f>
        <v>1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3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3</v>
      </c>
      <c r="K4">
        <f>SUMIFS(Matches!$M$2:$M$25,Matches!$G$2:$G$25,$B4,Matches!$L$2:$L$25,"Complete")+SUMIFS(Matches!$N$2:$N$25,Matches!$H$2:$H$25,$B4,Matches!$L$2:$L$25,"Complete")</f>
        <v>3</v>
      </c>
      <c r="L4" s="2">
        <f>0</f>
        <v>0</v>
      </c>
      <c r="M4">
        <f t="shared" si="1"/>
        <v>3000302.9959999998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1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1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3</v>
      </c>
      <c r="J5">
        <f t="shared" si="0"/>
        <v>-3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-300.005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2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2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15</v>
      </c>
      <c r="J6">
        <f t="shared" si="0"/>
        <v>-15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-1500.0060000000001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2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1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11</v>
      </c>
      <c r="I7">
        <f>SUMIFS(Matches!$J$2:$J$25,Matches!$G$2:$G$25,$B7,Matches!$L$2:$L$25,"Complete")+SUMIFS(Matches!$I$2:$I$25,Matches!$H$2:$H$25,$B7,Matches!$L$2:$L$25,"Complete")</f>
        <v>1</v>
      </c>
      <c r="J7">
        <f t="shared" si="0"/>
        <v>10</v>
      </c>
      <c r="K7">
        <f>SUMIFS(Matches!$M$2:$M$25,Matches!$G$2:$G$25,$B7,Matches!$L$2:$L$25,"Complete")+SUMIFS(Matches!$N$2:$N$25,Matches!$H$2:$H$25,$B7,Matches!$L$2:$L$25,"Complete")</f>
        <v>5</v>
      </c>
      <c r="L7" s="2">
        <f>0</f>
        <v>0</v>
      </c>
      <c r="M7">
        <f t="shared" si="1"/>
        <v>5001010.9929999998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2</v>
      </c>
      <c r="D8">
        <f>COUNTIFS(Matches!$G$2:$G$25,$B8,Matches!$L$2:$L$25,"Complete",Matches!$M$2:$M$25,3)+COUNTIFS(Matches!$H$2:$H$25,$B8,Matches!$L$2:$L$25,"Complete",Matches!$N$2:$N$25,3)</f>
        <v>2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10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10</v>
      </c>
      <c r="K8">
        <f>SUMIFS(Matches!$M$2:$M$25,Matches!$G$2:$G$25,$B8,Matches!$L$2:$L$25,"Complete")+SUMIFS(Matches!$N$2:$N$25,Matches!$H$2:$H$25,$B8,Matches!$L$2:$L$25,"Complete")</f>
        <v>6</v>
      </c>
      <c r="L8" s="2">
        <f>0</f>
        <v>0</v>
      </c>
      <c r="M8">
        <f t="shared" si="1"/>
        <v>6001009.9919999996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2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1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1</v>
      </c>
      <c r="I9">
        <f>SUMIFS(Matches!$J$2:$J$25,Matches!$G$2:$G$25,$B9,Matches!$L$2:$L$25,"Complete")+SUMIFS(Matches!$I$2:$I$25,Matches!$H$2:$H$25,$B9,Matches!$L$2:$L$25,"Complete")</f>
        <v>6</v>
      </c>
      <c r="J9">
        <f t="shared" si="0"/>
        <v>-5</v>
      </c>
      <c r="K9">
        <f>SUMIFS(Matches!$M$2:$M$25,Matches!$G$2:$G$25,$B9,Matches!$L$2:$L$25,"Complete")+SUMIFS(Matches!$N$2:$N$25,Matches!$H$2:$H$25,$B9,Matches!$L$2:$L$25,"Complete")</f>
        <v>1</v>
      </c>
      <c r="L9" s="2">
        <f>0</f>
        <v>0</v>
      </c>
      <c r="M9">
        <f t="shared" si="1"/>
        <v>999500.99100000004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1</v>
      </c>
      <c r="D10">
        <f>COUNTIFS(Matches!$G$2:$G$25,$B10,Matches!$L$2:$L$25,"Complete",Matches!$M$2:$M$25,3)+COUNTIFS(Matches!$H$2:$H$25,$B10,Matches!$L$2:$L$25,"Complete",Matches!$N$2:$N$25,3)</f>
        <v>1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5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5</v>
      </c>
      <c r="K10">
        <f>SUMIFS(Matches!$M$2:$M$25,Matches!$G$2:$G$25,$B10,Matches!$L$2:$L$25,"Complete")+SUMIFS(Matches!$N$2:$N$25,Matches!$H$2:$H$25,$B10,Matches!$L$2:$L$25,"Complete")</f>
        <v>3</v>
      </c>
      <c r="L10" s="2">
        <f>0</f>
        <v>0</v>
      </c>
      <c r="M10">
        <f t="shared" si="1"/>
        <v>3000504.99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1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1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5</v>
      </c>
      <c r="J11">
        <f t="shared" si="0"/>
        <v>-5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-500.01100000000002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1</v>
      </c>
      <c r="D12">
        <f>COUNTIFS(Matches!$G$2:$G$25,$B12,Matches!$L$2:$L$25,"Complete",Matches!$M$2:$M$25,3)+COUNTIFS(Matches!$H$2:$H$25,$B12,Matches!$L$2:$L$25,"Complete",Matches!$N$2:$N$25,3)</f>
        <v>1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2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2</v>
      </c>
      <c r="K12">
        <f>SUMIFS(Matches!$M$2:$M$25,Matches!$G$2:$G$25,$B12,Matches!$L$2:$L$25,"Complete")+SUMIFS(Matches!$N$2:$N$25,Matches!$H$2:$H$25,$B12,Matches!$L$2:$L$25,"Complete")</f>
        <v>3</v>
      </c>
      <c r="L12" s="2">
        <f>0</f>
        <v>0</v>
      </c>
      <c r="M12">
        <f t="shared" si="1"/>
        <v>3000201.9879999999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1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1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2</v>
      </c>
      <c r="J13">
        <f t="shared" si="0"/>
        <v>-2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-200.01300000000001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2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3</v>
      </c>
      <c r="L14" s="2">
        <f>0</f>
        <v>0</v>
      </c>
      <c r="M14">
        <f t="shared" si="1"/>
        <v>3000407.986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2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1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2</v>
      </c>
      <c r="I15">
        <f>SUMIFS(Matches!$J$2:$J$25,Matches!$G$2:$G$25,$B15,Matches!$L$2:$L$25,"Complete")+SUMIFS(Matches!$I$2:$I$25,Matches!$H$2:$H$25,$B15,Matches!$L$2:$L$25,"Complete")</f>
        <v>1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5</v>
      </c>
      <c r="L15" s="2">
        <f>0</f>
        <v>0</v>
      </c>
      <c r="M15">
        <f t="shared" si="1"/>
        <v>5000101.9850000003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2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2</v>
      </c>
      <c r="I16">
        <f>SUMIFS(Matches!$J$2:$J$25,Matches!$G$2:$G$25,$B16,Matches!$L$2:$L$25,"Complete")+SUMIFS(Matches!$I$2:$I$25,Matches!$H$2:$H$25,$B16,Matches!$L$2:$L$25,"Complete")</f>
        <v>8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-598.01599999999996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2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1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4</v>
      </c>
      <c r="L17" s="2">
        <f>0</f>
        <v>0</v>
      </c>
      <c r="M17">
        <f t="shared" si="1"/>
        <v>4000100.983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3</v>
      </c>
      <c r="E2">
        <f>INDEX(StandingsData!$C$2:$C$5,MATCH(LARGE(StandingsData!$M$2:$M$5,1),StandingsData!$M$2:$M$5,0))</f>
        <v>1</v>
      </c>
      <c r="F2">
        <f>INDEX(StandingsData!$D$2:$D$5,MATCH(LARGE(StandingsData!$M$2:$M$5,1),StandingsData!$M$2:$M$5,0))</f>
        <v>1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3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3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Fatine FC</v>
      </c>
      <c r="D3">
        <f>INDEX(StandingsData!$K$2:$K$5,MATCH(LARGE(StandingsData!$M$2:$M$5,2),StandingsData!$M$2:$M$5,0))</f>
        <v>3</v>
      </c>
      <c r="E3">
        <f>INDEX(StandingsData!$C$2:$C$5,MATCH(LARGE(StandingsData!$M$2:$M$5,2),StandingsData!$M$2:$M$5,0))</f>
        <v>1</v>
      </c>
      <c r="F3">
        <f>INDEX(StandingsData!$D$2:$D$5,MATCH(LARGE(StandingsData!$M$2:$M$5,2),StandingsData!$M$2:$M$5,0))</f>
        <v>1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2</v>
      </c>
      <c r="K3">
        <f>INDEX(StandingsData!$I$2:$I$5,MATCH(LARGE(StandingsData!$M$2:$M$5,2),StandingsData!$M$2:$M$5,0))</f>
        <v>1</v>
      </c>
      <c r="L3">
        <f>INDEX(StandingsData!$J$2:$J$5,MATCH(LARGE(StandingsData!$M$2:$M$5,2),StandingsData!$M$2:$M$5,0))</f>
        <v>1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FC Internazionale Rovigo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1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1</v>
      </c>
      <c r="K4">
        <f>INDEX(StandingsData!$I$2:$I$5,MATCH(LARGE(StandingsData!$M$2:$M$5,3),StandingsData!$M$2:$M$5,0))</f>
        <v>2</v>
      </c>
      <c r="L4">
        <f>INDEX(StandingsData!$J$2:$J$5,MATCH(LARGE(StandingsData!$M$2:$M$5,3),StandingsData!$M$2:$M$5,0))</f>
        <v>-1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1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1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3</v>
      </c>
      <c r="L5">
        <f>INDEX(StandingsData!$J$2:$J$5,MATCH(LARGE(StandingsData!$M$2:$M$5,4),StandingsData!$M$2:$M$5,0))</f>
        <v>-3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6</v>
      </c>
      <c r="E6">
        <f>INDEX(StandingsData!$C$6:$C$9,MATCH(LARGE(StandingsData!$M$6:$M$9,1),StandingsData!$M$6:$M$9,0))</f>
        <v>2</v>
      </c>
      <c r="F6">
        <f>INDEX(StandingsData!$D$6:$D$9,MATCH(LARGE(StandingsData!$M$6:$M$9,1),StandingsData!$M$6:$M$9,0))</f>
        <v>2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10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5</v>
      </c>
      <c r="E7">
        <f>INDEX(StandingsData!$C$6:$C$9,MATCH(LARGE(StandingsData!$M$6:$M$9,2),StandingsData!$M$6:$M$9,0))</f>
        <v>2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1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11</v>
      </c>
      <c r="K7">
        <f>INDEX(StandingsData!$I$6:$I$9,MATCH(LARGE(StandingsData!$M$6:$M$9,2),StandingsData!$M$6:$M$9,0))</f>
        <v>1</v>
      </c>
      <c r="L7">
        <f>INDEX(StandingsData!$J$6:$J$9,MATCH(LARGE(StandingsData!$M$6:$M$9,2),StandingsData!$M$6:$M$9,0))</f>
        <v>10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1</v>
      </c>
      <c r="E8">
        <f>INDEX(StandingsData!$C$6:$C$9,MATCH(LARGE(StandingsData!$M$6:$M$9,3),StandingsData!$M$6:$M$9,0))</f>
        <v>2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1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1</v>
      </c>
      <c r="K8">
        <f>INDEX(StandingsData!$I$6:$I$9,MATCH(LARGE(StandingsData!$M$6:$M$9,3),StandingsData!$M$6:$M$9,0))</f>
        <v>6</v>
      </c>
      <c r="L8">
        <f>INDEX(StandingsData!$J$6:$J$9,MATCH(LARGE(StandingsData!$M$6:$M$9,3),StandingsData!$M$6:$M$9,0))</f>
        <v>-5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2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2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15</v>
      </c>
      <c r="L9">
        <f>INDEX(StandingsData!$J$6:$J$9,MATCH(LARGE(StandingsData!$M$6:$M$9,4),StandingsData!$M$6:$M$9,0))</f>
        <v>-15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3</v>
      </c>
      <c r="E10">
        <f>INDEX(StandingsData!$C$10:$C$13,MATCH(LARGE(StandingsData!$M$10:$M$13,1),StandingsData!$M$10:$M$13,0))</f>
        <v>1</v>
      </c>
      <c r="F10">
        <f>INDEX(StandingsData!$D$10:$D$13,MATCH(LARGE(StandingsData!$M$10:$M$13,1),StandingsData!$M$10:$M$13,0))</f>
        <v>1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5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5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Barrio Boys</v>
      </c>
      <c r="D11">
        <f>INDEX(StandingsData!$K$10:$K$13,MATCH(LARGE(StandingsData!$M$10:$M$13,2),StandingsData!$M$10:$M$13,0))</f>
        <v>3</v>
      </c>
      <c r="E11">
        <f>INDEX(StandingsData!$C$10:$C$13,MATCH(LARGE(StandingsData!$M$10:$M$13,2),StandingsData!$M$10:$M$13,0))</f>
        <v>1</v>
      </c>
      <c r="F11">
        <f>INDEX(StandingsData!$D$10:$D$13,MATCH(LARGE(StandingsData!$M$10:$M$13,2),StandingsData!$M$10:$M$13,0))</f>
        <v>1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2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2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Cani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1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1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2</v>
      </c>
      <c r="L12">
        <f>INDEX(StandingsData!$J$10:$J$13,MATCH(LARGE(StandingsData!$M$10:$M$13,3),StandingsData!$M$10:$M$13,0))</f>
        <v>-2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Pink 5ive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1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1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5</v>
      </c>
      <c r="L13">
        <f>INDEX(StandingsData!$J$10:$J$13,MATCH(LARGE(StandingsData!$M$10:$M$13,4),StandingsData!$M$10:$M$13,0))</f>
        <v>-5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5</v>
      </c>
      <c r="E14">
        <f>INDEX(StandingsData!$C$14:$C$17,MATCH(LARGE(StandingsData!$M$14:$M$17,1),StandingsData!$M$14:$M$17,0))</f>
        <v>2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1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2</v>
      </c>
      <c r="K14">
        <f>INDEX(StandingsData!$I$14:$I$17,MATCH(LARGE(StandingsData!$M$14:$M$17,1),StandingsData!$M$14:$M$17,0))</f>
        <v>1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4</v>
      </c>
      <c r="E15">
        <f>INDEX(StandingsData!$C$14:$C$17,MATCH(LARGE(StandingsData!$M$14:$M$17,2),StandingsData!$M$14:$M$17,0))</f>
        <v>2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1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3</v>
      </c>
      <c r="E16">
        <f>INDEX(StandingsData!$C$14:$C$17,MATCH(LARGE(StandingsData!$M$14:$M$17,3),StandingsData!$M$14:$M$17,0))</f>
        <v>2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8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4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2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2</v>
      </c>
      <c r="K17">
        <f>INDEX(StandingsData!$I$14:$I$17,MATCH(LARGE(StandingsData!$M$14:$M$17,4),StandingsData!$M$14:$M$17,0))</f>
        <v>8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312</v>
      </c>
      <c r="B2" t="s">
        <v>313</v>
      </c>
      <c r="E2" t="s">
        <v>257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314</v>
      </c>
      <c r="B3" t="s">
        <v>313</v>
      </c>
      <c r="E3" t="s">
        <v>259</v>
      </c>
      <c r="F3" s="12" t="s">
        <v>315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316</v>
      </c>
      <c r="B4" t="s">
        <v>313</v>
      </c>
      <c r="E4" t="s">
        <v>257</v>
      </c>
      <c r="F4" s="12" t="s">
        <v>317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318</v>
      </c>
      <c r="B5" t="s">
        <v>313</v>
      </c>
      <c r="E5" t="s">
        <v>259</v>
      </c>
      <c r="F5" s="12" t="s">
        <v>317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319</v>
      </c>
      <c r="B6" t="s">
        <v>320</v>
      </c>
      <c r="E6" t="s">
        <v>257</v>
      </c>
      <c r="F6" s="12" t="s">
        <v>321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322</v>
      </c>
      <c r="B7" t="s">
        <v>320</v>
      </c>
      <c r="E7" t="s">
        <v>259</v>
      </c>
      <c r="F7" s="12" t="s">
        <v>321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323</v>
      </c>
      <c r="B8" t="s">
        <v>324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M11" sqref="M11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387</v>
      </c>
      <c r="B1" s="17" t="s">
        <v>388</v>
      </c>
      <c r="C1" s="17" t="s">
        <v>389</v>
      </c>
    </row>
    <row r="2" spans="1:3" x14ac:dyDescent="0.3">
      <c r="A2" s="18" t="s">
        <v>426</v>
      </c>
      <c r="B2" s="18" t="s">
        <v>422</v>
      </c>
      <c r="C2" s="19">
        <v>4</v>
      </c>
    </row>
    <row r="3" spans="1:3" x14ac:dyDescent="0.3">
      <c r="A3" s="18" t="s">
        <v>424</v>
      </c>
      <c r="B3" s="18" t="s">
        <v>423</v>
      </c>
      <c r="C3" s="19">
        <v>3</v>
      </c>
    </row>
    <row r="4" spans="1:3" x14ac:dyDescent="0.3">
      <c r="A4" s="18" t="s">
        <v>425</v>
      </c>
      <c r="B4" s="18" t="s">
        <v>423</v>
      </c>
      <c r="C4" s="19">
        <v>1</v>
      </c>
    </row>
    <row r="5" spans="1:3" x14ac:dyDescent="0.3">
      <c r="A5" s="18" t="s">
        <v>427</v>
      </c>
      <c r="B5" s="18" t="s">
        <v>428</v>
      </c>
      <c r="C5" s="19">
        <v>2</v>
      </c>
    </row>
    <row r="6" spans="1:3" x14ac:dyDescent="0.3">
      <c r="A6" s="18" t="s">
        <v>424</v>
      </c>
      <c r="B6" s="18" t="s">
        <v>429</v>
      </c>
      <c r="C6" s="19">
        <v>0</v>
      </c>
    </row>
    <row r="7" spans="1:3" x14ac:dyDescent="0.3">
      <c r="A7" s="18"/>
      <c r="B7" s="18"/>
      <c r="C7" s="19"/>
    </row>
    <row r="8" spans="1:3" x14ac:dyDescent="0.3">
      <c r="A8" s="18"/>
      <c r="B8" s="18"/>
      <c r="C8" s="19"/>
    </row>
    <row r="9" spans="1:3" x14ac:dyDescent="0.3">
      <c r="A9" s="18"/>
      <c r="B9" s="18"/>
      <c r="C9" s="19"/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3</v>
      </c>
      <c r="E5" s="1">
        <f>Standings!E2</f>
        <v>1</v>
      </c>
      <c r="F5" s="1">
        <f>Standings!F2</f>
        <v>1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3</v>
      </c>
      <c r="K5" s="1">
        <f>Standings!K2</f>
        <v>0</v>
      </c>
      <c r="L5" s="1">
        <f>Standings!L2</f>
        <v>3</v>
      </c>
      <c r="M5" s="1"/>
      <c r="N5" s="1">
        <f>IF(TopScorers!A2="","",TopScorers!A2)</f>
        <v>1</v>
      </c>
      <c r="O5" s="1" t="str">
        <f>IF(TopScorers!B2="","",TopScorers!B2)</f>
        <v>IGNAZIO BADALÌ</v>
      </c>
      <c r="P5" s="1" t="str">
        <f>IF(TopScorers!C2="","",TopScorers!C2)</f>
        <v>AS Bancatore</v>
      </c>
      <c r="Q5" s="1">
        <f>IF(TopScorers!D2="","",TopScorers!D2)</f>
        <v>5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Fatine FC</v>
      </c>
      <c r="D6" s="1">
        <f>Standings!D3</f>
        <v>3</v>
      </c>
      <c r="E6" s="1">
        <f>Standings!E3</f>
        <v>1</v>
      </c>
      <c r="F6" s="1">
        <f>Standings!F3</f>
        <v>1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2</v>
      </c>
      <c r="K6" s="1">
        <f>Standings!K3</f>
        <v>1</v>
      </c>
      <c r="L6" s="1">
        <f>Standings!L3</f>
        <v>1</v>
      </c>
      <c r="M6" s="1"/>
      <c r="N6" s="1">
        <f>IF(TopScorers!A3="","",TopScorers!A3)</f>
        <v>2</v>
      </c>
      <c r="O6" s="1" t="str">
        <f>IF(TopScorers!B3="","",TopScorers!B3)</f>
        <v>NICOLA BRESCIANI</v>
      </c>
      <c r="P6" s="1" t="str">
        <f>IF(TopScorers!C3="","",TopScorers!C3)</f>
        <v>All Blacks</v>
      </c>
      <c r="Q6" s="1">
        <f>IF(TopScorers!D3="","",TopScorers!D3)</f>
        <v>4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FC Internazionale Rovigo</v>
      </c>
      <c r="D7" s="1">
        <f>Standings!D4</f>
        <v>0</v>
      </c>
      <c r="E7" s="1">
        <f>Standings!E4</f>
        <v>1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1</v>
      </c>
      <c r="J7" s="1">
        <f>Standings!J4</f>
        <v>1</v>
      </c>
      <c r="K7" s="1">
        <f>Standings!K4</f>
        <v>2</v>
      </c>
      <c r="L7" s="1">
        <f>Standings!L4</f>
        <v>-1</v>
      </c>
      <c r="M7" s="1"/>
      <c r="N7" s="1">
        <f>IF(TopScorers!A4="","",TopScorers!A4)</f>
        <v>3</v>
      </c>
      <c r="O7" s="1" t="str">
        <f>IF(TopScorers!B4="","",TopScorers!B4)</f>
        <v>DAVIDE ZAGHI</v>
      </c>
      <c r="P7" s="1" t="str">
        <f>IF(TopScorers!C4="","",TopScorers!C4)</f>
        <v>Vecchie Glorie Rovigo</v>
      </c>
      <c r="Q7" s="1">
        <f>IF(TopScorers!D4="","",TopScorers!D4)</f>
        <v>3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1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1</v>
      </c>
      <c r="J8" s="1">
        <f>Standings!J5</f>
        <v>0</v>
      </c>
      <c r="K8" s="1">
        <f>Standings!K5</f>
        <v>3</v>
      </c>
      <c r="L8" s="1">
        <f>Standings!L5</f>
        <v>-3</v>
      </c>
      <c r="M8" s="1"/>
      <c r="N8" s="1">
        <f>IF(TopScorers!A5="","",TopScorers!A5)</f>
        <v>4</v>
      </c>
      <c r="O8" s="1" t="str">
        <f>IF(TopScorers!B5="","",TopScorers!B5)</f>
        <v>MATTEO ZAMBERLAN</v>
      </c>
      <c r="P8" s="1" t="str">
        <f>IF(TopScorers!C5="","",TopScorers!C5)</f>
        <v>Vecchie Glorie Rovigo</v>
      </c>
      <c r="Q8" s="1">
        <f>IF(TopScorers!D5="","",TopScorers!D5)</f>
        <v>3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6</v>
      </c>
      <c r="E9" s="1">
        <f>Standings!E6</f>
        <v>2</v>
      </c>
      <c r="F9" s="1">
        <f>Standings!F6</f>
        <v>2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10</v>
      </c>
      <c r="K9" s="1">
        <f>Standings!K6</f>
        <v>0</v>
      </c>
      <c r="L9" s="1">
        <f>Standings!L6</f>
        <v>10</v>
      </c>
      <c r="M9" s="1"/>
      <c r="N9" s="1">
        <f>IF(TopScorers!A6="","",TopScorers!A6)</f>
        <v>5</v>
      </c>
      <c r="O9" s="1" t="str">
        <f>IF(TopScorers!B6="","",TopScorers!B6)</f>
        <v>LEONARDO MAGGIO</v>
      </c>
      <c r="P9" s="1" t="str">
        <f>IF(TopScorers!C6="","",TopScorers!C6)</f>
        <v>Leoni di Ricky</v>
      </c>
      <c r="Q9" s="1">
        <f>IF(TopScorers!D6="","",TopScorers!D6)</f>
        <v>3</v>
      </c>
      <c r="R9" s="1"/>
      <c r="S9" s="1"/>
      <c r="T9" s="1"/>
      <c r="U9" s="1"/>
      <c r="V9" s="1"/>
      <c r="W9" s="1"/>
      <c r="X9" s="1"/>
      <c r="Y9" s="1"/>
      <c r="Z9" s="1"/>
    </row>
    <row r="10" spans="1:26" ht="28.8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5</v>
      </c>
      <c r="E10" s="1">
        <f>Standings!E7</f>
        <v>2</v>
      </c>
      <c r="F10" s="1">
        <f>Standings!F7</f>
        <v>1</v>
      </c>
      <c r="G10" s="1">
        <f>Standings!G7</f>
        <v>1</v>
      </c>
      <c r="H10" s="1">
        <f>Standings!H7</f>
        <v>0</v>
      </c>
      <c r="I10" s="1">
        <f>Standings!I7</f>
        <v>0</v>
      </c>
      <c r="J10" s="1">
        <f>Standings!J7</f>
        <v>11</v>
      </c>
      <c r="K10" s="1">
        <f>Standings!K7</f>
        <v>1</v>
      </c>
      <c r="L10" s="1">
        <f>Standings!L7</f>
        <v>10</v>
      </c>
      <c r="M10" s="1"/>
      <c r="N10" s="1">
        <f>IF(TopScorers!A7="","",TopScorers!A7)</f>
        <v>6</v>
      </c>
      <c r="O10" s="1" t="str">
        <f>IF(TopScorers!B7="","",TopScorers!B7)</f>
        <v>NICOLA BARONI</v>
      </c>
      <c r="P10" s="1" t="str">
        <f>IF(TopScorers!C7="","",TopScorers!C7)</f>
        <v>AS Bancatore</v>
      </c>
      <c r="Q10" s="1">
        <f>IF(TopScorers!D7="","",TopScorers!D7)</f>
        <v>2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1</v>
      </c>
      <c r="E11" s="1">
        <f>Standings!E8</f>
        <v>2</v>
      </c>
      <c r="F11" s="1">
        <f>Standings!F8</f>
        <v>0</v>
      </c>
      <c r="G11" s="1">
        <f>Standings!G8</f>
        <v>0</v>
      </c>
      <c r="H11" s="1">
        <f>Standings!H8</f>
        <v>1</v>
      </c>
      <c r="I11" s="1">
        <f>Standings!I8</f>
        <v>1</v>
      </c>
      <c r="J11" s="1">
        <f>Standings!J8</f>
        <v>1</v>
      </c>
      <c r="K11" s="1">
        <f>Standings!K8</f>
        <v>6</v>
      </c>
      <c r="L11" s="1">
        <f>Standings!L8</f>
        <v>-5</v>
      </c>
      <c r="M11" s="1"/>
      <c r="N11" s="1">
        <f>IF(TopScorers!A8="","",TopScorers!A8)</f>
        <v>7</v>
      </c>
      <c r="O11" s="1" t="str">
        <f>IF(TopScorers!B8="","",TopScorers!B8)</f>
        <v>NICHOLAS MOSCHINI</v>
      </c>
      <c r="P11" s="1" t="str">
        <f>IF(TopScorers!C8="","",TopScorers!C8)</f>
        <v>All Blacks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2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2</v>
      </c>
      <c r="J12" s="1">
        <f>Standings!J9</f>
        <v>0</v>
      </c>
      <c r="K12" s="1">
        <f>Standings!K9</f>
        <v>15</v>
      </c>
      <c r="L12" s="1">
        <f>Standings!L9</f>
        <v>-15</v>
      </c>
      <c r="M12" s="1"/>
      <c r="N12" s="1">
        <f>IF(TopScorers!A9="","",TopScorers!A9)</f>
        <v>8</v>
      </c>
      <c r="O12" s="1" t="str">
        <f>IF(TopScorers!B9="","",TopScorers!B9)</f>
        <v>LUCA CECCONELLO</v>
      </c>
      <c r="P12" s="1" t="str">
        <f>IF(TopScorers!C9="","",TopScorers!C9)</f>
        <v>Boldò Glimt</v>
      </c>
      <c r="Q12" s="1">
        <f>IF(TopScorers!D9="","",TopScorers!D9)</f>
        <v>2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3</v>
      </c>
      <c r="E13" s="1">
        <f>Standings!E10</f>
        <v>1</v>
      </c>
      <c r="F13" s="1">
        <f>Standings!F10</f>
        <v>1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5</v>
      </c>
      <c r="K13" s="1">
        <f>Standings!K10</f>
        <v>0</v>
      </c>
      <c r="L13" s="1">
        <f>Standings!L10</f>
        <v>5</v>
      </c>
      <c r="M13" s="1"/>
      <c r="N13" s="1">
        <f>IF(TopScorers!A10="","",TopScorers!A10)</f>
        <v>9</v>
      </c>
      <c r="O13" s="1" t="str">
        <f>IF(TopScorers!B10="","",TopScorers!B10)</f>
        <v>GIOVANNI BALLO</v>
      </c>
      <c r="P13" s="1" t="str">
        <f>IF(TopScorers!C10="","",TopScorers!C10)</f>
        <v>Fatine FC</v>
      </c>
      <c r="Q13" s="1">
        <f>IF(TopScorers!D10="","",TopScorers!D10)</f>
        <v>1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ht="28.8" x14ac:dyDescent="0.3">
      <c r="A14" s="1" t="str">
        <f>Standings!A11</f>
        <v>C</v>
      </c>
      <c r="B14" s="1">
        <f>Standings!B11</f>
        <v>2</v>
      </c>
      <c r="C14" s="1" t="str">
        <f>Standings!C11</f>
        <v>Barrio Boys</v>
      </c>
      <c r="D14" s="1">
        <f>Standings!D11</f>
        <v>3</v>
      </c>
      <c r="E14" s="1">
        <f>Standings!E11</f>
        <v>1</v>
      </c>
      <c r="F14" s="1">
        <f>Standings!F11</f>
        <v>1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2</v>
      </c>
      <c r="K14" s="1">
        <f>Standings!K11</f>
        <v>0</v>
      </c>
      <c r="L14" s="1">
        <f>Standings!L11</f>
        <v>2</v>
      </c>
      <c r="M14" s="1"/>
      <c r="N14" s="1">
        <f>IF(TopScorers!A11="","",TopScorers!A11)</f>
        <v>10</v>
      </c>
      <c r="O14" s="1" t="str">
        <f>IF(TopScorers!B11="","",TopScorers!B11)</f>
        <v>NICHOLAS MILAN</v>
      </c>
      <c r="P14" s="1" t="str">
        <f>IF(TopScorers!C11="","",TopScorers!C11)</f>
        <v>Fatine FC</v>
      </c>
      <c r="Q14" s="1">
        <f>IF(TopScorers!D11="","",TopScorers!D11)</f>
        <v>1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ht="28.8" x14ac:dyDescent="0.3">
      <c r="A15" s="1" t="str">
        <f>Standings!A12</f>
        <v>C</v>
      </c>
      <c r="B15" s="1">
        <f>Standings!B12</f>
        <v>3</v>
      </c>
      <c r="C15" s="1" t="str">
        <f>Standings!C12</f>
        <v>Cani</v>
      </c>
      <c r="D15" s="1">
        <f>Standings!D12</f>
        <v>0</v>
      </c>
      <c r="E15" s="1">
        <f>Standings!E12</f>
        <v>1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1</v>
      </c>
      <c r="J15" s="1">
        <f>Standings!J12</f>
        <v>0</v>
      </c>
      <c r="K15" s="1">
        <f>Standings!K12</f>
        <v>2</v>
      </c>
      <c r="L15" s="1">
        <f>Standings!L12</f>
        <v>-2</v>
      </c>
      <c r="M15" s="1"/>
      <c r="N15" s="1">
        <f>IF(TopScorers!A12="","",TopScorers!A12)</f>
        <v>11</v>
      </c>
      <c r="O15" s="1" t="str">
        <f>IF(TopScorers!B12="","",TopScorers!B12)</f>
        <v>IVAN DENIS SHEVERAK</v>
      </c>
      <c r="P15" s="1" t="str">
        <f>IF(TopScorers!C12="","",TopScorers!C12)</f>
        <v>FC Internazionale Rovigo</v>
      </c>
      <c r="Q15" s="1">
        <f>IF(TopScorers!D12="","",TopScorers!D12)</f>
        <v>1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Pink 5ive</v>
      </c>
      <c r="D16" s="1">
        <f>Standings!D13</f>
        <v>0</v>
      </c>
      <c r="E16" s="1">
        <f>Standings!E13</f>
        <v>1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1</v>
      </c>
      <c r="J16" s="1">
        <f>Standings!J13</f>
        <v>0</v>
      </c>
      <c r="K16" s="1">
        <f>Standings!K13</f>
        <v>5</v>
      </c>
      <c r="L16" s="1">
        <f>Standings!L13</f>
        <v>-5</v>
      </c>
      <c r="M16" s="1"/>
      <c r="N16" s="1">
        <f>IF(TopScorers!A13="","",TopScorers!A13)</f>
        <v>12</v>
      </c>
      <c r="O16" s="1" t="str">
        <f>IF(TopScorers!B13="","",TopScorers!B13)</f>
        <v>FILIPPO SCARANELLO</v>
      </c>
      <c r="P16" s="1" t="str">
        <f>IF(TopScorers!C13="","",TopScorers!C13)</f>
        <v>Moviola Utd</v>
      </c>
      <c r="Q16" s="1">
        <f>IF(TopScorers!D13="","",TopScorers!D13)</f>
        <v>1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5</v>
      </c>
      <c r="E17" s="1">
        <f>Standings!E14</f>
        <v>2</v>
      </c>
      <c r="F17" s="1">
        <f>Standings!F14</f>
        <v>1</v>
      </c>
      <c r="G17" s="1">
        <f>Standings!G14</f>
        <v>1</v>
      </c>
      <c r="H17" s="1">
        <f>Standings!H14</f>
        <v>0</v>
      </c>
      <c r="I17" s="1">
        <f>Standings!I14</f>
        <v>0</v>
      </c>
      <c r="J17" s="1">
        <f>Standings!J14</f>
        <v>2</v>
      </c>
      <c r="K17" s="1">
        <f>Standings!K14</f>
        <v>1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MATTEO NATALI</v>
      </c>
      <c r="P17" s="1" t="str">
        <f>IF(TopScorers!C14="","",TopScorers!C14)</f>
        <v>Moviola Utd</v>
      </c>
      <c r="Q17" s="1">
        <f>IF(TopScorers!D14="","",TopScorers!D14)</f>
        <v>1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ht="28.8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4</v>
      </c>
      <c r="E18" s="1">
        <f>Standings!E15</f>
        <v>2</v>
      </c>
      <c r="F18" s="1">
        <f>Standings!F15</f>
        <v>1</v>
      </c>
      <c r="G18" s="1">
        <f>Standings!G15</f>
        <v>0</v>
      </c>
      <c r="H18" s="1">
        <f>Standings!H15</f>
        <v>1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NICO PAVANI</v>
      </c>
      <c r="P18" s="1" t="str">
        <f>IF(TopScorers!C15="","",TopScorers!C15)</f>
        <v>Moviola Utd</v>
      </c>
      <c r="Q18" s="1">
        <f>IF(TopScorers!D15="","",TopScorers!D15)</f>
        <v>1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28.8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3</v>
      </c>
      <c r="E19" s="1">
        <f>Standings!E16</f>
        <v>2</v>
      </c>
      <c r="F19" s="1">
        <f>Standings!F16</f>
        <v>1</v>
      </c>
      <c r="G19" s="1">
        <f>Standings!G16</f>
        <v>0</v>
      </c>
      <c r="H19" s="1">
        <f>Standings!H16</f>
        <v>0</v>
      </c>
      <c r="I19" s="1">
        <f>Standings!I16</f>
        <v>1</v>
      </c>
      <c r="J19" s="1">
        <f>Standings!J16</f>
        <v>8</v>
      </c>
      <c r="K19" s="1">
        <f>Standings!K16</f>
        <v>4</v>
      </c>
      <c r="L19" s="1">
        <f>Standings!L16</f>
        <v>4</v>
      </c>
      <c r="M19" s="1"/>
      <c r="N19" s="1">
        <f>IF(TopScorers!A16="","",TopScorers!A16)</f>
        <v>15</v>
      </c>
      <c r="O19" s="1" t="str">
        <f>IF(TopScorers!B16="","",TopScorers!B16)</f>
        <v>JACOPO VOLTOLINA</v>
      </c>
      <c r="P19" s="1" t="str">
        <f>IF(TopScorers!C16="","",TopScorers!C16)</f>
        <v>Vecchie Glorie Rovigo</v>
      </c>
      <c r="Q19" s="1">
        <f>IF(TopScorers!D16="","",TopScorers!D16)</f>
        <v>1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0</v>
      </c>
      <c r="E20" s="1">
        <f>Standings!E17</f>
        <v>2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2</v>
      </c>
      <c r="J20" s="1">
        <f>Standings!J17</f>
        <v>2</v>
      </c>
      <c r="K20" s="1">
        <f>Standings!K17</f>
        <v>8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MATTEO DALL'ARA</v>
      </c>
      <c r="P20" s="1" t="str">
        <f>IF(TopScorers!C17="","",TopScorers!C17)</f>
        <v>Vecchie Glorie Rovigo</v>
      </c>
      <c r="Q20" s="1">
        <f>IF(TopScorers!D17="","",TopScorers!D17)</f>
        <v>1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LEONARDO FUSCO</v>
      </c>
      <c r="P21" s="1" t="str">
        <f>IF(TopScorers!C18="","",TopScorers!C18)</f>
        <v>Vecchie Glorie Rovigo</v>
      </c>
      <c r="Q21" s="1">
        <f>IF(TopScorers!D18="","",TopScorers!D18)</f>
        <v>1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DENIS TIMPANARO</v>
      </c>
      <c r="P22" s="5" t="str">
        <f>IF(TopScorers!C19="","",TopScorers!C19)</f>
        <v>Vecchie Glorie Rovigo</v>
      </c>
      <c r="Q22" s="1">
        <f>IF(TopScorers!D19="","",TopScorers!D19)</f>
        <v>1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0</v>
      </c>
      <c r="J34" s="1">
        <f>IF(Matches!J11="","",Matches!J11)</f>
        <v>5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0 - 5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>
        <f>IF(Matches!I12="","",Matches!I12)</f>
        <v>1</v>
      </c>
      <c r="J35" s="1">
        <f>IF(Matches!J12="","",Matches!J12)</f>
        <v>1</v>
      </c>
      <c r="K35" s="1" t="str">
        <f>IF(Matches!K12="","",Matches!K12)</f>
        <v>Vecchie Glorie Rovigo</v>
      </c>
      <c r="L35" s="1" t="str">
        <f>Matches!L12</f>
        <v>Complete</v>
      </c>
      <c r="M35" s="1">
        <f>IF(Matches!M12="","",Matches!M12)</f>
        <v>2</v>
      </c>
      <c r="N35" s="1">
        <f>IF(Matches!N12="","",Matches!N12)</f>
        <v>1</v>
      </c>
      <c r="O35" s="1" t="str">
        <f>IF(Matches!O12="","",Matches!O12)</f>
        <v>Vecchie Glorie Rovigo</v>
      </c>
      <c r="P35" s="1" t="str">
        <f>IF(Matches!P12="","",Matches!P12)</f>
        <v>Vecchie Glorie Rovigo 1 - 1 Beverton (rigori: Vecchie Glorie Rovigo)</v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0</v>
      </c>
      <c r="K36" s="1" t="str">
        <f>IF(Matches!K13="","",Matches!K13)</f>
        <v>Boldò Glimt</v>
      </c>
      <c r="L36" s="1" t="str">
        <f>Matches!L13</f>
        <v>Complete</v>
      </c>
      <c r="M36" s="1">
        <f>IF(Matches!M13="","",Matches!M13)</f>
        <v>2</v>
      </c>
      <c r="N36" s="1">
        <f>IF(Matches!N13="","",Matches!N13)</f>
        <v>1</v>
      </c>
      <c r="O36" s="1" t="str">
        <f>IF(Matches!O13="","",Matches!O13)</f>
        <v>Boldò Glimt</v>
      </c>
      <c r="P36" s="1" t="str">
        <f>IF(Matches!P13="","",Matches!P13)</f>
        <v>Boldò Glimt 0 - 0 Piadineria la Salsiccia (rigori: Boldò Glimt)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8.8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3.2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3.2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3.2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3.2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8.8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8.8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8.8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8.8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8.8" x14ac:dyDescent="0.3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8.8" x14ac:dyDescent="0.3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8.8" x14ac:dyDescent="0.3">
      <c r="A171" s="1" t="str">
        <f>IF(Goals!A110="","",Goals!A110)</f>
        <v>M10</v>
      </c>
      <c r="B171" s="1" t="str">
        <f>IF(Goals!A110="","",Goals!B110)</f>
        <v>AS Bancatore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9 - IGNAZIO BADALÌ</v>
      </c>
      <c r="F171" s="1" t="str">
        <f>IF(Goals!A110="","",Goals!F110)</f>
        <v>AS Bancatore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>M10</v>
      </c>
      <c r="B172" s="1" t="str">
        <f>IF(Goals!A111="","",Goals!B111)</f>
        <v>AS Bancatore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9 - IGNAZIO BADALÌ</v>
      </c>
      <c r="F172" s="1" t="str">
        <f>IF(Goals!A111="","",Goals!F111)</f>
        <v>AS Bancatore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3</v>
      </c>
      <c r="D173" s="1" t="str">
        <f>IF(Goals!A112="","",Goals!D112)</f>
        <v>Goal</v>
      </c>
      <c r="E173" s="1" t="str">
        <f>IF(Goals!A112="","",Goals!E112)</f>
        <v>9 - IGNAZIO BADALÌ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4</v>
      </c>
      <c r="D174" s="1" t="str">
        <f>IF(Goals!A113="","",Goals!D113)</f>
        <v>Goal</v>
      </c>
      <c r="E174" s="1" t="str">
        <f>IF(Goals!A113="","",Goals!E113)</f>
        <v>8 - MATTEO SAVIOLI (C)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5</v>
      </c>
      <c r="D175" s="1" t="str">
        <f>IF(Goals!A114="","",Goals!D114)</f>
        <v>Goal</v>
      </c>
      <c r="E175" s="1" t="str">
        <f>IF(Goals!A114="","",Goals!E114)</f>
        <v>17 - NICOLA BARONI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>M11</v>
      </c>
      <c r="B183" s="1" t="str">
        <f>IF(Goals!A122="","",Goals!B122)</f>
        <v>Vecchie Glorie Rovigo</v>
      </c>
      <c r="C183" s="1">
        <f>IF(Goals!A122="","",Goals!C122)</f>
        <v>1</v>
      </c>
      <c r="D183" s="1" t="str">
        <f>IF(Goals!A122="","",Goals!D122)</f>
        <v>Goal</v>
      </c>
      <c r="E183" s="1" t="str">
        <f>IF(Goals!A122="","",Goals!E122)</f>
        <v>10 - DAVIDE ZAGHI (C)</v>
      </c>
      <c r="F183" s="1" t="str">
        <f>IF(Goals!A122="","",Goals!F122)</f>
        <v>Vecchie Glorie Rovigo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>M11</v>
      </c>
      <c r="B184" s="1" t="str">
        <f>IF(Goals!A123="","",Goals!B123)</f>
        <v>Beverton</v>
      </c>
      <c r="C184" s="1">
        <f>IF(Goals!A123="","",Goals!C123)</f>
        <v>1</v>
      </c>
      <c r="D184" s="1" t="str">
        <f>IF(Goals!A123="","",Goals!D123)</f>
        <v>Goal</v>
      </c>
      <c r="E184" s="1" t="str">
        <f>IF(Goals!A123="","",Goals!E123)</f>
        <v>10 - SAMUEL BONSU (C)</v>
      </c>
      <c r="F184" s="1" t="str">
        <f>IF(Goals!A123="","",Goals!F123)</f>
        <v>Beverton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2026-07-04T14:33:20Z</dcterms:modified>
</cp:coreProperties>
</file>