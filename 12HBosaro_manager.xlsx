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oretto\Documents\12ore26\12orebosaro\"/>
    </mc:Choice>
  </mc:AlternateContent>
  <xr:revisionPtr revIDLastSave="0" documentId="13_ncr:1_{131D39F4-F540-4615-9E38-72EAB526307B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NoBounce" sheetId="16" r:id="rId14"/>
    <sheet name="Validation" sheetId="14" r:id="rId15"/>
    <sheet name="Export" sheetId="15" r:id="rId16"/>
  </sheets>
  <definedNames>
    <definedName name="_xlnm._FilterDatabase" localSheetId="12" hidden="1">KnockoutGoals!$A$1:$K$85</definedName>
    <definedName name="_xlnm._FilterDatabase" localSheetId="13" hidden="1">NoBounce!$A$1:$C$101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A78" i="13" s="1"/>
  <c r="D78" i="13" s="1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A63" i="13" s="1"/>
  <c r="D63" i="13" s="1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 s="1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16" i="13" l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D77" i="13" s="1"/>
  <c r="A74" i="13"/>
  <c r="D74" i="13" s="1"/>
  <c r="A66" i="13"/>
  <c r="D66" i="13" s="1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D247" i="7" s="1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D222" i="7" s="1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D209" i="7" s="1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A14" i="7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A266" i="7"/>
  <c r="D266" i="7" s="1"/>
  <c r="A175" i="7"/>
  <c r="D175" i="7" s="1"/>
  <c r="A2" i="7"/>
  <c r="D2" i="7" s="1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F303" i="15"/>
  <c r="E303" i="15"/>
  <c r="D303" i="15"/>
  <c r="C303" i="15"/>
  <c r="B303" i="15"/>
  <c r="A303" i="15"/>
  <c r="F292" i="15"/>
  <c r="E292" i="15"/>
  <c r="D292" i="15"/>
  <c r="C292" i="15"/>
  <c r="B292" i="15"/>
  <c r="A292" i="15"/>
  <c r="F285" i="15"/>
  <c r="E285" i="15"/>
  <c r="D285" i="15"/>
  <c r="C285" i="15"/>
  <c r="B285" i="15"/>
  <c r="A285" i="15"/>
  <c r="F279" i="15"/>
  <c r="E279" i="15"/>
  <c r="D279" i="15"/>
  <c r="C279" i="15"/>
  <c r="B279" i="15"/>
  <c r="A279" i="15"/>
  <c r="F273" i="15"/>
  <c r="E273" i="15"/>
  <c r="D273" i="15"/>
  <c r="C273" i="15"/>
  <c r="B273" i="15"/>
  <c r="A273" i="15"/>
  <c r="F267" i="15"/>
  <c r="E267" i="15"/>
  <c r="D267" i="15"/>
  <c r="C267" i="15"/>
  <c r="B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E426" i="15"/>
  <c r="A426" i="15"/>
  <c r="E423" i="15"/>
  <c r="A423" i="15"/>
  <c r="E416" i="15"/>
  <c r="A416" i="15"/>
  <c r="E415" i="15"/>
  <c r="A415" i="15"/>
  <c r="E412" i="15"/>
  <c r="A412" i="15"/>
  <c r="F130" i="15"/>
  <c r="E130" i="15"/>
  <c r="D130" i="15"/>
  <c r="C130" i="15"/>
  <c r="B130" i="15"/>
  <c r="A130" i="15"/>
  <c r="F124" i="15"/>
  <c r="E124" i="15"/>
  <c r="D124" i="15"/>
  <c r="C124" i="15"/>
  <c r="B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G79" i="13"/>
  <c r="F79" i="13"/>
  <c r="H79" i="13" s="1"/>
  <c r="C79" i="13"/>
  <c r="B79" i="13"/>
  <c r="G78" i="13"/>
  <c r="F78" i="13"/>
  <c r="H78" i="13" s="1"/>
  <c r="C78" i="13"/>
  <c r="B78" i="13"/>
  <c r="B67" i="13"/>
  <c r="B63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F231" i="7"/>
  <c r="H231" i="7" s="1"/>
  <c r="C231" i="7"/>
  <c r="B231" i="7"/>
  <c r="G224" i="7"/>
  <c r="C224" i="7"/>
  <c r="G218" i="7"/>
  <c r="F218" i="7"/>
  <c r="H218" i="7" s="1"/>
  <c r="C218" i="7"/>
  <c r="B218" i="7"/>
  <c r="G212" i="7"/>
  <c r="F212" i="7"/>
  <c r="H212" i="7" s="1"/>
  <c r="C212" i="7"/>
  <c r="B212" i="7"/>
  <c r="F206" i="7"/>
  <c r="H206" i="7" s="1"/>
  <c r="B206" i="7"/>
  <c r="A177" i="7"/>
  <c r="D177" i="7" s="1"/>
  <c r="A173" i="7"/>
  <c r="D173" i="7" s="1"/>
  <c r="A172" i="7"/>
  <c r="D172" i="7" s="1"/>
  <c r="F69" i="7"/>
  <c r="H69" i="7" s="1"/>
  <c r="G63" i="7"/>
  <c r="B63" i="7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C268" i="7"/>
  <c r="B268" i="7"/>
  <c r="G258" i="7"/>
  <c r="F258" i="7"/>
  <c r="H258" i="7" s="1"/>
  <c r="C258" i="7"/>
  <c r="B258" i="7"/>
  <c r="G242" i="7"/>
  <c r="F242" i="7"/>
  <c r="H242" i="7" s="1"/>
  <c r="C242" i="7"/>
  <c r="B242" i="7"/>
  <c r="F224" i="7"/>
  <c r="H224" i="7" s="1"/>
  <c r="B224" i="7"/>
  <c r="G206" i="7"/>
  <c r="C206" i="7"/>
  <c r="G198" i="7"/>
  <c r="F198" i="7"/>
  <c r="H198" i="7" s="1"/>
  <c r="C198" i="7"/>
  <c r="B198" i="7"/>
  <c r="B186" i="7"/>
  <c r="B185" i="7"/>
  <c r="C63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F63" i="7"/>
  <c r="H63" i="7" s="1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G221" i="5"/>
  <c r="F221" i="5"/>
  <c r="G220" i="5"/>
  <c r="F220" i="5"/>
  <c r="G219" i="5"/>
  <c r="F219" i="5"/>
  <c r="G218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D274" i="7" l="1"/>
  <c r="F335" i="15"/>
  <c r="E335" i="15"/>
  <c r="D335" i="15"/>
  <c r="C335" i="15"/>
  <c r="B335" i="15"/>
  <c r="A335" i="15"/>
  <c r="G250" i="5"/>
  <c r="C250" i="8" s="1"/>
  <c r="G74" i="5"/>
  <c r="C74" i="8" s="1"/>
  <c r="D16" i="13"/>
  <c r="A365" i="15"/>
  <c r="E365" i="15"/>
  <c r="B16" i="13"/>
  <c r="B77" i="13"/>
  <c r="B74" i="13"/>
  <c r="B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C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F106" i="15"/>
  <c r="E106" i="15"/>
  <c r="D106" i="15"/>
  <c r="C106" i="15"/>
  <c r="B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F271" i="7"/>
  <c r="H271" i="7" s="1"/>
  <c r="C271" i="7"/>
  <c r="B271" i="7"/>
  <c r="B62" i="7"/>
  <c r="G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F108" i="15"/>
  <c r="E108" i="15"/>
  <c r="D108" i="15"/>
  <c r="C108" i="15"/>
  <c r="B108" i="15"/>
  <c r="A108" i="15"/>
  <c r="F107" i="15"/>
  <c r="E107" i="15"/>
  <c r="D107" i="15"/>
  <c r="C107" i="15"/>
  <c r="B107" i="15"/>
  <c r="A107" i="15"/>
  <c r="F104" i="15"/>
  <c r="E104" i="15"/>
  <c r="D104" i="15"/>
  <c r="C104" i="15"/>
  <c r="B104" i="15"/>
  <c r="A104" i="15"/>
  <c r="E103" i="15"/>
  <c r="A103" i="15"/>
  <c r="E101" i="15"/>
  <c r="A101" i="15"/>
  <c r="E96" i="15"/>
  <c r="D96" i="15"/>
  <c r="A96" i="15"/>
  <c r="C46" i="7"/>
  <c r="F45" i="7"/>
  <c r="H45" i="7" s="1"/>
  <c r="C45" i="7"/>
  <c r="G43" i="7"/>
  <c r="F43" i="7"/>
  <c r="H43" i="7" s="1"/>
  <c r="C43" i="7"/>
  <c r="B42" i="7"/>
  <c r="B41" i="7"/>
  <c r="B40" i="7"/>
  <c r="G269" i="7"/>
  <c r="F269" i="7"/>
  <c r="H269" i="7" s="1"/>
  <c r="C269" i="7"/>
  <c r="B269" i="7"/>
  <c r="G256" i="7"/>
  <c r="F256" i="7"/>
  <c r="H256" i="7" s="1"/>
  <c r="C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F246" i="7"/>
  <c r="H246" i="7" s="1"/>
  <c r="C246" i="7"/>
  <c r="B246" i="7"/>
  <c r="G243" i="7"/>
  <c r="F243" i="7"/>
  <c r="H243" i="7" s="1"/>
  <c r="C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F46" i="7"/>
  <c r="H46" i="7" s="1"/>
  <c r="B43" i="7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F44" i="7"/>
  <c r="H44" i="7" s="1"/>
  <c r="C44" i="7"/>
  <c r="G37" i="7"/>
  <c r="C37" i="7"/>
  <c r="G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F308" i="15"/>
  <c r="E308" i="15"/>
  <c r="D308" i="15"/>
  <c r="C308" i="15"/>
  <c r="B308" i="15"/>
  <c r="A308" i="15"/>
  <c r="F307" i="15"/>
  <c r="E307" i="15"/>
  <c r="D307" i="15"/>
  <c r="C307" i="15"/>
  <c r="B307" i="15"/>
  <c r="A307" i="15"/>
  <c r="F306" i="15"/>
  <c r="E306" i="15"/>
  <c r="D306" i="15"/>
  <c r="C306" i="15"/>
  <c r="B306" i="15"/>
  <c r="A306" i="15"/>
  <c r="F305" i="15"/>
  <c r="E305" i="15"/>
  <c r="D305" i="15"/>
  <c r="C305" i="15"/>
  <c r="B305" i="15"/>
  <c r="A305" i="15"/>
  <c r="F304" i="15"/>
  <c r="E304" i="15"/>
  <c r="D304" i="15"/>
  <c r="C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F293" i="15"/>
  <c r="E293" i="15"/>
  <c r="D293" i="15"/>
  <c r="C293" i="15"/>
  <c r="B293" i="15"/>
  <c r="A293" i="15"/>
  <c r="F291" i="15"/>
  <c r="E291" i="15"/>
  <c r="D291" i="15"/>
  <c r="C291" i="15"/>
  <c r="B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F283" i="15"/>
  <c r="E283" i="15"/>
  <c r="D283" i="15"/>
  <c r="C283" i="15"/>
  <c r="B283" i="15"/>
  <c r="A283" i="15"/>
  <c r="F282" i="15"/>
  <c r="E282" i="15"/>
  <c r="D282" i="15"/>
  <c r="C282" i="15"/>
  <c r="B282" i="15"/>
  <c r="A282" i="15"/>
  <c r="F281" i="15"/>
  <c r="E281" i="15"/>
  <c r="D281" i="15"/>
  <c r="C281" i="15"/>
  <c r="B51" i="7"/>
  <c r="B50" i="7"/>
  <c r="B49" i="7"/>
  <c r="G47" i="7"/>
  <c r="F47" i="7"/>
  <c r="H47" i="7" s="1"/>
  <c r="C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F255" i="7"/>
  <c r="H255" i="7" s="1"/>
  <c r="C255" i="7"/>
  <c r="B255" i="7"/>
  <c r="G254" i="7"/>
  <c r="F254" i="7"/>
  <c r="H254" i="7" s="1"/>
  <c r="C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F247" i="7"/>
  <c r="H247" i="7" s="1"/>
  <c r="C247" i="7"/>
  <c r="B247" i="7"/>
  <c r="G245" i="7"/>
  <c r="F245" i="7"/>
  <c r="H245" i="7" s="1"/>
  <c r="C245" i="7"/>
  <c r="B245" i="7"/>
  <c r="G244" i="7"/>
  <c r="F244" i="7"/>
  <c r="H244" i="7" s="1"/>
  <c r="C244" i="7"/>
  <c r="B244" i="7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F232" i="7"/>
  <c r="H232" i="7" s="1"/>
  <c r="C232" i="7"/>
  <c r="B232" i="7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B281" i="15"/>
  <c r="A281" i="15"/>
  <c r="F280" i="15"/>
  <c r="E280" i="15"/>
  <c r="D280" i="15"/>
  <c r="C280" i="15"/>
  <c r="B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F105" i="15"/>
  <c r="E105" i="15"/>
  <c r="D105" i="15"/>
  <c r="C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F64" i="7"/>
  <c r="H64" i="7" s="1"/>
  <c r="C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F125" i="15"/>
  <c r="E125" i="15"/>
  <c r="D125" i="15"/>
  <c r="C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H230" i="7" s="1"/>
  <c r="C230" i="7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F222" i="7"/>
  <c r="H222" i="7" s="1"/>
  <c r="B222" i="7"/>
  <c r="G221" i="7"/>
  <c r="F221" i="7"/>
  <c r="H221" i="7" s="1"/>
  <c r="C221" i="7"/>
  <c r="B221" i="7"/>
  <c r="G220" i="7"/>
  <c r="F220" i="7"/>
  <c r="H220" i="7" s="1"/>
  <c r="C220" i="7"/>
  <c r="F219" i="7"/>
  <c r="H219" i="7" s="1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C222" i="7"/>
  <c r="B220" i="7"/>
  <c r="G219" i="7"/>
  <c r="C219" i="7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E95" i="15"/>
  <c r="D95" i="15"/>
  <c r="A95" i="15"/>
  <c r="E94" i="15"/>
  <c r="D94" i="15"/>
  <c r="A94" i="15"/>
  <c r="E93" i="15"/>
  <c r="D93" i="15"/>
  <c r="A93" i="15"/>
  <c r="E92" i="15"/>
  <c r="D92" i="15"/>
  <c r="A92" i="15"/>
  <c r="E91" i="15"/>
  <c r="D91" i="15"/>
  <c r="A91" i="15"/>
  <c r="E90" i="15"/>
  <c r="D90" i="15"/>
  <c r="A90" i="15"/>
  <c r="E89" i="15"/>
  <c r="D89" i="15"/>
  <c r="A89" i="15"/>
  <c r="E88" i="15"/>
  <c r="D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E221" i="8"/>
  <c r="D221" i="8"/>
  <c r="C221" i="8"/>
  <c r="B221" i="8"/>
  <c r="E220" i="8"/>
  <c r="D220" i="8"/>
  <c r="C220" i="8"/>
  <c r="B220" i="8"/>
  <c r="E219" i="8"/>
  <c r="D219" i="8"/>
  <c r="C219" i="8"/>
  <c r="B219" i="8"/>
  <c r="E218" i="8"/>
  <c r="D218" i="8"/>
  <c r="C218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F270" i="15"/>
  <c r="E270" i="15"/>
  <c r="D270" i="15"/>
  <c r="C270" i="15"/>
  <c r="B270" i="15"/>
  <c r="A270" i="15"/>
  <c r="F269" i="15"/>
  <c r="E269" i="15"/>
  <c r="D269" i="15"/>
  <c r="C269" i="15"/>
  <c r="B269" i="15"/>
  <c r="A269" i="15"/>
  <c r="F268" i="15"/>
  <c r="E268" i="15"/>
  <c r="D268" i="15"/>
  <c r="C268" i="15"/>
  <c r="B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F256" i="15"/>
  <c r="E256" i="15"/>
  <c r="D256" i="15"/>
  <c r="C256" i="15"/>
  <c r="B256" i="15"/>
  <c r="A256" i="15"/>
  <c r="F255" i="15"/>
  <c r="E255" i="15"/>
  <c r="D255" i="15"/>
  <c r="C255" i="15"/>
  <c r="B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F184" i="15"/>
  <c r="E184" i="15"/>
  <c r="D184" i="15"/>
  <c r="C184" i="15"/>
  <c r="B184" i="15"/>
  <c r="A184" i="15"/>
  <c r="F183" i="15"/>
  <c r="E183" i="15"/>
  <c r="D183" i="15"/>
  <c r="C183" i="15"/>
  <c r="B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F209" i="7"/>
  <c r="H209" i="7" s="1"/>
  <c r="C209" i="7"/>
  <c r="B209" i="7"/>
  <c r="G208" i="7"/>
  <c r="F208" i="7"/>
  <c r="H208" i="7" s="1"/>
  <c r="C208" i="7"/>
  <c r="G207" i="7"/>
  <c r="F207" i="7"/>
  <c r="H207" i="7" s="1"/>
  <c r="B207" i="7"/>
  <c r="B204" i="7"/>
  <c r="G203" i="7"/>
  <c r="F203" i="7"/>
  <c r="H203" i="7" s="1"/>
  <c r="C203" i="7"/>
  <c r="B203" i="7"/>
  <c r="G202" i="7"/>
  <c r="F202" i="7"/>
  <c r="H202" i="7" s="1"/>
  <c r="C202" i="7"/>
  <c r="G195" i="7"/>
  <c r="F195" i="7"/>
  <c r="H195" i="7" s="1"/>
  <c r="C195" i="7"/>
  <c r="G194" i="7"/>
  <c r="F194" i="7"/>
  <c r="H194" i="7" s="1"/>
  <c r="C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B33" i="7"/>
  <c r="G32" i="7"/>
  <c r="B32" i="7"/>
  <c r="G31" i="7"/>
  <c r="B31" i="7"/>
  <c r="B30" i="7"/>
  <c r="B29" i="7"/>
  <c r="G28" i="7"/>
  <c r="B28" i="7"/>
  <c r="B89" i="15" s="1"/>
  <c r="G27" i="7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F279" i="7"/>
  <c r="H279" i="7" s="1"/>
  <c r="C279" i="7"/>
  <c r="B279" i="7"/>
  <c r="G278" i="7"/>
  <c r="F278" i="7"/>
  <c r="H278" i="7" s="1"/>
  <c r="C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C207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G30" i="7"/>
  <c r="G29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F146" i="7"/>
  <c r="H146" i="7" s="1"/>
  <c r="C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F123" i="7"/>
  <c r="H123" i="7" s="1"/>
  <c r="C123" i="7"/>
  <c r="B123" i="7"/>
  <c r="G122" i="7"/>
  <c r="F122" i="7"/>
  <c r="H122" i="7" s="1"/>
  <c r="C122" i="7"/>
  <c r="B122" i="7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F207" i="15"/>
  <c r="E207" i="15"/>
  <c r="D207" i="15"/>
  <c r="C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F270" i="7"/>
  <c r="H270" i="7" s="1"/>
  <c r="C270" i="7"/>
  <c r="B270" i="7"/>
  <c r="G267" i="7"/>
  <c r="F267" i="7"/>
  <c r="H267" i="7" s="1"/>
  <c r="C267" i="7"/>
  <c r="B267" i="7"/>
  <c r="G266" i="7"/>
  <c r="F266" i="7"/>
  <c r="H266" i="7" s="1"/>
  <c r="C266" i="7"/>
  <c r="B266" i="7"/>
  <c r="G170" i="7"/>
  <c r="F170" i="7"/>
  <c r="H170" i="7" s="1"/>
  <c r="C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D63" i="15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B224" i="15"/>
  <c r="C224" i="15"/>
  <c r="D224" i="15"/>
  <c r="E224" i="15"/>
  <c r="F224" i="15"/>
  <c r="A223" i="15"/>
  <c r="B223" i="15"/>
  <c r="C223" i="15"/>
  <c r="D223" i="15"/>
  <c r="E223" i="15"/>
  <c r="F223" i="15"/>
  <c r="A221" i="15"/>
  <c r="B221" i="15"/>
  <c r="C221" i="15"/>
  <c r="D221" i="15"/>
  <c r="E221" i="15"/>
  <c r="F221" i="15"/>
  <c r="A220" i="15"/>
  <c r="B220" i="15"/>
  <c r="C220" i="15"/>
  <c r="D220" i="15"/>
  <c r="E220" i="15"/>
  <c r="F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C231" i="15"/>
  <c r="D231" i="15"/>
  <c r="E231" i="15"/>
  <c r="F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B219" i="15"/>
  <c r="C219" i="15"/>
  <c r="D219" i="15"/>
  <c r="E219" i="15"/>
  <c r="F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B235" i="15"/>
  <c r="C235" i="15"/>
  <c r="D235" i="15"/>
  <c r="E235" i="15"/>
  <c r="F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B222" i="15"/>
  <c r="C222" i="15"/>
  <c r="D222" i="15"/>
  <c r="E222" i="15"/>
  <c r="F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B167" i="15"/>
  <c r="C167" i="15"/>
  <c r="D167" i="15"/>
  <c r="E167" i="15"/>
  <c r="F167" i="15"/>
  <c r="A166" i="15"/>
  <c r="B166" i="15"/>
  <c r="C166" i="15"/>
  <c r="D166" i="15"/>
  <c r="E166" i="15"/>
  <c r="F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B208" i="15"/>
  <c r="C208" i="15"/>
  <c r="D208" i="15"/>
  <c r="E208" i="15"/>
  <c r="F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F127" i="15"/>
  <c r="E127" i="15"/>
  <c r="D127" i="15"/>
  <c r="C127" i="15"/>
  <c r="B127" i="15"/>
  <c r="A127" i="15"/>
  <c r="F126" i="15"/>
  <c r="E126" i="15"/>
  <c r="D126" i="15"/>
  <c r="C126" i="15"/>
  <c r="B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C176" i="7"/>
  <c r="G174" i="7"/>
  <c r="F174" i="7"/>
  <c r="H174" i="7" s="1"/>
  <c r="C174" i="7"/>
  <c r="B174" i="7"/>
  <c r="G67" i="7"/>
  <c r="F67" i="7"/>
  <c r="H67" i="7" s="1"/>
  <c r="C67" i="7"/>
  <c r="B67" i="7"/>
  <c r="F66" i="7"/>
  <c r="H66" i="7" s="1"/>
  <c r="B66" i="7"/>
  <c r="F65" i="7"/>
  <c r="H65" i="7" s="1"/>
  <c r="B65" i="7"/>
  <c r="G246" i="5"/>
  <c r="G35" i="5"/>
  <c r="C289" i="7"/>
  <c r="B288" i="7"/>
  <c r="B285" i="7"/>
  <c r="G282" i="7"/>
  <c r="G281" i="7"/>
  <c r="C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F163" i="7"/>
  <c r="H163" i="7" s="1"/>
  <c r="C163" i="7"/>
  <c r="B163" i="7"/>
  <c r="G162" i="7"/>
  <c r="F162" i="7"/>
  <c r="H162" i="7" s="1"/>
  <c r="C162" i="7"/>
  <c r="B162" i="7"/>
  <c r="G161" i="7"/>
  <c r="F161" i="7"/>
  <c r="H161" i="7" s="1"/>
  <c r="C161" i="7"/>
  <c r="B161" i="7"/>
  <c r="G160" i="7"/>
  <c r="F160" i="7"/>
  <c r="H160" i="7" s="1"/>
  <c r="C160" i="7"/>
  <c r="B160" i="7"/>
  <c r="G159" i="7"/>
  <c r="F159" i="7"/>
  <c r="H159" i="7" s="1"/>
  <c r="C159" i="7"/>
  <c r="B159" i="7"/>
  <c r="G158" i="7"/>
  <c r="F158" i="7"/>
  <c r="H158" i="7" s="1"/>
  <c r="C158" i="7"/>
  <c r="B158" i="7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F147" i="7"/>
  <c r="H147" i="7" s="1"/>
  <c r="C147" i="7"/>
  <c r="B147" i="7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F106" i="7"/>
  <c r="H106" i="7" s="1"/>
  <c r="C106" i="7"/>
  <c r="B106" i="7"/>
  <c r="G105" i="7"/>
  <c r="F105" i="7"/>
  <c r="H105" i="7" s="1"/>
  <c r="C105" i="7"/>
  <c r="B105" i="7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C66" i="7"/>
  <c r="G65" i="7"/>
  <c r="C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C173" i="7"/>
  <c r="F173" i="7"/>
  <c r="H173" i="7" s="1"/>
  <c r="G173" i="7"/>
  <c r="A234" i="15"/>
  <c r="B234" i="15"/>
  <c r="C234" i="15"/>
  <c r="D234" i="15"/>
  <c r="E234" i="15"/>
  <c r="F234" i="15"/>
  <c r="B172" i="7"/>
  <c r="C172" i="7"/>
  <c r="F172" i="7"/>
  <c r="H172" i="7" s="1"/>
  <c r="G172" i="7"/>
  <c r="A233" i="15"/>
  <c r="B233" i="15"/>
  <c r="C233" i="15"/>
  <c r="D233" i="15"/>
  <c r="E233" i="15"/>
  <c r="F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C171" i="7"/>
  <c r="F171" i="7"/>
  <c r="H171" i="7" s="1"/>
  <c r="G171" i="7"/>
  <c r="A232" i="15"/>
  <c r="B232" i="15"/>
  <c r="C232" i="15"/>
  <c r="D232" i="15"/>
  <c r="E232" i="15"/>
  <c r="F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16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F30" i="7" l="1"/>
  <c r="B91" i="15"/>
  <c r="B90" i="15"/>
  <c r="F29" i="7"/>
  <c r="D152" i="8" s="1"/>
  <c r="E152" i="8" s="1"/>
  <c r="F27" i="7"/>
  <c r="B88" i="15"/>
  <c r="C30" i="7"/>
  <c r="C91" i="15" s="1"/>
  <c r="C29" i="7"/>
  <c r="C90" i="15" s="1"/>
  <c r="C27" i="7"/>
  <c r="C88" i="15" s="1"/>
  <c r="B96" i="15"/>
  <c r="F35" i="7"/>
  <c r="B95" i="15"/>
  <c r="F34" i="7"/>
  <c r="D161" i="8" s="1"/>
  <c r="E161" i="8" s="1"/>
  <c r="C34" i="7"/>
  <c r="C95" i="15" s="1"/>
  <c r="B94" i="15"/>
  <c r="F33" i="7"/>
  <c r="C33" i="7"/>
  <c r="C94" i="15" s="1"/>
  <c r="B93" i="15"/>
  <c r="F32" i="7"/>
  <c r="D153" i="8" s="1"/>
  <c r="E153" i="8" s="1"/>
  <c r="C32" i="7"/>
  <c r="C93" i="15" s="1"/>
  <c r="C35" i="7"/>
  <c r="C96" i="15" s="1"/>
  <c r="B92" i="15"/>
  <c r="F31" i="7"/>
  <c r="C31" i="7"/>
  <c r="C92" i="15" s="1"/>
  <c r="H30" i="7"/>
  <c r="F91" i="15"/>
  <c r="F28" i="7"/>
  <c r="C28" i="7"/>
  <c r="C89" i="15" s="1"/>
  <c r="F88" i="15"/>
  <c r="H27" i="7"/>
  <c r="H29" i="7"/>
  <c r="F90" i="15"/>
  <c r="D250" i="8"/>
  <c r="E250" i="8" s="1"/>
  <c r="D74" i="8"/>
  <c r="E74" i="8" s="1"/>
  <c r="B423" i="15"/>
  <c r="C74" i="13"/>
  <c r="C423" i="15" s="1"/>
  <c r="D423" i="15"/>
  <c r="F74" i="13"/>
  <c r="G74" i="13"/>
  <c r="C77" i="13"/>
  <c r="C426" i="15" s="1"/>
  <c r="B426" i="15"/>
  <c r="G77" i="13"/>
  <c r="F77" i="13"/>
  <c r="D426" i="15"/>
  <c r="C15" i="7"/>
  <c r="C76" i="15" s="1"/>
  <c r="F14" i="7"/>
  <c r="D458" i="8" s="1"/>
  <c r="E458" i="8" s="1"/>
  <c r="F19" i="7"/>
  <c r="G19" i="7"/>
  <c r="D160" i="15"/>
  <c r="G99" i="7"/>
  <c r="F99" i="7"/>
  <c r="F18" i="7"/>
  <c r="G18" i="7"/>
  <c r="F15" i="7"/>
  <c r="G15" i="7"/>
  <c r="G3" i="7"/>
  <c r="F3" i="7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G87" i="7"/>
  <c r="F87" i="7"/>
  <c r="D65" i="8" s="1"/>
  <c r="E65" i="8" s="1"/>
  <c r="G79" i="7"/>
  <c r="F79" i="7"/>
  <c r="D6" i="8" s="1"/>
  <c r="E6" i="8" s="1"/>
  <c r="G76" i="7"/>
  <c r="F76" i="7"/>
  <c r="D4" i="8" s="1"/>
  <c r="E4" i="8" s="1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D127" i="8" s="1"/>
  <c r="E127" i="8" s="1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H42" i="7" s="1"/>
  <c r="F40" i="7"/>
  <c r="H40" i="7" s="1"/>
  <c r="G50" i="7"/>
  <c r="C50" i="7"/>
  <c r="C111" i="15" s="1"/>
  <c r="G41" i="7"/>
  <c r="F41" i="7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D64" i="8" s="1"/>
  <c r="E64" i="8" s="1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D5" i="8" s="1"/>
  <c r="E5" i="8" s="1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G102" i="7"/>
  <c r="F51" i="7"/>
  <c r="H51" i="7" s="1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D394" i="8" s="1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2" i="8"/>
  <c r="D372" i="8"/>
  <c r="D370" i="8"/>
  <c r="D367" i="8"/>
  <c r="D362" i="8"/>
  <c r="E362" i="8" s="1"/>
  <c r="C246" i="8"/>
  <c r="D242" i="8"/>
  <c r="E242" i="8" s="1"/>
  <c r="D216" i="8"/>
  <c r="D215" i="8"/>
  <c r="D214" i="8"/>
  <c r="D213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D371" i="8" s="1"/>
  <c r="E371" i="8" s="1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D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1" i="8"/>
  <c r="E281" i="8" s="1"/>
  <c r="D280" i="8"/>
  <c r="E280" i="8" s="1"/>
  <c r="D279" i="8"/>
  <c r="E279" i="8" s="1"/>
  <c r="C278" i="8"/>
  <c r="C277" i="8"/>
  <c r="D277" i="8"/>
  <c r="E277" i="8" s="1"/>
  <c r="C276" i="8"/>
  <c r="D275" i="8"/>
  <c r="E275" i="8" s="1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D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D36" i="8"/>
  <c r="E36" i="8" s="1"/>
  <c r="C35" i="8"/>
  <c r="D35" i="8"/>
  <c r="E35" i="8" s="1"/>
  <c r="D34" i="8"/>
  <c r="E34" i="8" s="1"/>
  <c r="D33" i="8"/>
  <c r="E33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D246" i="8" s="1"/>
  <c r="C38" i="13"/>
  <c r="C387" i="15" s="1"/>
  <c r="G29" i="13"/>
  <c r="F29" i="13"/>
  <c r="C29" i="13"/>
  <c r="C378" i="15" s="1"/>
  <c r="D217" i="8"/>
  <c r="E217" i="8" s="1"/>
  <c r="F365" i="15"/>
  <c r="H16" i="13"/>
  <c r="F415" i="15"/>
  <c r="H66" i="13"/>
  <c r="F412" i="15"/>
  <c r="H63" i="13"/>
  <c r="C457" i="8"/>
  <c r="C431" i="8"/>
  <c r="D431" i="8"/>
  <c r="E431" i="8" s="1"/>
  <c r="C430" i="8"/>
  <c r="D430" i="8"/>
  <c r="E430" i="8" s="1"/>
  <c r="C429" i="8"/>
  <c r="D429" i="8"/>
  <c r="E429" i="8" s="1"/>
  <c r="C428" i="8"/>
  <c r="D428" i="8"/>
  <c r="E428" i="8" s="1"/>
  <c r="C427" i="8"/>
  <c r="D427" i="8"/>
  <c r="E427" i="8" s="1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D337" i="8"/>
  <c r="E337" i="8" s="1"/>
  <c r="C336" i="8"/>
  <c r="C335" i="8"/>
  <c r="D335" i="8"/>
  <c r="E335" i="8" s="1"/>
  <c r="C334" i="8"/>
  <c r="D334" i="8"/>
  <c r="E334" i="8" s="1"/>
  <c r="C333" i="8"/>
  <c r="D333" i="8"/>
  <c r="E333" i="8" s="1"/>
  <c r="C332" i="8"/>
  <c r="D332" i="8"/>
  <c r="E332" i="8" s="1"/>
  <c r="C311" i="8"/>
  <c r="D311" i="8"/>
  <c r="E311" i="8" s="1"/>
  <c r="D310" i="8"/>
  <c r="E310" i="8" s="1"/>
  <c r="C309" i="8"/>
  <c r="D309" i="8"/>
  <c r="E309" i="8" s="1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D249" i="8"/>
  <c r="E249" i="8" s="1"/>
  <c r="D248" i="8"/>
  <c r="E248" i="8" s="1"/>
  <c r="C247" i="8"/>
  <c r="D247" i="8"/>
  <c r="E247" i="8" s="1"/>
  <c r="C162" i="8"/>
  <c r="D162" i="8"/>
  <c r="E162" i="8" s="1"/>
  <c r="C161" i="8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C152" i="8"/>
  <c r="C130" i="8"/>
  <c r="D130" i="8"/>
  <c r="E130" i="8" s="1"/>
  <c r="C129" i="8"/>
  <c r="D129" i="8"/>
  <c r="E129" i="8" s="1"/>
  <c r="C128" i="8"/>
  <c r="D128" i="8"/>
  <c r="E128" i="8" s="1"/>
  <c r="C127" i="8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D70" i="8"/>
  <c r="E70" i="8" s="1"/>
  <c r="C69" i="8"/>
  <c r="D69" i="8"/>
  <c r="E69" i="8" s="1"/>
  <c r="C68" i="8"/>
  <c r="D68" i="8"/>
  <c r="E68" i="8" s="1"/>
  <c r="C67" i="8"/>
  <c r="D67" i="8"/>
  <c r="E67" i="8" s="1"/>
  <c r="D66" i="8"/>
  <c r="E66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D7" i="8"/>
  <c r="E7" i="8" s="1"/>
  <c r="C6" i="8"/>
  <c r="C5" i="8"/>
  <c r="C4" i="8"/>
  <c r="C3" i="8"/>
  <c r="C2" i="8"/>
  <c r="D2" i="8"/>
  <c r="E2" i="8" s="1"/>
  <c r="D369" i="8" l="1"/>
  <c r="E369" i="8" s="1"/>
  <c r="D401" i="8"/>
  <c r="E401" i="8" s="1"/>
  <c r="F96" i="15"/>
  <c r="H35" i="7"/>
  <c r="F95" i="15"/>
  <c r="H34" i="7"/>
  <c r="F94" i="15"/>
  <c r="H33" i="7"/>
  <c r="F93" i="15"/>
  <c r="H32" i="7"/>
  <c r="F92" i="15"/>
  <c r="H31" i="7"/>
  <c r="F89" i="15"/>
  <c r="H28" i="7"/>
  <c r="D365" i="8"/>
  <c r="E365" i="8" s="1"/>
  <c r="D460" i="8"/>
  <c r="E460" i="8" s="1"/>
  <c r="H74" i="13"/>
  <c r="F423" i="15"/>
  <c r="F426" i="15"/>
  <c r="H77" i="13"/>
  <c r="D425" i="8"/>
  <c r="E425" i="8" s="1"/>
  <c r="D461" i="8"/>
  <c r="E461" i="8" s="1"/>
  <c r="D364" i="8"/>
  <c r="E364" i="8" s="1"/>
  <c r="F75" i="15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367" i="8"/>
  <c r="E215" i="8"/>
  <c r="E246" i="8"/>
  <c r="E216" i="8"/>
  <c r="E213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452" i="8"/>
  <c r="E398" i="8"/>
  <c r="E363" i="8"/>
  <c r="E189" i="8"/>
  <c r="E396" i="8"/>
  <c r="E182" i="8"/>
  <c r="E187" i="8"/>
  <c r="E185" i="8"/>
  <c r="E190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Moretto</author>
  </authors>
  <commentList>
    <comment ref="C1" authorId="0" shapeId="0" xr:uid="{C9BD2AB1-B8EC-4D62-96EC-DDFB3031FB9A}">
      <text>
        <r>
          <rPr>
            <b/>
            <sz val="9"/>
            <color indexed="81"/>
            <rFont val="Tahoma"/>
            <family val="2"/>
          </rPr>
          <t>Modifica qui i punti: il sito ordina automaticamente la classifica dal valore più alto al più basso.</t>
        </r>
      </text>
    </comment>
  </commentList>
</comments>
</file>

<file path=xl/sharedStrings.xml><?xml version="1.0" encoding="utf-8"?>
<sst xmlns="http://schemas.openxmlformats.org/spreadsheetml/2006/main" count="906" uniqueCount="414">
  <si>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</si>
  <si>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</si>
  <si>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</si>
  <si>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</si>
  <si>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</si>
  <si>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</si>
  <si>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</si>
  <si>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</si>
  <si>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</si>
  <si>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</si>
  <si>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</si>
  <si>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</si>
  <si>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</si>
  <si>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</si>
  <si>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</si>
  <si>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</si>
  <si>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</si>
  <si>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</si>
  <si>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</si>
  <si>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</si>
  <si>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</si>
  <si>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</si>
  <si>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</si>
  <si>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</si>
  <si>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</si>
  <si>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</si>
  <si>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</si>
  <si>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</si>
  <si>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</si>
  <si>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</si>
  <si>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</si>
  <si>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</si>
  <si>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</si>
  <si>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</si>
  <si>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</si>
  <si>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</si>
  <si>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</si>
  <si>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</si>
  <si>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</si>
  <si>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</si>
  <si>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</si>
  <si>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</si>
  <si>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</si>
  <si>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</si>
  <si>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</si>
  <si>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</si>
  <si>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</si>
  <si>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</si>
  <si>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</si>
  <si>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</si>
  <si>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</si>
  <si>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</si>
  <si>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</si>
  <si>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</si>
  <si>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</si>
  <si>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</si>
  <si>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</si>
  <si>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</si>
  <si>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</si>
  <si>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</si>
  <si>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</si>
  <si>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</si>
  <si>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</si>
  <si>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</si>
  <si>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</si>
  <si>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</si>
  <si>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</si>
  <si>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</si>
  <si>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</si>
  <si>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</si>
  <si>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</si>
  <si>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</si>
  <si>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</si>
  <si>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</si>
  <si>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</si>
  <si>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</si>
  <si>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</si>
  <si>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</si>
  <si>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</si>
  <si>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</si>
  <si>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</si>
  <si>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</si>
  <si>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</si>
  <si>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</si>
  <si>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</si>
  <si>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</si>
  <si>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</si>
  <si>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</si>
  <si>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</si>
  <si>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</si>
  <si>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</si>
  <si>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</si>
  <si>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</si>
  <si>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</si>
  <si>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</si>
  <si>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</si>
  <si>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</si>
  <si>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</si>
  <si>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</si>
  <si>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</si>
  <si>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</si>
  <si>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</si>
  <si>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</si>
  <si>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</si>
  <si>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</si>
  <si>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</si>
  <si>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</si>
  <si>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</si>
  <si>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</si>
  <si>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</si>
  <si>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</si>
  <si>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</si>
  <si>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</si>
  <si>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</si>
  <si>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</si>
  <si>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</si>
  <si>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</si>
  <si>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</si>
  <si>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</si>
  <si>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</si>
  <si>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</si>
  <si>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</si>
  <si>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</si>
  <si>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</si>
  <si>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</si>
  <si>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</si>
  <si>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</si>
  <si>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</si>
  <si>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</si>
  <si>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</si>
  <si>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</si>
  <si>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</si>
  <si>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</si>
  <si>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</si>
  <si>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</si>
  <si>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</si>
  <si>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</si>
  <si>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</si>
  <si>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</si>
  <si>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</si>
  <si>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</si>
  <si>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</si>
  <si>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</si>
  <si>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</si>
  <si>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</si>
  <si>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FRANCESCO MARANGON</t>
  </si>
  <si>
    <t>NICOLA BRESCIANI</t>
  </si>
  <si>
    <t>ANGELO REDI</t>
  </si>
  <si>
    <t>TOMMASO PAVAN</t>
  </si>
  <si>
    <t>DAVIDE DELLA VOLPE</t>
  </si>
  <si>
    <t>ALESSIO MILAN</t>
  </si>
  <si>
    <t>AHMED ZOUZAF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</si>
  <si>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</si>
  <si>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</si>
  <si>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</si>
  <si>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</si>
  <si>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</si>
  <si>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</si>
  <si>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</si>
  <si>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</si>
  <si>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</si>
  <si>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</si>
  <si>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</si>
  <si>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</si>
  <si>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</si>
  <si>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</si>
  <si>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</si>
  <si>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</si>
  <si>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</si>
  <si>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</si>
  <si>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</si>
  <si>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MATTEO BARTOLOMEI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</si>
  <si>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</si>
  <si>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</si>
  <si>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</si>
  <si>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</si>
  <si>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</si>
  <si>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</si>
  <si>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</si>
  <si>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</si>
  <si>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HAMZA AGRIBI</t>
  </si>
  <si>
    <t>MARCO CASAROTTI</t>
  </si>
  <si>
    <t>ELIA NAGLIERI</t>
  </si>
  <si>
    <t>LUCA PAPARELLA</t>
  </si>
  <si>
    <t>MATTEO TOSETTI</t>
  </si>
  <si>
    <t>GIANLUCA FREZZATI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</si>
  <si>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</si>
  <si>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</si>
  <si>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</si>
  <si>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</si>
  <si>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</si>
  <si>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</si>
  <si>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</si>
  <si>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</si>
  <si>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</si>
  <si>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</si>
  <si>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</si>
  <si>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</si>
  <si>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</si>
  <si>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</si>
  <si>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</si>
  <si>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</si>
  <si>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</si>
  <si>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</si>
  <si>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</si>
  <si>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</si>
  <si>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</si>
  <si>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</si>
  <si>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</si>
  <si>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</si>
  <si>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</si>
  <si>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</si>
  <si>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</si>
  <si>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</si>
  <si>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</si>
  <si>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</si>
  <si>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</si>
  <si>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</si>
  <si>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</si>
  <si>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</si>
  <si>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</si>
  <si>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</si>
  <si>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</si>
  <si>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</si>
  <si>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</si>
  <si>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</si>
  <si>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</si>
  <si>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</si>
  <si>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</si>
  <si>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</si>
  <si>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</si>
  <si>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</si>
  <si>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</si>
  <si>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</si>
  <si>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</si>
  <si>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</si>
  <si>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</si>
  <si>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</si>
  <si>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</si>
  <si>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</si>
  <si>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</si>
  <si>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</si>
  <si>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</si>
  <si>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</si>
  <si>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</si>
  <si>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</si>
  <si>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</si>
  <si>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</si>
  <si>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</si>
  <si>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</si>
  <si>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</si>
  <si>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</si>
  <si>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</si>
  <si>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</si>
  <si>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</si>
  <si>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</si>
  <si>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</si>
  <si>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</si>
  <si>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</si>
  <si>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</si>
  <si>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</si>
  <si>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</si>
  <si>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</si>
  <si>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</si>
  <si>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</si>
  <si>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</si>
  <si>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</si>
  <si>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</si>
  <si>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</si>
  <si>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</si>
  <si>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</si>
  <si>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</si>
  <si>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</si>
  <si>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</si>
  <si>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</si>
  <si>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</si>
  <si>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</si>
  <si>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</si>
  <si>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</si>
  <si>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</si>
  <si>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</si>
  <si>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</si>
  <si>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</si>
  <si>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</si>
  <si>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</si>
  <si>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</si>
  <si>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</si>
  <si>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</si>
  <si>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</si>
  <si>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</si>
  <si>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</si>
  <si>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</si>
  <si>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</si>
  <si>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</si>
  <si>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</si>
  <si>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</si>
  <si>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</si>
  <si>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</si>
  <si>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</si>
  <si>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</si>
  <si>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</si>
  <si>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</si>
  <si>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</si>
  <si>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</si>
  <si>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</si>
  <si>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</si>
  <si>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</si>
  <si>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</si>
  <si>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</si>
  <si>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</si>
  <si>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</si>
  <si>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</si>
  <si>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</si>
  <si>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</si>
  <si>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</si>
  <si>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</si>
  <si>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</si>
  <si>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</si>
  <si>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</si>
  <si>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</si>
  <si>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</si>
  <si>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</si>
  <si>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</si>
  <si>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</si>
  <si>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</si>
  <si>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</si>
  <si>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</si>
  <si>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</si>
  <si>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</si>
  <si>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</si>
  <si>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</si>
  <si>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</si>
  <si>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</si>
  <si>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</si>
  <si>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</si>
  <si>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</si>
  <si>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</si>
  <si>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</si>
  <si>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</si>
  <si>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</si>
  <si>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</si>
  <si>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</si>
  <si>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</si>
  <si>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</si>
  <si>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</si>
  <si>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</si>
  <si>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</si>
  <si>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</si>
  <si>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</si>
  <si>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</si>
  <si>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</si>
  <si>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</si>
  <si>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</si>
  <si>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</si>
  <si>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</si>
  <si>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</si>
  <si>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</si>
  <si>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</si>
  <si>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</si>
  <si>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</si>
  <si>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</si>
  <si>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</si>
  <si>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</si>
  <si>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</si>
  <si>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</si>
  <si>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</si>
  <si>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</si>
  <si>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</si>
  <si>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</si>
  <si>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</si>
  <si>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</si>
  <si>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</si>
  <si>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</si>
  <si>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</si>
  <si>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</si>
  <si>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</si>
  <si>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</si>
  <si>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</si>
  <si>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</si>
  <si>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</si>
  <si>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</si>
  <si>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</si>
  <si>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</si>
  <si>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</si>
  <si>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</si>
  <si>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</si>
  <si>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</si>
  <si>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2026-06-28</t>
  </si>
  <si>
    <t>Nome</t>
  </si>
  <si>
    <t>Cognome</t>
  </si>
  <si>
    <t>Punti</t>
  </si>
  <si>
    <t>SAMUELE DURRA</t>
  </si>
  <si>
    <t>MATTEO COL</t>
  </si>
  <si>
    <t>DANIIL YAKIMENKO</t>
  </si>
  <si>
    <t>MATTIA MERLO</t>
  </si>
  <si>
    <t>EDDY MAZZETTO</t>
  </si>
  <si>
    <t>NICO PAVANI</t>
  </si>
  <si>
    <t>ANDREI BARZAGHIDEANU</t>
  </si>
  <si>
    <t>TOMMASO ZANGIROLAMI</t>
  </si>
  <si>
    <t>ELIA SICCHIERO</t>
  </si>
  <si>
    <t>NICCOLO' PALTANIN</t>
  </si>
  <si>
    <t>MATTEO BOLZANI</t>
  </si>
  <si>
    <t>ALEX MENEGHELLO</t>
  </si>
  <si>
    <t>21 - LUCA CECCONELLO</t>
  </si>
  <si>
    <t>5 - NICOLA BRESCIANI</t>
  </si>
  <si>
    <t>3 - MATTEO ZAMBERLAN</t>
  </si>
  <si>
    <t>17 - DOMENICO IACOVINO</t>
  </si>
  <si>
    <t>7 - DENIS TIMPANARO</t>
  </si>
  <si>
    <t>Goal</t>
  </si>
  <si>
    <t>8 - MATTIA AYRTON MARIOTTO</t>
  </si>
  <si>
    <t>10 - DAVIDE ZAGHI (C)</t>
  </si>
  <si>
    <t>20 - MATTEO DALL'ARA</t>
  </si>
  <si>
    <t>5 - JACOPO VOLTOLINA</t>
  </si>
  <si>
    <t>8 - LEONARDO FUSCO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</si>
</sst>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10" x14ac:knownFonts="1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  <font>
      <b/>
      <sz val="11"/>
      <color rgb="FFFFFF00"/>
      <name val="Carlito"/>
      <family val="2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  <fill>
      <patternFill patternType="solid">
        <fgColor rgb="FF000500"/>
        <bgColor indexed="64"/>
      </patternFill>
    </fill>
    <fill>
      <patternFill patternType="solid">
        <fgColor rgb="FFE0F2FF"/>
        <bgColor indexed="64"/>
      </patternFill>
    </fill>
  </fills>
  <borders count="3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8" fillId="10" borderId="0" xfId="0" applyFont="1" applyFill="1" applyAlignment="1">
      <alignment horizontal="center"/>
    </xf>
    <xf numFmtId="0" fontId="0" fillId="11" borderId="2" xfId="0" applyFill="1" applyBorder="1"/>
    <xf numFmtId="1" fontId="0" fillId="11" borderId="2" xfId="0" applyNumberFormat="1" applyFill="1" applyBorder="1" applyAlignment="1">
      <alignment horizontal="center"/>
    </xf>
    <xf numFmtId="0" fontId="5" fillId="7" borderId="0" xfId="0" applyFont="1" applyFill="1" applyAlignment="1">
      <alignment horizontal="center" vertical="center"/>
    </xf>
    <xf numFmtId="0" fontId="0" fillId="0" borderId="0" xfId="0"/>
    <xf numFmtId="0" fontId="4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E11" sqref="E11"/>
    </sheetView>
  </sheetViews>
  <sheetFormatPr defaultRowHeight="14.4" x14ac:dyDescent="0.3"/>
  <cols>
    <col min="1" max="1" width="71.21875" customWidth="1"/>
    <col min="2" max="2" width="38" customWidth="1"/>
  </cols>
  <sheetData>
    <row r="1" spans="1:26" ht="21" customHeight="1" x14ac:dyDescent="0.3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 x14ac:dyDescent="0.3">
      <c r="A3" s="1" t="s">
        <v>41</v>
      </c>
    </row>
    <row r="5" spans="1:26" x14ac:dyDescent="0.3">
      <c r="A5" s="1" t="s">
        <v>42</v>
      </c>
      <c r="B5" s="1">
        <v>3</v>
      </c>
    </row>
    <row r="6" spans="1:26" x14ac:dyDescent="0.3">
      <c r="A6" s="1" t="s">
        <v>43</v>
      </c>
      <c r="B6" s="1">
        <v>2</v>
      </c>
    </row>
    <row r="7" spans="1:26" x14ac:dyDescent="0.3">
      <c r="A7" s="1" t="s">
        <v>44</v>
      </c>
      <c r="B7" s="1">
        <v>1</v>
      </c>
    </row>
    <row r="8" spans="1:26" x14ac:dyDescent="0.3">
      <c r="A8" s="1" t="s">
        <v>45</v>
      </c>
      <c r="B8" s="1">
        <v>0</v>
      </c>
    </row>
    <row r="9" spans="1:26" x14ac:dyDescent="0.3">
      <c r="A9" s="1" t="s">
        <v>46</v>
      </c>
      <c r="B9" s="1" t="s">
        <v>47</v>
      </c>
    </row>
    <row r="10" spans="1:26" ht="28.8" customHeight="1" x14ac:dyDescent="0.3">
      <c r="A10" s="1" t="s">
        <v>48</v>
      </c>
      <c r="B10" s="1" t="s">
        <v>49</v>
      </c>
    </row>
    <row r="11" spans="1:26" x14ac:dyDescent="0.3">
      <c r="A11" s="1" t="s">
        <v>50</v>
      </c>
      <c r="B11" s="1" t="s">
        <v>51</v>
      </c>
    </row>
    <row r="12" spans="1:26" ht="28.8" customHeight="1" x14ac:dyDescent="0.3">
      <c r="A12" s="1" t="s">
        <v>52</v>
      </c>
      <c r="B12" s="1" t="s">
        <v>53</v>
      </c>
    </row>
    <row r="14" spans="1:26" x14ac:dyDescent="0.3">
      <c r="A14" t="s">
        <v>54</v>
      </c>
      <c r="B14" t="s">
        <v>55</v>
      </c>
    </row>
    <row r="15" spans="1:26" x14ac:dyDescent="0.3">
      <c r="A15" t="s">
        <v>56</v>
      </c>
      <c r="B15" t="s">
        <v>57</v>
      </c>
    </row>
    <row r="16" spans="1:26" x14ac:dyDescent="0.3">
      <c r="A16" t="s">
        <v>58</v>
      </c>
      <c r="B16" t="s">
        <v>59</v>
      </c>
    </row>
    <row r="17" spans="1:6" x14ac:dyDescent="0.3">
      <c r="A17" t="s">
        <v>60</v>
      </c>
      <c r="B17" t="s">
        <v>61</v>
      </c>
    </row>
    <row r="18" spans="1:6" x14ac:dyDescent="0.3">
      <c r="A18" t="s">
        <v>62</v>
      </c>
    </row>
    <row r="19" spans="1:6" x14ac:dyDescent="0.3">
      <c r="A19" s="21"/>
      <c r="B19" s="21"/>
      <c r="C19" s="21"/>
      <c r="D19" s="21"/>
      <c r="E19" s="21"/>
      <c r="F19" s="21"/>
    </row>
    <row r="20" spans="1:6" x14ac:dyDescent="0.3">
      <c r="A20" s="21"/>
      <c r="B20" s="21"/>
      <c r="C20" s="21"/>
      <c r="D20" s="21"/>
      <c r="E20" s="21"/>
      <c r="F20" s="21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C11" sqref="C11"/>
    </sheetView>
  </sheetViews>
  <sheetFormatPr defaultRowHeight="14.4" x14ac:dyDescent="0.3"/>
  <cols>
    <col min="1" max="2" width="24" customWidth="1"/>
  </cols>
  <sheetData>
    <row r="1" spans="1:26" x14ac:dyDescent="0.3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65</v>
      </c>
      <c r="B2">
        <v>3</v>
      </c>
    </row>
    <row r="3" spans="1:26" x14ac:dyDescent="0.3">
      <c r="A3" t="s">
        <v>66</v>
      </c>
      <c r="B3">
        <v>2</v>
      </c>
    </row>
    <row r="4" spans="1:26" x14ac:dyDescent="0.3">
      <c r="A4" t="s">
        <v>67</v>
      </c>
      <c r="B4">
        <v>1</v>
      </c>
    </row>
    <row r="5" spans="1:26" x14ac:dyDescent="0.3">
      <c r="A5" t="s">
        <v>68</v>
      </c>
      <c r="B5">
        <v>0</v>
      </c>
    </row>
    <row r="6" spans="1:26" x14ac:dyDescent="0.3">
      <c r="A6" t="s">
        <v>69</v>
      </c>
      <c r="B6">
        <v>12</v>
      </c>
    </row>
    <row r="7" spans="1:26" x14ac:dyDescent="0.3">
      <c r="A7" t="s">
        <v>386</v>
      </c>
      <c r="B7" s="16" t="s">
        <v>387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D2" sqref="D2"/>
    </sheetView>
  </sheetViews>
  <sheetFormatPr defaultRowHeight="14.4" x14ac:dyDescent="0.3"/>
  <cols>
    <col min="1" max="4" width="24" customWidth="1"/>
  </cols>
  <sheetData>
    <row r="1" spans="1:26" x14ac:dyDescent="0.3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 x14ac:dyDescent="0.3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 x14ac:dyDescent="0.3">
      <c r="A4" t="s">
        <v>9</v>
      </c>
      <c r="B4" t="s">
        <v>5</v>
      </c>
      <c r="C4" t="s">
        <v>10</v>
      </c>
      <c r="D4">
        <f>COUNTIF(Players!$B$2:$B$481,A4)</f>
        <v>13</v>
      </c>
    </row>
    <row r="5" spans="1:26" x14ac:dyDescent="0.3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 x14ac:dyDescent="0.3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 x14ac:dyDescent="0.3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 x14ac:dyDescent="0.3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 x14ac:dyDescent="0.3">
      <c r="A9" t="s">
        <v>20</v>
      </c>
      <c r="B9" t="s">
        <v>14</v>
      </c>
      <c r="C9" t="s">
        <v>21</v>
      </c>
      <c r="D9">
        <f>COUNTIF(Players!$B$2:$B$481,A9)</f>
        <v>6</v>
      </c>
    </row>
    <row r="10" spans="1:26" x14ac:dyDescent="0.3">
      <c r="A10" t="s">
        <v>22</v>
      </c>
      <c r="B10" t="s">
        <v>23</v>
      </c>
      <c r="C10" t="s">
        <v>24</v>
      </c>
      <c r="D10">
        <f>COUNTIF(Players!$B$2:$B$481,A10)</f>
        <v>9</v>
      </c>
    </row>
    <row r="11" spans="1:26" x14ac:dyDescent="0.3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 x14ac:dyDescent="0.3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 x14ac:dyDescent="0.3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 x14ac:dyDescent="0.3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 x14ac:dyDescent="0.3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 x14ac:dyDescent="0.3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 x14ac:dyDescent="0.3">
      <c r="A17" t="s">
        <v>38</v>
      </c>
      <c r="B17" t="s">
        <v>32</v>
      </c>
      <c r="C17" t="s">
        <v>39</v>
      </c>
      <c r="D17">
        <f>COUNTIF(Players!$B$2:$B$481,A17)</f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workbookViewId="0">
      <pane ySplit="2" topLeftCell="A3" activePane="bottomLeft" state="frozen"/>
      <selection pane="bottomLeft" activeCell="D3" sqref="D3"/>
    </sheetView>
  </sheetViews>
  <sheetFormatPr defaultRowHeight="14.4" x14ac:dyDescent="0.3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 x14ac:dyDescent="0.3">
      <c r="A1" s="20" t="s">
        <v>70</v>
      </c>
      <c r="B1" s="21"/>
      <c r="C1" s="21"/>
      <c r="D1" s="20" t="s">
        <v>71</v>
      </c>
      <c r="E1" s="21"/>
      <c r="F1" s="21"/>
      <c r="G1" s="20" t="s">
        <v>72</v>
      </c>
      <c r="H1" s="21"/>
      <c r="I1" s="21"/>
      <c r="J1" s="20" t="s">
        <v>73</v>
      </c>
      <c r="K1" s="21"/>
      <c r="L1" s="21"/>
      <c r="M1" s="20" t="s">
        <v>74</v>
      </c>
      <c r="N1" s="21"/>
      <c r="O1" s="21"/>
      <c r="P1" s="20" t="s">
        <v>75</v>
      </c>
      <c r="Q1" s="21"/>
      <c r="R1" s="21"/>
      <c r="S1" s="20" t="s">
        <v>76</v>
      </c>
      <c r="T1" s="21"/>
      <c r="U1" s="21"/>
      <c r="V1" s="20" t="s">
        <v>77</v>
      </c>
      <c r="W1" s="21"/>
      <c r="X1" s="21"/>
      <c r="Y1" s="20" t="s">
        <v>78</v>
      </c>
      <c r="Z1" s="21"/>
      <c r="AA1" s="21"/>
      <c r="AB1" s="20" t="s">
        <v>79</v>
      </c>
      <c r="AC1" s="21"/>
      <c r="AD1" s="21"/>
      <c r="AE1" s="20" t="s">
        <v>80</v>
      </c>
      <c r="AF1" s="21"/>
      <c r="AG1" s="21"/>
      <c r="AH1" s="20" t="s">
        <v>81</v>
      </c>
      <c r="AI1" s="21"/>
      <c r="AJ1" s="21"/>
      <c r="AK1" s="20" t="s">
        <v>82</v>
      </c>
      <c r="AL1" s="21"/>
      <c r="AM1" s="21"/>
      <c r="AN1" s="20" t="s">
        <v>83</v>
      </c>
      <c r="AO1" s="21"/>
      <c r="AP1" s="21"/>
      <c r="AQ1" s="20" t="s">
        <v>84</v>
      </c>
      <c r="AR1" s="21"/>
      <c r="AS1" s="21"/>
      <c r="AT1" s="20" t="s">
        <v>85</v>
      </c>
      <c r="AU1" s="21"/>
      <c r="AV1" s="21"/>
    </row>
    <row r="2" spans="1:48" x14ac:dyDescent="0.3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 x14ac:dyDescent="0.3">
      <c r="A3" s="15">
        <v>1</v>
      </c>
      <c r="B3" s="15" t="s">
        <v>89</v>
      </c>
      <c r="C3" s="15" t="s">
        <v>90</v>
      </c>
      <c r="D3" s="15"/>
      <c r="E3" s="15" t="s">
        <v>91</v>
      </c>
      <c r="F3" s="15" t="s">
        <v>90</v>
      </c>
      <c r="G3" s="15"/>
      <c r="H3" s="15" t="s">
        <v>394</v>
      </c>
      <c r="I3" s="15" t="s">
        <v>90</v>
      </c>
      <c r="J3" s="15">
        <v>1</v>
      </c>
      <c r="K3" s="15" t="s">
        <v>92</v>
      </c>
      <c r="L3" s="15" t="s">
        <v>90</v>
      </c>
      <c r="M3" s="15">
        <v>5</v>
      </c>
      <c r="N3" s="15" t="s">
        <v>93</v>
      </c>
      <c r="O3" s="15" t="s">
        <v>90</v>
      </c>
      <c r="P3" s="15">
        <v>10</v>
      </c>
      <c r="Q3" s="15" t="s">
        <v>94</v>
      </c>
      <c r="R3" s="15" t="s">
        <v>108</v>
      </c>
      <c r="S3" s="15">
        <v>1</v>
      </c>
      <c r="T3" s="15" t="s">
        <v>95</v>
      </c>
      <c r="U3" s="15" t="s">
        <v>90</v>
      </c>
      <c r="V3" s="15">
        <v>4</v>
      </c>
      <c r="W3" s="15" t="s">
        <v>96</v>
      </c>
      <c r="X3" s="15" t="s">
        <v>90</v>
      </c>
      <c r="Y3" s="15">
        <v>1</v>
      </c>
      <c r="Z3" s="15" t="s">
        <v>97</v>
      </c>
      <c r="AA3" s="15" t="s">
        <v>90</v>
      </c>
      <c r="AB3" s="15">
        <v>4</v>
      </c>
      <c r="AC3" s="15" t="s">
        <v>98</v>
      </c>
      <c r="AD3" s="15" t="s">
        <v>90</v>
      </c>
      <c r="AE3" s="15">
        <v>1</v>
      </c>
      <c r="AF3" s="15" t="s">
        <v>99</v>
      </c>
      <c r="AG3" s="15" t="s">
        <v>90</v>
      </c>
      <c r="AH3" s="15">
        <v>4</v>
      </c>
      <c r="AI3" s="15" t="s">
        <v>100</v>
      </c>
      <c r="AJ3" s="15" t="s">
        <v>90</v>
      </c>
      <c r="AK3" s="15">
        <v>1</v>
      </c>
      <c r="AL3" s="15" t="s">
        <v>101</v>
      </c>
      <c r="AM3" s="15" t="s">
        <v>90</v>
      </c>
      <c r="AN3" s="15">
        <v>1</v>
      </c>
      <c r="AO3" s="15" t="s">
        <v>102</v>
      </c>
      <c r="AP3" s="15" t="s">
        <v>90</v>
      </c>
      <c r="AQ3" s="15">
        <v>1</v>
      </c>
      <c r="AR3" s="15" t="s">
        <v>103</v>
      </c>
      <c r="AS3" s="15" t="s">
        <v>90</v>
      </c>
      <c r="AT3" s="15">
        <v>1</v>
      </c>
      <c r="AU3" s="15" t="s">
        <v>104</v>
      </c>
      <c r="AV3" s="15" t="s">
        <v>90</v>
      </c>
    </row>
    <row r="4" spans="1:48" x14ac:dyDescent="0.3">
      <c r="A4" s="15">
        <v>4</v>
      </c>
      <c r="B4" s="15" t="s">
        <v>105</v>
      </c>
      <c r="C4" s="15" t="s">
        <v>90</v>
      </c>
      <c r="D4" s="15"/>
      <c r="E4" s="15" t="s">
        <v>106</v>
      </c>
      <c r="F4" s="15" t="s">
        <v>90</v>
      </c>
      <c r="G4" s="15"/>
      <c r="H4" s="15" t="s">
        <v>107</v>
      </c>
      <c r="I4" s="15" t="s">
        <v>108</v>
      </c>
      <c r="J4" s="15">
        <v>4</v>
      </c>
      <c r="K4" s="15" t="s">
        <v>109</v>
      </c>
      <c r="L4" s="15" t="s">
        <v>90</v>
      </c>
      <c r="M4" s="15">
        <v>6</v>
      </c>
      <c r="N4" s="15" t="s">
        <v>110</v>
      </c>
      <c r="O4" s="15" t="s">
        <v>90</v>
      </c>
      <c r="P4" s="15">
        <v>5</v>
      </c>
      <c r="Q4" s="15" t="s">
        <v>111</v>
      </c>
      <c r="R4" s="15" t="s">
        <v>90</v>
      </c>
      <c r="S4" s="15">
        <v>2</v>
      </c>
      <c r="T4" s="15" t="s">
        <v>112</v>
      </c>
      <c r="U4" s="15" t="s">
        <v>90</v>
      </c>
      <c r="V4" s="15">
        <v>10</v>
      </c>
      <c r="W4" s="15" t="s">
        <v>113</v>
      </c>
      <c r="X4" s="15" t="s">
        <v>108</v>
      </c>
      <c r="Y4" s="15">
        <v>3</v>
      </c>
      <c r="Z4" s="15" t="s">
        <v>114</v>
      </c>
      <c r="AA4" s="15" t="s">
        <v>90</v>
      </c>
      <c r="AB4" s="15">
        <v>7</v>
      </c>
      <c r="AC4" s="15" t="s">
        <v>399</v>
      </c>
      <c r="AD4" s="15" t="s">
        <v>90</v>
      </c>
      <c r="AE4" s="15">
        <v>2</v>
      </c>
      <c r="AF4" s="15" t="s">
        <v>115</v>
      </c>
      <c r="AG4" s="15" t="s">
        <v>90</v>
      </c>
      <c r="AH4" s="15">
        <v>5</v>
      </c>
      <c r="AI4" s="15" t="s">
        <v>116</v>
      </c>
      <c r="AJ4" s="15" t="s">
        <v>90</v>
      </c>
      <c r="AK4" s="15">
        <v>3</v>
      </c>
      <c r="AL4" s="15" t="s">
        <v>117</v>
      </c>
      <c r="AM4" s="15" t="s">
        <v>90</v>
      </c>
      <c r="AN4" s="15">
        <v>2</v>
      </c>
      <c r="AO4" s="15" t="s">
        <v>118</v>
      </c>
      <c r="AP4" s="15" t="s">
        <v>90</v>
      </c>
      <c r="AQ4" s="15">
        <v>3</v>
      </c>
      <c r="AR4" s="15" t="s">
        <v>119</v>
      </c>
      <c r="AS4" s="15" t="s">
        <v>90</v>
      </c>
      <c r="AT4" s="15">
        <v>2</v>
      </c>
      <c r="AU4" s="15" t="s">
        <v>120</v>
      </c>
      <c r="AV4" s="15" t="s">
        <v>90</v>
      </c>
    </row>
    <row r="5" spans="1:48" x14ac:dyDescent="0.3">
      <c r="A5" s="15">
        <v>5</v>
      </c>
      <c r="B5" s="15" t="s">
        <v>121</v>
      </c>
      <c r="C5" s="15" t="s">
        <v>90</v>
      </c>
      <c r="D5" s="15"/>
      <c r="E5" s="15" t="s">
        <v>122</v>
      </c>
      <c r="F5" s="15" t="s">
        <v>90</v>
      </c>
      <c r="G5" s="15"/>
      <c r="H5" s="15" t="s">
        <v>123</v>
      </c>
      <c r="I5" s="15" t="s">
        <v>90</v>
      </c>
      <c r="J5" s="15">
        <v>6</v>
      </c>
      <c r="K5" s="15" t="s">
        <v>124</v>
      </c>
      <c r="L5" s="15" t="s">
        <v>90</v>
      </c>
      <c r="M5" s="15">
        <v>7</v>
      </c>
      <c r="N5" s="15" t="s">
        <v>125</v>
      </c>
      <c r="O5" s="15" t="s">
        <v>90</v>
      </c>
      <c r="P5" s="15">
        <v>3</v>
      </c>
      <c r="Q5" s="15" t="s">
        <v>126</v>
      </c>
      <c r="R5" s="15" t="s">
        <v>90</v>
      </c>
      <c r="S5" s="15">
        <v>5</v>
      </c>
      <c r="T5" s="15" t="s">
        <v>127</v>
      </c>
      <c r="U5" s="15" t="s">
        <v>90</v>
      </c>
      <c r="V5" s="15">
        <v>11</v>
      </c>
      <c r="W5" s="15" t="s">
        <v>128</v>
      </c>
      <c r="X5" s="15" t="s">
        <v>90</v>
      </c>
      <c r="Y5" s="15">
        <v>4</v>
      </c>
      <c r="Z5" s="15" t="s">
        <v>129</v>
      </c>
      <c r="AA5" s="15" t="s">
        <v>108</v>
      </c>
      <c r="AB5" s="15">
        <v>9</v>
      </c>
      <c r="AC5" s="15" t="s">
        <v>130</v>
      </c>
      <c r="AD5" s="15" t="s">
        <v>90</v>
      </c>
      <c r="AE5" s="15">
        <v>7</v>
      </c>
      <c r="AF5" s="15" t="s">
        <v>131</v>
      </c>
      <c r="AG5" s="15" t="s">
        <v>90</v>
      </c>
      <c r="AH5" s="15">
        <v>7</v>
      </c>
      <c r="AI5" s="15" t="s">
        <v>132</v>
      </c>
      <c r="AJ5" s="15" t="s">
        <v>90</v>
      </c>
      <c r="AK5" s="15">
        <v>4</v>
      </c>
      <c r="AL5" s="15" t="s">
        <v>133</v>
      </c>
      <c r="AM5" s="15" t="s">
        <v>90</v>
      </c>
      <c r="AN5" s="15">
        <v>4</v>
      </c>
      <c r="AO5" s="15" t="s">
        <v>134</v>
      </c>
      <c r="AP5" s="15" t="s">
        <v>90</v>
      </c>
      <c r="AQ5" s="15">
        <v>4</v>
      </c>
      <c r="AR5" s="15" t="s">
        <v>135</v>
      </c>
      <c r="AS5" s="15" t="s">
        <v>90</v>
      </c>
      <c r="AT5" s="15">
        <v>3</v>
      </c>
      <c r="AU5" s="15" t="s">
        <v>136</v>
      </c>
      <c r="AV5" s="15" t="s">
        <v>90</v>
      </c>
    </row>
    <row r="6" spans="1:48" x14ac:dyDescent="0.3">
      <c r="A6" s="15">
        <v>7</v>
      </c>
      <c r="B6" s="15" t="s">
        <v>137</v>
      </c>
      <c r="C6" s="15" t="s">
        <v>90</v>
      </c>
      <c r="D6" s="15"/>
      <c r="E6" s="15" t="s">
        <v>393</v>
      </c>
      <c r="F6" s="15" t="s">
        <v>90</v>
      </c>
      <c r="G6" s="15"/>
      <c r="H6" s="15" t="s">
        <v>138</v>
      </c>
      <c r="I6" s="15" t="s">
        <v>90</v>
      </c>
      <c r="J6" s="15">
        <v>7</v>
      </c>
      <c r="K6" s="15" t="s">
        <v>139</v>
      </c>
      <c r="L6" s="15" t="s">
        <v>90</v>
      </c>
      <c r="M6" s="15">
        <v>9</v>
      </c>
      <c r="N6" s="15" t="s">
        <v>140</v>
      </c>
      <c r="O6" s="15" t="s">
        <v>90</v>
      </c>
      <c r="P6" s="15">
        <v>20</v>
      </c>
      <c r="Q6" s="15" t="s">
        <v>141</v>
      </c>
      <c r="R6" s="15" t="s">
        <v>90</v>
      </c>
      <c r="S6" s="15">
        <v>7</v>
      </c>
      <c r="T6" s="15" t="s">
        <v>142</v>
      </c>
      <c r="U6" s="15" t="s">
        <v>90</v>
      </c>
      <c r="V6" s="15">
        <v>14</v>
      </c>
      <c r="W6" s="15" t="s">
        <v>143</v>
      </c>
      <c r="X6" s="15" t="s">
        <v>90</v>
      </c>
      <c r="Y6" s="15">
        <v>5</v>
      </c>
      <c r="Z6" s="15" t="s">
        <v>144</v>
      </c>
      <c r="AA6" s="15" t="s">
        <v>90</v>
      </c>
      <c r="AB6" s="15">
        <v>10</v>
      </c>
      <c r="AC6" s="15" t="s">
        <v>400</v>
      </c>
      <c r="AD6" s="15" t="s">
        <v>90</v>
      </c>
      <c r="AE6" s="15">
        <v>8</v>
      </c>
      <c r="AF6" s="15" t="s">
        <v>145</v>
      </c>
      <c r="AG6" s="15" t="s">
        <v>90</v>
      </c>
      <c r="AH6" s="15">
        <v>8</v>
      </c>
      <c r="AI6" s="15" t="s">
        <v>402</v>
      </c>
      <c r="AJ6" s="15" t="s">
        <v>90</v>
      </c>
      <c r="AK6" s="15">
        <v>5</v>
      </c>
      <c r="AL6" s="15" t="s">
        <v>146</v>
      </c>
      <c r="AM6" s="15" t="s">
        <v>90</v>
      </c>
      <c r="AN6" s="15">
        <v>7</v>
      </c>
      <c r="AO6" s="15" t="s">
        <v>147</v>
      </c>
      <c r="AP6" s="15" t="s">
        <v>90</v>
      </c>
      <c r="AQ6" s="15">
        <v>5</v>
      </c>
      <c r="AR6" s="15" t="s">
        <v>148</v>
      </c>
      <c r="AS6" s="15" t="s">
        <v>90</v>
      </c>
      <c r="AT6" s="15">
        <v>4</v>
      </c>
      <c r="AU6" s="15" t="s">
        <v>149</v>
      </c>
      <c r="AV6" s="15" t="s">
        <v>108</v>
      </c>
    </row>
    <row r="7" spans="1:48" x14ac:dyDescent="0.3">
      <c r="A7" s="15">
        <v>8</v>
      </c>
      <c r="B7" s="15" t="s">
        <v>150</v>
      </c>
      <c r="C7" s="15" t="s">
        <v>90</v>
      </c>
      <c r="D7" s="15"/>
      <c r="E7" s="15" t="s">
        <v>151</v>
      </c>
      <c r="F7" s="15" t="s">
        <v>90</v>
      </c>
      <c r="G7" s="15"/>
      <c r="H7" s="15" t="s">
        <v>395</v>
      </c>
      <c r="I7" s="15" t="s">
        <v>90</v>
      </c>
      <c r="J7" s="15">
        <v>8</v>
      </c>
      <c r="K7" s="15" t="s">
        <v>152</v>
      </c>
      <c r="L7" s="15" t="s">
        <v>90</v>
      </c>
      <c r="M7" s="15">
        <v>10</v>
      </c>
      <c r="N7" s="15" t="s">
        <v>153</v>
      </c>
      <c r="O7" s="15" t="s">
        <v>108</v>
      </c>
      <c r="P7" s="15">
        <v>8</v>
      </c>
      <c r="Q7" s="15" t="s">
        <v>154</v>
      </c>
      <c r="R7" s="15" t="s">
        <v>90</v>
      </c>
      <c r="S7" s="15">
        <v>8</v>
      </c>
      <c r="T7" s="15" t="s">
        <v>155</v>
      </c>
      <c r="U7" s="15" t="s">
        <v>108</v>
      </c>
      <c r="V7" s="15">
        <v>19</v>
      </c>
      <c r="W7" s="15" t="s">
        <v>156</v>
      </c>
      <c r="X7" s="15" t="s">
        <v>90</v>
      </c>
      <c r="Y7" s="15">
        <v>6</v>
      </c>
      <c r="Z7" s="15" t="s">
        <v>157</v>
      </c>
      <c r="AA7" s="15" t="s">
        <v>90</v>
      </c>
      <c r="AB7" s="15">
        <v>15</v>
      </c>
      <c r="AC7" s="15" t="s">
        <v>103</v>
      </c>
      <c r="AD7" s="15" t="s">
        <v>90</v>
      </c>
      <c r="AE7" s="15">
        <v>9</v>
      </c>
      <c r="AF7" s="15" t="s">
        <v>158</v>
      </c>
      <c r="AG7" s="15" t="s">
        <v>90</v>
      </c>
      <c r="AH7" s="15">
        <v>10</v>
      </c>
      <c r="AI7" s="15" t="s">
        <v>159</v>
      </c>
      <c r="AJ7" s="15" t="s">
        <v>108</v>
      </c>
      <c r="AK7" s="15">
        <v>6</v>
      </c>
      <c r="AL7" s="15" t="s">
        <v>160</v>
      </c>
      <c r="AM7" s="15" t="s">
        <v>90</v>
      </c>
      <c r="AN7" s="15">
        <v>8</v>
      </c>
      <c r="AO7" s="15" t="s">
        <v>161</v>
      </c>
      <c r="AP7" s="15" t="s">
        <v>90</v>
      </c>
      <c r="AQ7" s="15">
        <v>7</v>
      </c>
      <c r="AR7" s="15" t="s">
        <v>162</v>
      </c>
      <c r="AS7" s="15" t="s">
        <v>90</v>
      </c>
      <c r="AT7" s="15">
        <v>5</v>
      </c>
      <c r="AU7" s="15" t="s">
        <v>163</v>
      </c>
      <c r="AV7" s="15" t="s">
        <v>90</v>
      </c>
    </row>
    <row r="8" spans="1:48" x14ac:dyDescent="0.3">
      <c r="A8" s="15">
        <v>10</v>
      </c>
      <c r="B8" s="15" t="s">
        <v>164</v>
      </c>
      <c r="C8" s="15" t="s">
        <v>90</v>
      </c>
      <c r="D8" s="15"/>
      <c r="E8" s="15" t="s">
        <v>165</v>
      </c>
      <c r="F8" s="15" t="s">
        <v>90</v>
      </c>
      <c r="G8" s="15"/>
      <c r="H8" s="15" t="s">
        <v>166</v>
      </c>
      <c r="I8" s="15" t="s">
        <v>90</v>
      </c>
      <c r="J8" s="15">
        <v>9</v>
      </c>
      <c r="K8" s="15" t="s">
        <v>167</v>
      </c>
      <c r="L8" s="15" t="s">
        <v>90</v>
      </c>
      <c r="M8" s="15">
        <v>12</v>
      </c>
      <c r="N8" s="15" t="s">
        <v>168</v>
      </c>
      <c r="O8" s="15" t="s">
        <v>90</v>
      </c>
      <c r="P8" s="15">
        <v>7</v>
      </c>
      <c r="Q8" s="15" t="s">
        <v>169</v>
      </c>
      <c r="R8" s="15" t="s">
        <v>90</v>
      </c>
      <c r="S8" s="15">
        <v>9</v>
      </c>
      <c r="T8" s="15" t="s">
        <v>170</v>
      </c>
      <c r="U8" s="15" t="s">
        <v>90</v>
      </c>
      <c r="V8" s="15">
        <v>21</v>
      </c>
      <c r="W8" s="15" t="s">
        <v>171</v>
      </c>
      <c r="X8" s="15" t="s">
        <v>90</v>
      </c>
      <c r="Y8" s="15">
        <v>8</v>
      </c>
      <c r="Z8" s="15" t="s">
        <v>172</v>
      </c>
      <c r="AA8" s="15" t="s">
        <v>90</v>
      </c>
      <c r="AB8" s="15">
        <v>19</v>
      </c>
      <c r="AC8" s="15" t="s">
        <v>173</v>
      </c>
      <c r="AD8" s="15" t="s">
        <v>90</v>
      </c>
      <c r="AE8" s="15">
        <v>10</v>
      </c>
      <c r="AF8" s="15" t="s">
        <v>174</v>
      </c>
      <c r="AG8" s="15" t="s">
        <v>108</v>
      </c>
      <c r="AH8" s="15">
        <v>11</v>
      </c>
      <c r="AI8" s="15" t="s">
        <v>175</v>
      </c>
      <c r="AJ8" s="15" t="s">
        <v>90</v>
      </c>
      <c r="AK8" s="15">
        <v>7</v>
      </c>
      <c r="AL8" s="15" t="s">
        <v>176</v>
      </c>
      <c r="AM8" s="15" t="s">
        <v>90</v>
      </c>
      <c r="AN8" s="15">
        <v>9</v>
      </c>
      <c r="AO8" s="15" t="s">
        <v>177</v>
      </c>
      <c r="AP8" s="15" t="s">
        <v>90</v>
      </c>
      <c r="AQ8" s="15">
        <v>9</v>
      </c>
      <c r="AR8" s="15" t="s">
        <v>178</v>
      </c>
      <c r="AS8" s="15" t="s">
        <v>90</v>
      </c>
      <c r="AT8" s="15">
        <v>6</v>
      </c>
      <c r="AU8" s="15" t="s">
        <v>179</v>
      </c>
      <c r="AV8" s="15" t="s">
        <v>90</v>
      </c>
    </row>
    <row r="9" spans="1:48" x14ac:dyDescent="0.3">
      <c r="A9" s="15">
        <v>11</v>
      </c>
      <c r="B9" s="15" t="s">
        <v>391</v>
      </c>
      <c r="C9" s="15" t="s">
        <v>90</v>
      </c>
      <c r="D9" s="15"/>
      <c r="E9" s="15" t="s">
        <v>180</v>
      </c>
      <c r="F9" s="15" t="s">
        <v>108</v>
      </c>
      <c r="G9" s="15"/>
      <c r="H9" s="15" t="s">
        <v>181</v>
      </c>
      <c r="I9" s="15" t="s">
        <v>90</v>
      </c>
      <c r="J9" s="15">
        <v>10</v>
      </c>
      <c r="K9" s="15" t="s">
        <v>182</v>
      </c>
      <c r="L9" s="15" t="s">
        <v>90</v>
      </c>
      <c r="M9" s="15">
        <v>15</v>
      </c>
      <c r="N9" s="15" t="s">
        <v>183</v>
      </c>
      <c r="O9" s="15" t="s">
        <v>90</v>
      </c>
      <c r="P9" s="15">
        <v>1</v>
      </c>
      <c r="Q9" s="15" t="s">
        <v>184</v>
      </c>
      <c r="R9" s="15" t="s">
        <v>90</v>
      </c>
      <c r="S9" s="15">
        <v>10</v>
      </c>
      <c r="T9" s="15" t="s">
        <v>185</v>
      </c>
      <c r="U9" s="15" t="s">
        <v>90</v>
      </c>
      <c r="V9" s="15"/>
      <c r="W9" s="15"/>
      <c r="X9" s="15"/>
      <c r="Y9" s="15">
        <v>10</v>
      </c>
      <c r="Z9" s="15" t="s">
        <v>397</v>
      </c>
      <c r="AA9" s="15" t="s">
        <v>90</v>
      </c>
      <c r="AB9" s="15">
        <v>21</v>
      </c>
      <c r="AC9" s="15" t="s">
        <v>186</v>
      </c>
      <c r="AD9" s="15" t="s">
        <v>90</v>
      </c>
      <c r="AE9" s="15">
        <v>11</v>
      </c>
      <c r="AF9" s="15" t="s">
        <v>187</v>
      </c>
      <c r="AG9" s="15" t="s">
        <v>90</v>
      </c>
      <c r="AH9" s="15">
        <v>19</v>
      </c>
      <c r="AI9" s="15" t="s">
        <v>188</v>
      </c>
      <c r="AJ9" s="15" t="s">
        <v>90</v>
      </c>
      <c r="AK9" s="15">
        <v>8</v>
      </c>
      <c r="AL9" s="15" t="s">
        <v>189</v>
      </c>
      <c r="AM9" s="15" t="s">
        <v>90</v>
      </c>
      <c r="AN9" s="15">
        <v>10</v>
      </c>
      <c r="AO9" s="15" t="s">
        <v>190</v>
      </c>
      <c r="AP9" s="15" t="s">
        <v>108</v>
      </c>
      <c r="AQ9" s="15">
        <v>10</v>
      </c>
      <c r="AR9" s="15" t="s">
        <v>191</v>
      </c>
      <c r="AS9" s="15" t="s">
        <v>108</v>
      </c>
      <c r="AT9" s="15">
        <v>8</v>
      </c>
      <c r="AU9" s="15" t="s">
        <v>192</v>
      </c>
      <c r="AV9" s="15" t="s">
        <v>90</v>
      </c>
    </row>
    <row r="10" spans="1:48" x14ac:dyDescent="0.3">
      <c r="A10" s="15">
        <v>23</v>
      </c>
      <c r="B10" s="15" t="s">
        <v>193</v>
      </c>
      <c r="C10" s="15" t="s">
        <v>108</v>
      </c>
      <c r="D10" s="15"/>
      <c r="E10" s="15" t="s">
        <v>194</v>
      </c>
      <c r="F10" s="15" t="s">
        <v>90</v>
      </c>
      <c r="G10" s="15"/>
      <c r="H10" s="15" t="s">
        <v>195</v>
      </c>
      <c r="I10" s="15" t="s">
        <v>90</v>
      </c>
      <c r="J10" s="15">
        <v>11</v>
      </c>
      <c r="K10" s="15" t="s">
        <v>196</v>
      </c>
      <c r="L10" s="15" t="s">
        <v>108</v>
      </c>
      <c r="M10" s="15">
        <v>18</v>
      </c>
      <c r="N10" s="15" t="s">
        <v>197</v>
      </c>
      <c r="O10" s="15" t="s">
        <v>90</v>
      </c>
      <c r="P10" s="15">
        <v>4</v>
      </c>
      <c r="Q10" s="15" t="s">
        <v>198</v>
      </c>
      <c r="R10" s="15" t="s">
        <v>90</v>
      </c>
      <c r="S10" s="15">
        <v>11</v>
      </c>
      <c r="T10" s="15" t="s">
        <v>199</v>
      </c>
      <c r="U10" s="15" t="s">
        <v>90</v>
      </c>
      <c r="V10" s="15"/>
      <c r="W10" s="15"/>
      <c r="X10" s="15"/>
      <c r="Y10" s="15">
        <v>14</v>
      </c>
      <c r="Z10" s="15" t="s">
        <v>200</v>
      </c>
      <c r="AA10" s="15" t="s">
        <v>90</v>
      </c>
      <c r="AB10" s="15">
        <v>29</v>
      </c>
      <c r="AC10" s="15" t="s">
        <v>201</v>
      </c>
      <c r="AD10" s="15" t="s">
        <v>90</v>
      </c>
      <c r="AE10" s="15">
        <v>14</v>
      </c>
      <c r="AF10" s="15" t="s">
        <v>202</v>
      </c>
      <c r="AG10" s="15" t="s">
        <v>90</v>
      </c>
      <c r="AH10" s="15">
        <v>22</v>
      </c>
      <c r="AI10" s="15" t="s">
        <v>203</v>
      </c>
      <c r="AJ10" s="15" t="s">
        <v>90</v>
      </c>
      <c r="AK10" s="15">
        <v>9</v>
      </c>
      <c r="AL10" s="15" t="s">
        <v>204</v>
      </c>
      <c r="AM10" s="15" t="s">
        <v>90</v>
      </c>
      <c r="AN10" s="15">
        <v>14</v>
      </c>
      <c r="AO10" s="15" t="s">
        <v>205</v>
      </c>
      <c r="AP10" s="15" t="s">
        <v>90</v>
      </c>
      <c r="AQ10" s="15">
        <v>11</v>
      </c>
      <c r="AR10" s="15" t="s">
        <v>206</v>
      </c>
      <c r="AS10" s="15" t="s">
        <v>90</v>
      </c>
      <c r="AT10" s="15">
        <v>9</v>
      </c>
      <c r="AU10" s="15" t="s">
        <v>207</v>
      </c>
      <c r="AV10" s="15" t="s">
        <v>90</v>
      </c>
    </row>
    <row r="11" spans="1:48" x14ac:dyDescent="0.3">
      <c r="A11" s="15">
        <v>69</v>
      </c>
      <c r="B11" s="15" t="s">
        <v>208</v>
      </c>
      <c r="C11" s="15" t="s">
        <v>90</v>
      </c>
      <c r="D11" s="15"/>
      <c r="E11" s="15" t="s">
        <v>209</v>
      </c>
      <c r="F11" s="15" t="s">
        <v>90</v>
      </c>
      <c r="G11" s="15"/>
      <c r="H11" s="15" t="s">
        <v>210</v>
      </c>
      <c r="I11" s="15" t="s">
        <v>90</v>
      </c>
      <c r="J11" s="15">
        <v>14</v>
      </c>
      <c r="K11" s="15" t="s">
        <v>211</v>
      </c>
      <c r="L11" s="15" t="s">
        <v>90</v>
      </c>
      <c r="M11" s="15">
        <v>71</v>
      </c>
      <c r="N11" s="15" t="s">
        <v>212</v>
      </c>
      <c r="O11" s="15" t="s">
        <v>90</v>
      </c>
      <c r="P11" s="15">
        <v>6</v>
      </c>
      <c r="Q11" s="15" t="s">
        <v>213</v>
      </c>
      <c r="R11" s="15" t="s">
        <v>90</v>
      </c>
      <c r="S11" s="15">
        <v>13</v>
      </c>
      <c r="T11" s="15" t="s">
        <v>214</v>
      </c>
      <c r="U11" s="15" t="s">
        <v>90</v>
      </c>
      <c r="V11" s="15"/>
      <c r="W11" s="15"/>
      <c r="X11" s="15"/>
      <c r="Y11" s="15">
        <v>20</v>
      </c>
      <c r="Z11" s="15" t="s">
        <v>398</v>
      </c>
      <c r="AA11" s="15" t="s">
        <v>90</v>
      </c>
      <c r="AB11" s="15">
        <v>63</v>
      </c>
      <c r="AC11" s="15" t="s">
        <v>215</v>
      </c>
      <c r="AD11" s="15" t="s">
        <v>108</v>
      </c>
      <c r="AE11" s="15">
        <v>18</v>
      </c>
      <c r="AF11" s="15" t="s">
        <v>216</v>
      </c>
      <c r="AG11" s="15" t="s">
        <v>90</v>
      </c>
      <c r="AH11" s="15">
        <v>45</v>
      </c>
      <c r="AI11" s="15" t="s">
        <v>217</v>
      </c>
      <c r="AJ11" s="15" t="s">
        <v>90</v>
      </c>
      <c r="AK11" s="15">
        <v>10</v>
      </c>
      <c r="AL11" s="15" t="s">
        <v>218</v>
      </c>
      <c r="AM11" s="15" t="s">
        <v>90</v>
      </c>
      <c r="AN11" s="15">
        <v>17</v>
      </c>
      <c r="AO11" s="15" t="s">
        <v>219</v>
      </c>
      <c r="AP11" s="15" t="s">
        <v>90</v>
      </c>
      <c r="AQ11" s="15">
        <v>23</v>
      </c>
      <c r="AR11" s="15" t="s">
        <v>220</v>
      </c>
      <c r="AS11" s="15" t="s">
        <v>90</v>
      </c>
      <c r="AT11" s="15">
        <v>10</v>
      </c>
      <c r="AU11" s="15" t="s">
        <v>221</v>
      </c>
      <c r="AV11" s="15" t="s">
        <v>90</v>
      </c>
    </row>
    <row r="12" spans="1:48" x14ac:dyDescent="0.3">
      <c r="A12" s="15">
        <v>90</v>
      </c>
      <c r="B12" s="15" t="s">
        <v>392</v>
      </c>
      <c r="C12" s="15" t="s">
        <v>90</v>
      </c>
      <c r="D12" s="15"/>
      <c r="E12" s="15" t="s">
        <v>222</v>
      </c>
      <c r="F12" s="15" t="s">
        <v>90</v>
      </c>
      <c r="G12" s="15"/>
      <c r="H12" s="15" t="s">
        <v>223</v>
      </c>
      <c r="I12" s="15" t="s">
        <v>90</v>
      </c>
      <c r="J12" s="15"/>
      <c r="K12" s="15"/>
      <c r="L12" s="15"/>
      <c r="M12" s="15"/>
      <c r="N12" s="15"/>
      <c r="O12" s="15"/>
      <c r="P12" s="15">
        <v>17</v>
      </c>
      <c r="Q12" s="15" t="s">
        <v>224</v>
      </c>
      <c r="R12" s="15" t="s">
        <v>90</v>
      </c>
      <c r="S12" s="15">
        <v>14</v>
      </c>
      <c r="T12" s="15" t="s">
        <v>225</v>
      </c>
      <c r="U12" s="15" t="s">
        <v>90</v>
      </c>
      <c r="V12" s="15"/>
      <c r="W12" s="15"/>
      <c r="X12" s="15"/>
      <c r="Y12" s="15"/>
      <c r="Z12" s="15"/>
      <c r="AA12" s="15"/>
      <c r="AB12" s="15">
        <v>95</v>
      </c>
      <c r="AC12" s="15" t="s">
        <v>226</v>
      </c>
      <c r="AD12" s="15" t="s">
        <v>90</v>
      </c>
      <c r="AE12" s="15">
        <v>20</v>
      </c>
      <c r="AF12" s="15" t="s">
        <v>227</v>
      </c>
      <c r="AG12" s="15" t="s">
        <v>90</v>
      </c>
      <c r="AH12" s="15">
        <v>67</v>
      </c>
      <c r="AI12" s="15" t="s">
        <v>228</v>
      </c>
      <c r="AJ12" s="15" t="s">
        <v>90</v>
      </c>
      <c r="AK12" s="15">
        <v>11</v>
      </c>
      <c r="AL12" s="15" t="s">
        <v>229</v>
      </c>
      <c r="AM12" s="15" t="s">
        <v>108</v>
      </c>
      <c r="AN12" s="15">
        <v>21</v>
      </c>
      <c r="AO12" s="15" t="s">
        <v>230</v>
      </c>
      <c r="AP12" s="15" t="s">
        <v>90</v>
      </c>
      <c r="AQ12" s="15">
        <v>28</v>
      </c>
      <c r="AR12" s="15" t="s">
        <v>231</v>
      </c>
      <c r="AS12" s="15" t="s">
        <v>90</v>
      </c>
      <c r="AT12" s="15">
        <v>11</v>
      </c>
      <c r="AU12" s="15" t="s">
        <v>232</v>
      </c>
      <c r="AV12" s="15" t="s">
        <v>90</v>
      </c>
    </row>
    <row r="13" spans="1:48" x14ac:dyDescent="0.3">
      <c r="A13" s="15"/>
      <c r="B13" s="15"/>
      <c r="C13" s="15"/>
      <c r="D13" s="15"/>
      <c r="E13" s="15"/>
      <c r="F13" s="15"/>
      <c r="G13" s="15"/>
      <c r="H13" s="15" t="s">
        <v>233</v>
      </c>
      <c r="I13" s="15" t="s">
        <v>90</v>
      </c>
      <c r="J13" s="15"/>
      <c r="K13" s="15"/>
      <c r="L13" s="15"/>
      <c r="M13" s="15"/>
      <c r="N13" s="15"/>
      <c r="O13" s="15"/>
      <c r="P13" s="15">
        <v>16</v>
      </c>
      <c r="Q13" s="15" t="s">
        <v>234</v>
      </c>
      <c r="R13" s="15" t="s">
        <v>90</v>
      </c>
      <c r="S13" s="15">
        <v>17</v>
      </c>
      <c r="T13" s="15" t="s">
        <v>235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236</v>
      </c>
      <c r="AM13" s="15" t="s">
        <v>90</v>
      </c>
      <c r="AN13" s="15"/>
      <c r="AO13" s="15"/>
      <c r="AP13" s="15"/>
      <c r="AQ13" s="15"/>
      <c r="AR13" s="15"/>
      <c r="AS13" s="15"/>
      <c r="AT13" s="15">
        <v>7</v>
      </c>
      <c r="AU13" s="15" t="s">
        <v>401</v>
      </c>
      <c r="AV13" s="15" t="s">
        <v>90</v>
      </c>
    </row>
    <row r="14" spans="1:48" x14ac:dyDescent="0.3">
      <c r="A14" s="15"/>
      <c r="B14" s="15"/>
      <c r="C14" s="15"/>
      <c r="D14" s="15"/>
      <c r="E14" s="15"/>
      <c r="F14" s="15"/>
      <c r="G14" s="15"/>
      <c r="H14" s="15" t="s">
        <v>237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 x14ac:dyDescent="0.3">
      <c r="A15" s="15"/>
      <c r="B15" s="15"/>
      <c r="C15" s="15"/>
      <c r="D15" s="15"/>
      <c r="E15" s="15"/>
      <c r="F15" s="15"/>
      <c r="G15" s="15"/>
      <c r="H15" s="15" t="s">
        <v>396</v>
      </c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 x14ac:dyDescent="0.3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 x14ac:dyDescent="0.3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 x14ac:dyDescent="0.3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 x14ac:dyDescent="0.3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 x14ac:dyDescent="0.3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 x14ac:dyDescent="0.3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 x14ac:dyDescent="0.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 x14ac:dyDescent="0.3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 x14ac:dyDescent="0.3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 x14ac:dyDescent="0.3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 x14ac:dyDescent="0.3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 x14ac:dyDescent="0.3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 x14ac:dyDescent="0.3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 x14ac:dyDescent="0.3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 x14ac:dyDescent="0.3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6" width="24" customWidth="1"/>
    <col min="7" max="7" width="34" customWidth="1"/>
  </cols>
  <sheetData>
    <row r="1" spans="1:26" x14ac:dyDescent="0.3">
      <c r="A1" s="5" t="s">
        <v>238</v>
      </c>
      <c r="B1" s="5" t="s">
        <v>0</v>
      </c>
      <c r="C1" s="5" t="s">
        <v>2</v>
      </c>
      <c r="D1" s="5" t="s">
        <v>239</v>
      </c>
      <c r="E1" s="5" t="s">
        <v>240</v>
      </c>
      <c r="F1" s="5" t="s">
        <v>241</v>
      </c>
      <c r="G1" s="5" t="s">
        <v>242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 x14ac:dyDescent="0.3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4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4 - GIOVANNI BALLO</v>
      </c>
    </row>
    <row r="4" spans="1:26" x14ac:dyDescent="0.3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 x14ac:dyDescent="0.3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 x14ac:dyDescent="0.3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 x14ac:dyDescent="0.3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 x14ac:dyDescent="0.3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SAMUELE DURRA</v>
      </c>
      <c r="F8" t="str">
        <f>IF(E8="","",Rosters!C9)</f>
        <v>No</v>
      </c>
      <c r="G8" t="str">
        <f t="shared" si="1"/>
        <v>11 - SAMUELE DURRA</v>
      </c>
    </row>
    <row r="9" spans="1:26" x14ac:dyDescent="0.3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 x14ac:dyDescent="0.3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 x14ac:dyDescent="0.3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MATTEO COL</v>
      </c>
      <c r="F11" t="str">
        <f>IF(E11="","",Rosters!C12)</f>
        <v>No</v>
      </c>
      <c r="G11" t="str">
        <f t="shared" si="1"/>
        <v>90 - MATTEO COL</v>
      </c>
    </row>
    <row r="12" spans="1:26" x14ac:dyDescent="0.3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 x14ac:dyDescent="0.3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 x14ac:dyDescent="0.3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 x14ac:dyDescent="0.3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 x14ac:dyDescent="0.3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 x14ac:dyDescent="0.3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 x14ac:dyDescent="0.3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 x14ac:dyDescent="0.3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 x14ac:dyDescent="0.3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 x14ac:dyDescent="0.3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 x14ac:dyDescent="0.3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 x14ac:dyDescent="0.3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 x14ac:dyDescent="0.3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 x14ac:dyDescent="0.3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 x14ac:dyDescent="0.3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 x14ac:dyDescent="0.3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 x14ac:dyDescent="0.3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 x14ac:dyDescent="0.3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 x14ac:dyDescent="0.3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 x14ac:dyDescent="0.3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 x14ac:dyDescent="0.3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0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0 - BOGDAN ATAMANYUK</v>
      </c>
    </row>
    <row r="33" spans="1:7" x14ac:dyDescent="0.3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0 - IVAN DENIS SHEVERAK</v>
      </c>
    </row>
    <row r="34" spans="1:7" x14ac:dyDescent="0.3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0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0 - MOHAMED IAICH</v>
      </c>
    </row>
    <row r="35" spans="1:7" x14ac:dyDescent="0.3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0</v>
      </c>
      <c r="E35" t="str">
        <f>IF(Rosters!E6="","",Rosters!E6)</f>
        <v>DANIIL YAKIMENKO</v>
      </c>
      <c r="F35" t="str">
        <f>IF(E35="","",Rosters!F6)</f>
        <v>No</v>
      </c>
      <c r="G35" t="str">
        <f t="shared" si="1"/>
        <v>0 - DANIIL YAKIMENKO</v>
      </c>
    </row>
    <row r="36" spans="1:7" x14ac:dyDescent="0.3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0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0 - AHMED ZOUZAF</v>
      </c>
    </row>
    <row r="37" spans="1:7" x14ac:dyDescent="0.3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0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0 - YOUSSEF IAICH</v>
      </c>
    </row>
    <row r="38" spans="1:7" x14ac:dyDescent="0.3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0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0 - HAMZA AGRIBI (C)</v>
      </c>
    </row>
    <row r="39" spans="1:7" x14ac:dyDescent="0.3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0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0 - KHALID BENNOUNE</v>
      </c>
    </row>
    <row r="40" spans="1:7" x14ac:dyDescent="0.3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0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0 - YASSINE SOHAYB</v>
      </c>
    </row>
    <row r="41" spans="1:7" x14ac:dyDescent="0.3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0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0 - ABDESSAMAD BAGHROUCH</v>
      </c>
    </row>
    <row r="42" spans="1:7" x14ac:dyDescent="0.3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 x14ac:dyDescent="0.3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 x14ac:dyDescent="0.3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 x14ac:dyDescent="0.3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 x14ac:dyDescent="0.3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 x14ac:dyDescent="0.3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 x14ac:dyDescent="0.3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 x14ac:dyDescent="0.3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 x14ac:dyDescent="0.3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 x14ac:dyDescent="0.3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 x14ac:dyDescent="0.3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 x14ac:dyDescent="0.3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 x14ac:dyDescent="0.3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 x14ac:dyDescent="0.3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 x14ac:dyDescent="0.3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 x14ac:dyDescent="0.3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 x14ac:dyDescent="0.3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 x14ac:dyDescent="0.3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 x14ac:dyDescent="0.3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 x14ac:dyDescent="0.3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 x14ac:dyDescent="0.3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0</v>
      </c>
      <c r="E62" t="str">
        <f>IF(Rosters!H3="","",Rosters!H3)</f>
        <v>MATTIA MERLO</v>
      </c>
      <c r="F62" t="str">
        <f>IF(E62="","",Rosters!I3)</f>
        <v>No</v>
      </c>
      <c r="G62" t="str">
        <f t="shared" si="1"/>
        <v>0 - MATTIA MERLO</v>
      </c>
    </row>
    <row r="63" spans="1:7" x14ac:dyDescent="0.3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0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0 - MICHAEL STRENGHETTO (C)</v>
      </c>
    </row>
    <row r="64" spans="1:7" x14ac:dyDescent="0.3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0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0 - LUCA BACCO</v>
      </c>
    </row>
    <row r="65" spans="1:7" x14ac:dyDescent="0.3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0 - FILIPPO SCARANELLO</v>
      </c>
    </row>
    <row r="66" spans="1:7" x14ac:dyDescent="0.3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0</v>
      </c>
      <c r="E66" t="str">
        <f>IF(Rosters!H7="","",Rosters!H7)</f>
        <v>EDDY MAZZETTO</v>
      </c>
      <c r="F66" t="str">
        <f>IF(E66="","",Rosters!I7)</f>
        <v>No</v>
      </c>
      <c r="G66" t="str">
        <f t="shared" ref="G66:G129" si="3">IF(E66="","",IF(D66="","",D66&amp;" - ")&amp;E66&amp;IF(F66="Yes"," (C)",""))</f>
        <v>0 - EDDY MAZZETTO</v>
      </c>
    </row>
    <row r="67" spans="1:7" x14ac:dyDescent="0.3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0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0 - MATTIA BORGATO</v>
      </c>
    </row>
    <row r="68" spans="1:7" x14ac:dyDescent="0.3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0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0 - MARCO CASAROTTI</v>
      </c>
    </row>
    <row r="69" spans="1:7" x14ac:dyDescent="0.3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0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0 - MATTEO NATALI</v>
      </c>
    </row>
    <row r="70" spans="1:7" x14ac:dyDescent="0.3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0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0 - FRANCESCO DADDATO</v>
      </c>
    </row>
    <row r="71" spans="1:7" x14ac:dyDescent="0.3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0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0 - NICHOLAS LANZONI</v>
      </c>
    </row>
    <row r="72" spans="1:7" x14ac:dyDescent="0.3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0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0 - NICOLÒ POLITI</v>
      </c>
    </row>
    <row r="73" spans="1:7" x14ac:dyDescent="0.3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0 - MATTEO SENO</v>
      </c>
    </row>
    <row r="74" spans="1:7" x14ac:dyDescent="0.3">
      <c r="A74" t="str">
        <f t="shared" si="2"/>
        <v>P073</v>
      </c>
      <c r="B74" t="str">
        <f>IF(E74="","",Teams!A4)</f>
        <v>T03</v>
      </c>
      <c r="C74" t="str">
        <f>IF(E74="","",Teams!C4)</f>
        <v>Moviola Utd</v>
      </c>
      <c r="D74">
        <f>IF(E74="","",Rosters!G15)</f>
        <v>0</v>
      </c>
      <c r="E74" t="str">
        <f>IF(Rosters!H15="","",Rosters!H15)</f>
        <v>NICO PAVANI</v>
      </c>
      <c r="F74">
        <f>IF(E74="","",Rosters!I15)</f>
        <v>0</v>
      </c>
      <c r="G74" t="str">
        <f t="shared" si="3"/>
        <v>0 - NICO PAVANI</v>
      </c>
    </row>
    <row r="75" spans="1:7" x14ac:dyDescent="0.3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 x14ac:dyDescent="0.3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 x14ac:dyDescent="0.3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 x14ac:dyDescent="0.3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 x14ac:dyDescent="0.3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 x14ac:dyDescent="0.3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 x14ac:dyDescent="0.3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 x14ac:dyDescent="0.3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 x14ac:dyDescent="0.3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 x14ac:dyDescent="0.3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 x14ac:dyDescent="0.3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 x14ac:dyDescent="0.3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 x14ac:dyDescent="0.3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 x14ac:dyDescent="0.3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 x14ac:dyDescent="0.3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 x14ac:dyDescent="0.3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 x14ac:dyDescent="0.3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 x14ac:dyDescent="0.3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 x14ac:dyDescent="0.3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 x14ac:dyDescent="0.3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 x14ac:dyDescent="0.3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 x14ac:dyDescent="0.3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 x14ac:dyDescent="0.3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 x14ac:dyDescent="0.3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 x14ac:dyDescent="0.3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 x14ac:dyDescent="0.3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 x14ac:dyDescent="0.3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 x14ac:dyDescent="0.3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 x14ac:dyDescent="0.3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 x14ac:dyDescent="0.3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 x14ac:dyDescent="0.3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 x14ac:dyDescent="0.3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 x14ac:dyDescent="0.3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 x14ac:dyDescent="0.3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 x14ac:dyDescent="0.3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 x14ac:dyDescent="0.3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 x14ac:dyDescent="0.3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 x14ac:dyDescent="0.3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 x14ac:dyDescent="0.3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 x14ac:dyDescent="0.3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 x14ac:dyDescent="0.3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 x14ac:dyDescent="0.3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 x14ac:dyDescent="0.3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 x14ac:dyDescent="0.3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 x14ac:dyDescent="0.3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 x14ac:dyDescent="0.3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 x14ac:dyDescent="0.3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 x14ac:dyDescent="0.3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 x14ac:dyDescent="0.3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 x14ac:dyDescent="0.3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 x14ac:dyDescent="0.3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 x14ac:dyDescent="0.3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 x14ac:dyDescent="0.3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 x14ac:dyDescent="0.3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 x14ac:dyDescent="0.3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 x14ac:dyDescent="0.3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 x14ac:dyDescent="0.3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 x14ac:dyDescent="0.3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 x14ac:dyDescent="0.3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 x14ac:dyDescent="0.3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 x14ac:dyDescent="0.3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 x14ac:dyDescent="0.3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 x14ac:dyDescent="0.3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 x14ac:dyDescent="0.3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 x14ac:dyDescent="0.3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 x14ac:dyDescent="0.3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 x14ac:dyDescent="0.3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 x14ac:dyDescent="0.3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 x14ac:dyDescent="0.3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 x14ac:dyDescent="0.3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 x14ac:dyDescent="0.3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 x14ac:dyDescent="0.3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 x14ac:dyDescent="0.3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 x14ac:dyDescent="0.3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 x14ac:dyDescent="0.3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 x14ac:dyDescent="0.3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 x14ac:dyDescent="0.3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 x14ac:dyDescent="0.3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10</v>
      </c>
      <c r="E152" t="str">
        <f>IF(Rosters!Q3="","",Rosters!Q3)</f>
        <v>DAVIDE ZAGHI</v>
      </c>
      <c r="F152" t="str">
        <f>IF(E152="","",Rosters!R3)</f>
        <v>Yes</v>
      </c>
      <c r="G152" t="str">
        <f t="shared" si="5"/>
        <v>10 - DAVIDE ZAGHI (C)</v>
      </c>
    </row>
    <row r="153" spans="1:7" x14ac:dyDescent="0.3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5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5 - JACOPO VOLTOLINA</v>
      </c>
    </row>
    <row r="154" spans="1:7" x14ac:dyDescent="0.3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3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3 - MATTEO ZAMBERLAN</v>
      </c>
    </row>
    <row r="155" spans="1:7" x14ac:dyDescent="0.3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20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20 - MATTEO DALL'ARA</v>
      </c>
    </row>
    <row r="156" spans="1:7" x14ac:dyDescent="0.3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8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8 - LEONARDO FUSCO</v>
      </c>
    </row>
    <row r="157" spans="1:7" x14ac:dyDescent="0.3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7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7 - DENIS TIMPANARO</v>
      </c>
    </row>
    <row r="158" spans="1:7" x14ac:dyDescent="0.3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1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1 - MATTEO TOSETTI</v>
      </c>
    </row>
    <row r="159" spans="1:7" x14ac:dyDescent="0.3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4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4 - MATTEO AMBROSINI</v>
      </c>
    </row>
    <row r="160" spans="1:7" x14ac:dyDescent="0.3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6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6 - ANDREA BONIN</v>
      </c>
    </row>
    <row r="161" spans="1:7" x14ac:dyDescent="0.3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17</v>
      </c>
      <c r="E161" t="str">
        <f>IF(Rosters!Q12="","",Rosters!Q12)</f>
        <v>DOMENICO IACOVINO</v>
      </c>
      <c r="F161" t="str">
        <f>IF(E161="","",Rosters!R12)</f>
        <v>No</v>
      </c>
      <c r="G161" t="str">
        <f t="shared" si="5"/>
        <v>17 - DOMENICO IACOVINO</v>
      </c>
    </row>
    <row r="162" spans="1:7" x14ac:dyDescent="0.3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16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16 - GIACOMO PROTTI</v>
      </c>
    </row>
    <row r="163" spans="1:7" x14ac:dyDescent="0.3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 x14ac:dyDescent="0.3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 x14ac:dyDescent="0.3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 x14ac:dyDescent="0.3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 x14ac:dyDescent="0.3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 x14ac:dyDescent="0.3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 x14ac:dyDescent="0.3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 x14ac:dyDescent="0.3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 x14ac:dyDescent="0.3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 x14ac:dyDescent="0.3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 x14ac:dyDescent="0.3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 x14ac:dyDescent="0.3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 x14ac:dyDescent="0.3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 x14ac:dyDescent="0.3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 x14ac:dyDescent="0.3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 x14ac:dyDescent="0.3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 x14ac:dyDescent="0.3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 x14ac:dyDescent="0.3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 x14ac:dyDescent="0.3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 x14ac:dyDescent="0.3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 x14ac:dyDescent="0.3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 x14ac:dyDescent="0.3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 x14ac:dyDescent="0.3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 x14ac:dyDescent="0.3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 x14ac:dyDescent="0.3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 x14ac:dyDescent="0.3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 x14ac:dyDescent="0.3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 x14ac:dyDescent="0.3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 x14ac:dyDescent="0.3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 x14ac:dyDescent="0.3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17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17 - NICOLA BARONI</v>
      </c>
    </row>
    <row r="193" spans="1:7" x14ac:dyDescent="0.3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 x14ac:dyDescent="0.3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 x14ac:dyDescent="0.3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 x14ac:dyDescent="0.3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 x14ac:dyDescent="0.3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 x14ac:dyDescent="0.3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 x14ac:dyDescent="0.3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 x14ac:dyDescent="0.3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 x14ac:dyDescent="0.3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 x14ac:dyDescent="0.3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 x14ac:dyDescent="0.3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 x14ac:dyDescent="0.3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 x14ac:dyDescent="0.3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 x14ac:dyDescent="0.3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 x14ac:dyDescent="0.3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 x14ac:dyDescent="0.3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 x14ac:dyDescent="0.3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 x14ac:dyDescent="0.3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 x14ac:dyDescent="0.3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 x14ac:dyDescent="0.3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 x14ac:dyDescent="0.3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 x14ac:dyDescent="0.3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 x14ac:dyDescent="0.3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 x14ac:dyDescent="0.3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 x14ac:dyDescent="0.3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21</v>
      </c>
      <c r="E217" t="str">
        <f>IF(Rosters!W8="","",Rosters!W8)</f>
        <v>MATTEO BARTOLOMEI</v>
      </c>
      <c r="F217" t="str">
        <f>IF(E217="","",Rosters!X8)</f>
        <v>No</v>
      </c>
      <c r="G217" t="str">
        <f t="shared" si="7"/>
        <v>21 - MATTEO BARTOLOMEI</v>
      </c>
    </row>
    <row r="218" spans="1:7" x14ac:dyDescent="0.3">
      <c r="A218" t="str">
        <f t="shared" si="6"/>
        <v/>
      </c>
      <c r="B218" t="str">
        <f>IF(E218="","",Teams!A9)</f>
        <v/>
      </c>
      <c r="C218" t="str">
        <f>IF(E218="","",Teams!C9)</f>
        <v/>
      </c>
      <c r="D218" t="str">
        <f>IF(E218="","",Rosters!V9)</f>
        <v/>
      </c>
      <c r="E218" t="str">
        <f>IF(Rosters!W9="","",Rosters!W9)</f>
        <v/>
      </c>
      <c r="F218" t="str">
        <f>IF(E218="","",Rosters!X9)</f>
        <v/>
      </c>
      <c r="G218" t="str">
        <f t="shared" si="7"/>
        <v/>
      </c>
    </row>
    <row r="219" spans="1:7" x14ac:dyDescent="0.3">
      <c r="A219" t="str">
        <f t="shared" si="6"/>
        <v/>
      </c>
      <c r="B219" t="str">
        <f>IF(E219="","",Teams!A9)</f>
        <v/>
      </c>
      <c r="C219" t="str">
        <f>IF(E219="","",Teams!C9)</f>
        <v/>
      </c>
      <c r="D219" t="str">
        <f>IF(E219="","",Rosters!V10)</f>
        <v/>
      </c>
      <c r="E219" t="str">
        <f>IF(Rosters!W10="","",Rosters!W10)</f>
        <v/>
      </c>
      <c r="F219" t="str">
        <f>IF(E219="","",Rosters!X10)</f>
        <v/>
      </c>
      <c r="G219" t="str">
        <f t="shared" si="7"/>
        <v/>
      </c>
    </row>
    <row r="220" spans="1:7" x14ac:dyDescent="0.3">
      <c r="A220" t="str">
        <f t="shared" si="6"/>
        <v/>
      </c>
      <c r="B220" t="str">
        <f>IF(E220="","",Teams!A9)</f>
        <v/>
      </c>
      <c r="C220" t="str">
        <f>IF(E220="","",Teams!C9)</f>
        <v/>
      </c>
      <c r="D220" t="str">
        <f>IF(E220="","",Rosters!V11)</f>
        <v/>
      </c>
      <c r="E220" t="str">
        <f>IF(Rosters!W11="","",Rosters!W11)</f>
        <v/>
      </c>
      <c r="F220" t="str">
        <f>IF(E220="","",Rosters!X11)</f>
        <v/>
      </c>
      <c r="G220" t="str">
        <f t="shared" si="7"/>
        <v/>
      </c>
    </row>
    <row r="221" spans="1:7" x14ac:dyDescent="0.3">
      <c r="A221" t="str">
        <f t="shared" si="6"/>
        <v/>
      </c>
      <c r="B221" t="str">
        <f>IF(E221="","",Teams!A9)</f>
        <v/>
      </c>
      <c r="C221" t="str">
        <f>IF(E221="","",Teams!C9)</f>
        <v/>
      </c>
      <c r="D221" t="str">
        <f>IF(E221="","",Rosters!V12)</f>
        <v/>
      </c>
      <c r="E221" t="str">
        <f>IF(Rosters!W12="","",Rosters!W12)</f>
        <v/>
      </c>
      <c r="F221" t="str">
        <f>IF(E221="","",Rosters!X12)</f>
        <v/>
      </c>
      <c r="G221" t="str">
        <f t="shared" si="7"/>
        <v/>
      </c>
    </row>
    <row r="222" spans="1:7" x14ac:dyDescent="0.3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 x14ac:dyDescent="0.3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 x14ac:dyDescent="0.3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 x14ac:dyDescent="0.3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 x14ac:dyDescent="0.3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 x14ac:dyDescent="0.3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 x14ac:dyDescent="0.3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 x14ac:dyDescent="0.3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 x14ac:dyDescent="0.3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 x14ac:dyDescent="0.3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 x14ac:dyDescent="0.3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 x14ac:dyDescent="0.3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 x14ac:dyDescent="0.3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 x14ac:dyDescent="0.3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 x14ac:dyDescent="0.3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 x14ac:dyDescent="0.3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 x14ac:dyDescent="0.3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 x14ac:dyDescent="0.3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 x14ac:dyDescent="0.3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 x14ac:dyDescent="0.3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 x14ac:dyDescent="0.3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 x14ac:dyDescent="0.3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 x14ac:dyDescent="0.3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 x14ac:dyDescent="0.3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 x14ac:dyDescent="0.3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 x14ac:dyDescent="0.3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 x14ac:dyDescent="0.3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ANDREI BARZAGHIDEANU</v>
      </c>
      <c r="F248" t="str">
        <f>IF(E248="","",Rosters!AA9)</f>
        <v>No</v>
      </c>
      <c r="G248" t="str">
        <f t="shared" si="7"/>
        <v>10 - ANDREI BARZAGHIDEANU</v>
      </c>
    </row>
    <row r="249" spans="1:7" x14ac:dyDescent="0.3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14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14 - VLAD GABRIEL DUMINICA</v>
      </c>
    </row>
    <row r="250" spans="1:7" x14ac:dyDescent="0.3">
      <c r="A250" t="str">
        <f t="shared" si="6"/>
        <v>P249</v>
      </c>
      <c r="B250" t="str">
        <f>IF(E250="","",Teams!A10)</f>
        <v>T09</v>
      </c>
      <c r="C250" t="str">
        <f>IF(E250="","",Teams!C10)</f>
        <v>Leoni di Ricky</v>
      </c>
      <c r="D250">
        <f>IF(E250="","",Rosters!Y11)</f>
        <v>20</v>
      </c>
      <c r="E250" t="str">
        <f>IF(Rosters!Z11="","",Rosters!Z11)</f>
        <v>TOMMASO ZANGIROLAMI</v>
      </c>
      <c r="F250" t="str">
        <f>IF(E250="","",Rosters!AA11)</f>
        <v>No</v>
      </c>
      <c r="G250" t="str">
        <f t="shared" si="7"/>
        <v>20 - TOMMASO ZANGIROLAMI</v>
      </c>
    </row>
    <row r="251" spans="1:7" x14ac:dyDescent="0.3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 x14ac:dyDescent="0.3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 x14ac:dyDescent="0.3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 x14ac:dyDescent="0.3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 x14ac:dyDescent="0.3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 x14ac:dyDescent="0.3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 x14ac:dyDescent="0.3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 x14ac:dyDescent="0.3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 x14ac:dyDescent="0.3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 x14ac:dyDescent="0.3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 x14ac:dyDescent="0.3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 x14ac:dyDescent="0.3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 x14ac:dyDescent="0.3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 x14ac:dyDescent="0.3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 x14ac:dyDescent="0.3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 x14ac:dyDescent="0.3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 x14ac:dyDescent="0.3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 x14ac:dyDescent="0.3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 x14ac:dyDescent="0.3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 x14ac:dyDescent="0.3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 x14ac:dyDescent="0.3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 x14ac:dyDescent="0.3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 x14ac:dyDescent="0.3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ELIA SICCHIERO</v>
      </c>
      <c r="F273" t="str">
        <f>IF(E273="","",Rosters!AD4)</f>
        <v>No</v>
      </c>
      <c r="G273" t="str">
        <f t="shared" si="9"/>
        <v>7 - ELIA SICCHIERO</v>
      </c>
    </row>
    <row r="274" spans="1:7" x14ac:dyDescent="0.3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 x14ac:dyDescent="0.3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NICCOLO' PALTANIN</v>
      </c>
      <c r="F275" t="str">
        <f>IF(E275="","",Rosters!AD6)</f>
        <v>No</v>
      </c>
      <c r="G275" t="str">
        <f t="shared" si="9"/>
        <v>10 - NICCOLO' PALTANIN</v>
      </c>
    </row>
    <row r="276" spans="1:7" x14ac:dyDescent="0.3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 x14ac:dyDescent="0.3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 x14ac:dyDescent="0.3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 x14ac:dyDescent="0.3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 x14ac:dyDescent="0.3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 x14ac:dyDescent="0.3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 x14ac:dyDescent="0.3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 x14ac:dyDescent="0.3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 x14ac:dyDescent="0.3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 x14ac:dyDescent="0.3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 x14ac:dyDescent="0.3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 x14ac:dyDescent="0.3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 x14ac:dyDescent="0.3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 x14ac:dyDescent="0.3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 x14ac:dyDescent="0.3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 x14ac:dyDescent="0.3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 x14ac:dyDescent="0.3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 x14ac:dyDescent="0.3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 x14ac:dyDescent="0.3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 x14ac:dyDescent="0.3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 x14ac:dyDescent="0.3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 x14ac:dyDescent="0.3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 x14ac:dyDescent="0.3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 x14ac:dyDescent="0.3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 x14ac:dyDescent="0.3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 x14ac:dyDescent="0.3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 x14ac:dyDescent="0.3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 x14ac:dyDescent="0.3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 x14ac:dyDescent="0.3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 x14ac:dyDescent="0.3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 x14ac:dyDescent="0.3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 x14ac:dyDescent="0.3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 x14ac:dyDescent="0.3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 x14ac:dyDescent="0.3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 x14ac:dyDescent="0.3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 x14ac:dyDescent="0.3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 x14ac:dyDescent="0.3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 x14ac:dyDescent="0.3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 x14ac:dyDescent="0.3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 x14ac:dyDescent="0.3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 x14ac:dyDescent="0.3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 x14ac:dyDescent="0.3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 x14ac:dyDescent="0.3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 x14ac:dyDescent="0.3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 x14ac:dyDescent="0.3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 x14ac:dyDescent="0.3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 x14ac:dyDescent="0.3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 x14ac:dyDescent="0.3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 x14ac:dyDescent="0.3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 x14ac:dyDescent="0.3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 x14ac:dyDescent="0.3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 x14ac:dyDescent="0.3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 x14ac:dyDescent="0.3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 x14ac:dyDescent="0.3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 x14ac:dyDescent="0.3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 x14ac:dyDescent="0.3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 x14ac:dyDescent="0.3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 x14ac:dyDescent="0.3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 x14ac:dyDescent="0.3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 x14ac:dyDescent="0.3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ALEX MENEGHELLO</v>
      </c>
      <c r="F335" t="str">
        <f>IF(E335="","",Rosters!AJ6)</f>
        <v>No</v>
      </c>
      <c r="G335" t="str">
        <f t="shared" si="11"/>
        <v>8 - ALEX MENEGHELLO</v>
      </c>
    </row>
    <row r="336" spans="1:7" x14ac:dyDescent="0.3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 x14ac:dyDescent="0.3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 x14ac:dyDescent="0.3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 x14ac:dyDescent="0.3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 x14ac:dyDescent="0.3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 x14ac:dyDescent="0.3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 x14ac:dyDescent="0.3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 x14ac:dyDescent="0.3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 x14ac:dyDescent="0.3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 x14ac:dyDescent="0.3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 x14ac:dyDescent="0.3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 x14ac:dyDescent="0.3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 x14ac:dyDescent="0.3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 x14ac:dyDescent="0.3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 x14ac:dyDescent="0.3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 x14ac:dyDescent="0.3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 x14ac:dyDescent="0.3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 x14ac:dyDescent="0.3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 x14ac:dyDescent="0.3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 x14ac:dyDescent="0.3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 x14ac:dyDescent="0.3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 x14ac:dyDescent="0.3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 x14ac:dyDescent="0.3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 x14ac:dyDescent="0.3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 x14ac:dyDescent="0.3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 x14ac:dyDescent="0.3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 x14ac:dyDescent="0.3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 x14ac:dyDescent="0.3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 x14ac:dyDescent="0.3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 x14ac:dyDescent="0.3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 x14ac:dyDescent="0.3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 x14ac:dyDescent="0.3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 x14ac:dyDescent="0.3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 x14ac:dyDescent="0.3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 x14ac:dyDescent="0.3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 x14ac:dyDescent="0.3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 x14ac:dyDescent="0.3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 x14ac:dyDescent="0.3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 x14ac:dyDescent="0.3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 x14ac:dyDescent="0.3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 x14ac:dyDescent="0.3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 x14ac:dyDescent="0.3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 x14ac:dyDescent="0.3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 x14ac:dyDescent="0.3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 x14ac:dyDescent="0.3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 x14ac:dyDescent="0.3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 x14ac:dyDescent="0.3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 x14ac:dyDescent="0.3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 x14ac:dyDescent="0.3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 x14ac:dyDescent="0.3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 x14ac:dyDescent="0.3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 x14ac:dyDescent="0.3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 x14ac:dyDescent="0.3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 x14ac:dyDescent="0.3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 x14ac:dyDescent="0.3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 x14ac:dyDescent="0.3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 x14ac:dyDescent="0.3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 x14ac:dyDescent="0.3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 x14ac:dyDescent="0.3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 x14ac:dyDescent="0.3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 x14ac:dyDescent="0.3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 x14ac:dyDescent="0.3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 x14ac:dyDescent="0.3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 x14ac:dyDescent="0.3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 x14ac:dyDescent="0.3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 x14ac:dyDescent="0.3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 x14ac:dyDescent="0.3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 x14ac:dyDescent="0.3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 x14ac:dyDescent="0.3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 x14ac:dyDescent="0.3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 x14ac:dyDescent="0.3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 x14ac:dyDescent="0.3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 x14ac:dyDescent="0.3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 x14ac:dyDescent="0.3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 x14ac:dyDescent="0.3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 x14ac:dyDescent="0.3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 x14ac:dyDescent="0.3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 x14ac:dyDescent="0.3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 x14ac:dyDescent="0.3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 x14ac:dyDescent="0.3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 x14ac:dyDescent="0.3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 x14ac:dyDescent="0.3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 x14ac:dyDescent="0.3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 x14ac:dyDescent="0.3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 x14ac:dyDescent="0.3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 x14ac:dyDescent="0.3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 x14ac:dyDescent="0.3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 x14ac:dyDescent="0.3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 x14ac:dyDescent="0.3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 x14ac:dyDescent="0.3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 x14ac:dyDescent="0.3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 x14ac:dyDescent="0.3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 x14ac:dyDescent="0.3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 x14ac:dyDescent="0.3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 x14ac:dyDescent="0.3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 x14ac:dyDescent="0.3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 x14ac:dyDescent="0.3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 x14ac:dyDescent="0.3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 x14ac:dyDescent="0.3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 x14ac:dyDescent="0.3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 x14ac:dyDescent="0.3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 x14ac:dyDescent="0.3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 x14ac:dyDescent="0.3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 x14ac:dyDescent="0.3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 x14ac:dyDescent="0.3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 x14ac:dyDescent="0.3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 x14ac:dyDescent="0.3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 x14ac:dyDescent="0.3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 x14ac:dyDescent="0.3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 x14ac:dyDescent="0.3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 x14ac:dyDescent="0.3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 x14ac:dyDescent="0.3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 x14ac:dyDescent="0.3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 x14ac:dyDescent="0.3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 x14ac:dyDescent="0.3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 x14ac:dyDescent="0.3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 x14ac:dyDescent="0.3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 x14ac:dyDescent="0.3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 x14ac:dyDescent="0.3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 x14ac:dyDescent="0.3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 x14ac:dyDescent="0.3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 x14ac:dyDescent="0.3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 x14ac:dyDescent="0.3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 x14ac:dyDescent="0.3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 x14ac:dyDescent="0.3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 x14ac:dyDescent="0.3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 x14ac:dyDescent="0.3">
      <c r="A462" t="str">
        <f t="shared" si="14"/>
        <v>P461</v>
      </c>
      <c r="B462" t="str">
        <f>IF(E462="","",Teams!A17)</f>
        <v>T16</v>
      </c>
      <c r="C462" t="str">
        <f>IF(E462="","",Teams!C17)</f>
        <v>Piadineria la Salsiccia</v>
      </c>
      <c r="D462">
        <f>IF(E462="","",Rosters!AT13)</f>
        <v>7</v>
      </c>
      <c r="E462" t="str">
        <f>IF(Rosters!AU13="","",Rosters!AU13)</f>
        <v>MATTEO BOLZANI</v>
      </c>
      <c r="F462" t="str">
        <f>IF(E462="","",Rosters!AV13)</f>
        <v>No</v>
      </c>
      <c r="G462" t="str">
        <f t="shared" si="15"/>
        <v>7 - MATTEO BOLZANI</v>
      </c>
    </row>
    <row r="463" spans="1:7" x14ac:dyDescent="0.3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 x14ac:dyDescent="0.3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 x14ac:dyDescent="0.3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 x14ac:dyDescent="0.3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 x14ac:dyDescent="0.3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 x14ac:dyDescent="0.3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 x14ac:dyDescent="0.3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 x14ac:dyDescent="0.3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 x14ac:dyDescent="0.3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 x14ac:dyDescent="0.3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 x14ac:dyDescent="0.3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 x14ac:dyDescent="0.3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 x14ac:dyDescent="0.3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 x14ac:dyDescent="0.3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 x14ac:dyDescent="0.3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 x14ac:dyDescent="0.3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 x14ac:dyDescent="0.3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 x14ac:dyDescent="0.3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 x14ac:dyDescent="0.3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1" workbookViewId="0">
      <selection activeCell="I10" sqref="I10"/>
    </sheetView>
  </sheetViews>
  <sheetFormatPr defaultRowHeight="14.4" x14ac:dyDescent="0.3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 x14ac:dyDescent="0.3">
      <c r="A1" s="5" t="s">
        <v>243</v>
      </c>
      <c r="B1" s="5" t="s">
        <v>244</v>
      </c>
      <c r="C1" s="5" t="s">
        <v>1</v>
      </c>
      <c r="D1" s="5" t="s">
        <v>245</v>
      </c>
      <c r="E1" s="5" t="s">
        <v>246</v>
      </c>
      <c r="F1" s="8" t="s">
        <v>247</v>
      </c>
      <c r="G1" s="5" t="s">
        <v>248</v>
      </c>
      <c r="H1" s="5" t="s">
        <v>249</v>
      </c>
      <c r="I1" s="5" t="s">
        <v>250</v>
      </c>
      <c r="J1" s="5" t="s">
        <v>251</v>
      </c>
      <c r="K1" s="5" t="s">
        <v>56</v>
      </c>
      <c r="L1" s="5" t="s">
        <v>252</v>
      </c>
      <c r="M1" s="5" t="s">
        <v>253</v>
      </c>
      <c r="N1" s="5" t="s">
        <v>254</v>
      </c>
      <c r="O1" s="5" t="s">
        <v>255</v>
      </c>
      <c r="P1" s="5" t="s">
        <v>256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257</v>
      </c>
      <c r="B2" t="s">
        <v>1</v>
      </c>
      <c r="C2" t="s">
        <v>32</v>
      </c>
      <c r="D2">
        <v>1</v>
      </c>
      <c r="E2" t="s">
        <v>258</v>
      </c>
      <c r="F2" s="10">
        <v>0.59375</v>
      </c>
      <c r="G2" t="s">
        <v>33</v>
      </c>
      <c r="H2" t="s">
        <v>35</v>
      </c>
      <c r="I2" s="2">
        <v>1</v>
      </c>
      <c r="J2" s="2">
        <v>2</v>
      </c>
      <c r="K2" s="2"/>
      <c r="L2" t="str">
        <f t="shared" ref="L2:L25" si="0">IF(OR(I2="",J2=""),"Pending",IF(I2=J2,IF(K2="","Needs penalty winner","Complete"),"Complete"))</f>
        <v>Complete</v>
      </c>
      <c r="M2">
        <f>IF(OR(I2="",J2=""),"",IF(I2&gt;J2,Settings!$B$2,IF(I2&lt;J2,Settings!$B$5,IF(K2=G2,Settings!$B$3,IF(K2=H2,Settings!$B$4,"")))))</f>
        <v>0</v>
      </c>
      <c r="N2">
        <f>IF(OR(I2="",J2=""),"",IF(J2&gt;I2,Settings!$B$2,IF(J2&lt;I2,Settings!$B$5,IF(K2=H2,Settings!$B$3,IF(K2=G2,Settings!$B$4,"")))))</f>
        <v>3</v>
      </c>
      <c r="O2" t="str">
        <f t="shared" ref="O2:O25" si="1">IF(OR(I2="",J2=""),"",IF(I2&gt;J2,G2,IF(J2&gt;I2,H2,K2)))</f>
        <v>Boldò Glimt</v>
      </c>
      <c r="P2" t="str">
        <f t="shared" ref="P2:P25" si="2">IF(OR(I2="",J2=""),"",G2&amp;" "&amp;I2&amp;" - "&amp;J2&amp;" "&amp;H2&amp;IF(K2&lt;&gt;""," (rigori: "&amp;K2&amp;")",""))</f>
        <v>All Blacks 1 - 2 Boldò Glimt</v>
      </c>
    </row>
    <row r="3" spans="1:26" x14ac:dyDescent="0.3">
      <c r="A3" t="s">
        <v>259</v>
      </c>
      <c r="B3" t="s">
        <v>1</v>
      </c>
      <c r="C3" t="s">
        <v>32</v>
      </c>
      <c r="D3">
        <v>1</v>
      </c>
      <c r="E3" t="s">
        <v>260</v>
      </c>
      <c r="F3" s="10">
        <v>0.59375</v>
      </c>
      <c r="G3" t="s">
        <v>37</v>
      </c>
      <c r="H3" t="s">
        <v>39</v>
      </c>
      <c r="I3" s="2">
        <v>0</v>
      </c>
      <c r="J3" s="2">
        <v>1</v>
      </c>
      <c r="K3" s="2"/>
      <c r="L3" t="str">
        <f t="shared" si="0"/>
        <v>Complete</v>
      </c>
      <c r="M3">
        <f>IF(OR(I3="",J3=""),"",IF(I3&gt;J3,Settings!$B$2,IF(I3&lt;J3,Settings!$B$5,IF(K3=G3,Settings!$B$3,IF(K3=H3,Settings!$B$4,"")))))</f>
        <v>0</v>
      </c>
      <c r="N3">
        <f>IF(OR(I3="",J3=""),"",IF(J3&gt;I3,Settings!$B$2,IF(J3&lt;I3,Settings!$B$5,IF(K3=H3,Settings!$B$3,IF(K3=G3,Settings!$B$4,"")))))</f>
        <v>3</v>
      </c>
      <c r="O3" t="str">
        <f t="shared" si="1"/>
        <v>Piadineria la Salsiccia</v>
      </c>
      <c r="P3" t="str">
        <f t="shared" si="2"/>
        <v>Coca Juniors 0 - 1 Piadineria la Salsiccia</v>
      </c>
    </row>
    <row r="4" spans="1:26" x14ac:dyDescent="0.3">
      <c r="A4" t="s">
        <v>261</v>
      </c>
      <c r="B4" t="s">
        <v>1</v>
      </c>
      <c r="C4" t="s">
        <v>14</v>
      </c>
      <c r="D4">
        <v>1</v>
      </c>
      <c r="E4" t="s">
        <v>262</v>
      </c>
      <c r="F4" s="10">
        <v>0.59375</v>
      </c>
      <c r="G4" t="s">
        <v>15</v>
      </c>
      <c r="H4" t="s">
        <v>17</v>
      </c>
      <c r="I4" s="2">
        <v>0</v>
      </c>
      <c r="J4" s="2">
        <v>10</v>
      </c>
      <c r="K4" s="2"/>
      <c r="L4" t="str">
        <f t="shared" si="0"/>
        <v>Complete</v>
      </c>
      <c r="M4">
        <f>IF(OR(I4="",J4=""),"",IF(I4&gt;J4,Settings!$B$2,IF(I4&lt;J4,Settings!$B$5,IF(K4=G4,Settings!$B$3,IF(K4=H4,Settings!$B$4,"")))))</f>
        <v>0</v>
      </c>
      <c r="N4">
        <f>IF(OR(I4="",J4=""),"",IF(J4&gt;I4,Settings!$B$2,IF(J4&lt;I4,Settings!$B$5,IF(K4=H4,Settings!$B$3,IF(K4=G4,Settings!$B$4,"")))))</f>
        <v>3</v>
      </c>
      <c r="O4" t="str">
        <f t="shared" si="1"/>
        <v>Vecchie Glorie Rovigo</v>
      </c>
      <c r="P4" t="str">
        <f t="shared" si="2"/>
        <v>Totani 0 - 10 Vecchie Glorie Rovigo</v>
      </c>
    </row>
    <row r="5" spans="1:26" x14ac:dyDescent="0.3">
      <c r="A5" t="s">
        <v>263</v>
      </c>
      <c r="B5" t="s">
        <v>1</v>
      </c>
      <c r="C5" t="s">
        <v>23</v>
      </c>
      <c r="D5">
        <v>1</v>
      </c>
      <c r="E5" t="s">
        <v>258</v>
      </c>
      <c r="F5" s="10">
        <v>0.61458333333333337</v>
      </c>
      <c r="G5" t="s">
        <v>24</v>
      </c>
      <c r="H5" t="s">
        <v>26</v>
      </c>
      <c r="I5" s="2"/>
      <c r="J5" s="2"/>
      <c r="K5" s="2"/>
      <c r="L5" t="str">
        <f t="shared" si="0"/>
        <v>Pending</v>
      </c>
      <c r="M5" t="str">
        <f>IF(OR(I5="",J5=""),"",IF(I5&gt;J5,Settings!$B$2,IF(I5&lt;J5,Settings!$B$5,IF(K5=G5,Settings!$B$3,IF(K5=H5,Settings!$B$4,"")))))</f>
        <v/>
      </c>
      <c r="N5" t="str">
        <f>IF(OR(I5="",J5=""),"",IF(J5&gt;I5,Settings!$B$2,IF(J5&lt;I5,Settings!$B$5,IF(K5=H5,Settings!$B$3,IF(K5=G5,Settings!$B$4,"")))))</f>
        <v/>
      </c>
      <c r="O5" t="str">
        <f t="shared" si="1"/>
        <v/>
      </c>
      <c r="P5" t="str">
        <f t="shared" si="2"/>
        <v/>
      </c>
    </row>
    <row r="6" spans="1:26" x14ac:dyDescent="0.3">
      <c r="A6" t="s">
        <v>264</v>
      </c>
      <c r="B6" t="s">
        <v>1</v>
      </c>
      <c r="C6" t="s">
        <v>23</v>
      </c>
      <c r="D6">
        <v>1</v>
      </c>
      <c r="E6" t="s">
        <v>260</v>
      </c>
      <c r="F6" s="10">
        <v>0.61458333333333337</v>
      </c>
      <c r="G6" t="s">
        <v>28</v>
      </c>
      <c r="H6" t="s">
        <v>30</v>
      </c>
      <c r="I6" s="2"/>
      <c r="J6" s="2"/>
      <c r="K6" s="2"/>
      <c r="L6" t="str">
        <f t="shared" si="0"/>
        <v>Pending</v>
      </c>
      <c r="M6" t="str">
        <f>IF(OR(I6="",J6=""),"",IF(I6&gt;J6,Settings!$B$2,IF(I6&lt;J6,Settings!$B$5,IF(K6=G6,Settings!$B$3,IF(K6=H6,Settings!$B$4,"")))))</f>
        <v/>
      </c>
      <c r="N6" t="str">
        <f>IF(OR(I6="",J6=""),"",IF(J6&gt;I6,Settings!$B$2,IF(J6&lt;I6,Settings!$B$5,IF(K6=H6,Settings!$B$3,IF(K6=G6,Settings!$B$4,"")))))</f>
        <v/>
      </c>
      <c r="O6" t="str">
        <f t="shared" si="1"/>
        <v/>
      </c>
      <c r="P6" t="str">
        <f t="shared" si="2"/>
        <v/>
      </c>
    </row>
    <row r="7" spans="1:26" x14ac:dyDescent="0.3">
      <c r="A7" t="s">
        <v>265</v>
      </c>
      <c r="B7" t="s">
        <v>1</v>
      </c>
      <c r="C7" t="s">
        <v>14</v>
      </c>
      <c r="D7">
        <v>1</v>
      </c>
      <c r="E7" t="s">
        <v>262</v>
      </c>
      <c r="F7" s="10">
        <v>0.61458333333333337</v>
      </c>
      <c r="G7" t="s">
        <v>19</v>
      </c>
      <c r="H7" t="s">
        <v>21</v>
      </c>
      <c r="I7" s="2"/>
      <c r="J7" s="2"/>
      <c r="K7" s="2"/>
      <c r="L7" t="str">
        <f t="shared" si="0"/>
        <v>Pending</v>
      </c>
      <c r="M7" t="str">
        <f>IF(OR(I7="",J7=""),"",IF(I7&gt;J7,Settings!$B$2,IF(I7&lt;J7,Settings!$B$5,IF(K7=G7,Settings!$B$3,IF(K7=H7,Settings!$B$4,"")))))</f>
        <v/>
      </c>
      <c r="N7" t="str">
        <f>IF(OR(I7="",J7=""),"",IF(J7&gt;I7,Settings!$B$2,IF(J7&lt;I7,Settings!$B$5,IF(K7=H7,Settings!$B$3,IF(K7=G7,Settings!$B$4,"")))))</f>
        <v/>
      </c>
      <c r="O7" t="str">
        <f t="shared" si="1"/>
        <v/>
      </c>
      <c r="P7" t="str">
        <f t="shared" si="2"/>
        <v/>
      </c>
    </row>
    <row r="8" spans="1:26" x14ac:dyDescent="0.3">
      <c r="A8" t="s">
        <v>266</v>
      </c>
      <c r="B8" t="s">
        <v>1</v>
      </c>
      <c r="C8" t="s">
        <v>5</v>
      </c>
      <c r="D8">
        <v>1</v>
      </c>
      <c r="E8" t="s">
        <v>258</v>
      </c>
      <c r="F8" s="10">
        <v>0.63541666666666663</v>
      </c>
      <c r="G8" t="s">
        <v>6</v>
      </c>
      <c r="H8" t="s">
        <v>8</v>
      </c>
      <c r="I8" s="2"/>
      <c r="J8" s="2"/>
      <c r="K8" s="2"/>
      <c r="L8" t="str">
        <f t="shared" si="0"/>
        <v>Pending</v>
      </c>
      <c r="M8" t="str">
        <f>IF(OR(I8="",J8=""),"",IF(I8&gt;J8,Settings!$B$2,IF(I8&lt;J8,Settings!$B$5,IF(K8=G8,Settings!$B$3,IF(K8=H8,Settings!$B$4,"")))))</f>
        <v/>
      </c>
      <c r="N8" t="str">
        <f>IF(OR(I8="",J8=""),"",IF(J8&gt;I8,Settings!$B$2,IF(J8&lt;I8,Settings!$B$5,IF(K8=H8,Settings!$B$3,IF(K8=G8,Settings!$B$4,"")))))</f>
        <v/>
      </c>
      <c r="O8" t="str">
        <f t="shared" si="1"/>
        <v/>
      </c>
      <c r="P8" t="str">
        <f t="shared" si="2"/>
        <v/>
      </c>
    </row>
    <row r="9" spans="1:26" x14ac:dyDescent="0.3">
      <c r="A9" t="s">
        <v>267</v>
      </c>
      <c r="B9" t="s">
        <v>1</v>
      </c>
      <c r="C9" t="s">
        <v>5</v>
      </c>
      <c r="D9">
        <v>1</v>
      </c>
      <c r="E9" t="s">
        <v>260</v>
      </c>
      <c r="F9" s="10">
        <v>0.63541666666666663</v>
      </c>
      <c r="G9" t="s">
        <v>10</v>
      </c>
      <c r="H9" t="s">
        <v>12</v>
      </c>
      <c r="I9" s="2"/>
      <c r="J9" s="2"/>
      <c r="K9" s="2"/>
      <c r="L9" t="str">
        <f t="shared" si="0"/>
        <v>Pending</v>
      </c>
      <c r="M9" t="str">
        <f>IF(OR(I9="",J9=""),"",IF(I9&gt;J9,Settings!$B$2,IF(I9&lt;J9,Settings!$B$5,IF(K9=G9,Settings!$B$3,IF(K9=H9,Settings!$B$4,"")))))</f>
        <v/>
      </c>
      <c r="N9" t="str">
        <f>IF(OR(I9="",J9=""),"",IF(J9&gt;I9,Settings!$B$2,IF(J9&lt;I9,Settings!$B$5,IF(K9=H9,Settings!$B$3,IF(K9=G9,Settings!$B$4,"")))))</f>
        <v/>
      </c>
      <c r="O9" t="str">
        <f t="shared" si="1"/>
        <v/>
      </c>
      <c r="P9" t="str">
        <f t="shared" si="2"/>
        <v/>
      </c>
    </row>
    <row r="10" spans="1:26" x14ac:dyDescent="0.3">
      <c r="A10" t="s">
        <v>268</v>
      </c>
      <c r="B10" t="s">
        <v>1</v>
      </c>
      <c r="C10" t="s">
        <v>32</v>
      </c>
      <c r="D10">
        <v>2</v>
      </c>
      <c r="E10" t="s">
        <v>262</v>
      </c>
      <c r="F10" s="10">
        <v>0.63541666666666663</v>
      </c>
      <c r="G10" t="s">
        <v>33</v>
      </c>
      <c r="H10" t="s">
        <v>37</v>
      </c>
      <c r="I10" s="2"/>
      <c r="J10" s="2"/>
      <c r="K10" s="2"/>
      <c r="L10" t="str">
        <f t="shared" si="0"/>
        <v>Pending</v>
      </c>
      <c r="M10" t="str">
        <f>IF(OR(I10="",J10=""),"",IF(I10&gt;J10,Settings!$B$2,IF(I10&lt;J10,Settings!$B$5,IF(K10=G10,Settings!$B$3,IF(K10=H10,Settings!$B$4,"")))))</f>
        <v/>
      </c>
      <c r="N10" t="str">
        <f>IF(OR(I10="",J10=""),"",IF(J10&gt;I10,Settings!$B$2,IF(J10&lt;I10,Settings!$B$5,IF(K10=H10,Settings!$B$3,IF(K10=G10,Settings!$B$4,"")))))</f>
        <v/>
      </c>
      <c r="O10" t="str">
        <f t="shared" si="1"/>
        <v/>
      </c>
      <c r="P10" t="str">
        <f t="shared" si="2"/>
        <v/>
      </c>
    </row>
    <row r="11" spans="1:26" x14ac:dyDescent="0.3">
      <c r="A11" t="s">
        <v>269</v>
      </c>
      <c r="B11" t="s">
        <v>1</v>
      </c>
      <c r="C11" t="s">
        <v>14</v>
      </c>
      <c r="D11">
        <v>2</v>
      </c>
      <c r="E11" t="s">
        <v>258</v>
      </c>
      <c r="F11" s="10">
        <v>0.65625</v>
      </c>
      <c r="G11" t="s">
        <v>15</v>
      </c>
      <c r="H11" t="s">
        <v>19</v>
      </c>
      <c r="I11" s="2"/>
      <c r="J11" s="2"/>
      <c r="K11" s="2"/>
      <c r="L11" t="str">
        <f t="shared" si="0"/>
        <v>Pending</v>
      </c>
      <c r="M11" t="str">
        <f>IF(OR(I11="",J11=""),"",IF(I11&gt;J11,Settings!$B$2,IF(I11&lt;J11,Settings!$B$5,IF(K11=G11,Settings!$B$3,IF(K11=H11,Settings!$B$4,"")))))</f>
        <v/>
      </c>
      <c r="N11" t="str">
        <f>IF(OR(I11="",J11=""),"",IF(J11&gt;I11,Settings!$B$2,IF(J11&lt;I11,Settings!$B$5,IF(K11=H11,Settings!$B$3,IF(K11=G11,Settings!$B$4,"")))))</f>
        <v/>
      </c>
      <c r="O11" t="str">
        <f t="shared" si="1"/>
        <v/>
      </c>
      <c r="P11" t="str">
        <f t="shared" si="2"/>
        <v/>
      </c>
    </row>
    <row r="12" spans="1:26" x14ac:dyDescent="0.3">
      <c r="A12" t="s">
        <v>270</v>
      </c>
      <c r="B12" t="s">
        <v>1</v>
      </c>
      <c r="C12" t="s">
        <v>14</v>
      </c>
      <c r="D12">
        <v>2</v>
      </c>
      <c r="E12" t="s">
        <v>260</v>
      </c>
      <c r="F12" s="10">
        <v>0.65625</v>
      </c>
      <c r="G12" t="s">
        <v>17</v>
      </c>
      <c r="H12" t="s">
        <v>21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 x14ac:dyDescent="0.3">
      <c r="A13" t="s">
        <v>271</v>
      </c>
      <c r="B13" t="s">
        <v>1</v>
      </c>
      <c r="C13" t="s">
        <v>32</v>
      </c>
      <c r="D13">
        <v>2</v>
      </c>
      <c r="E13" t="s">
        <v>262</v>
      </c>
      <c r="F13" s="10">
        <v>0.65625</v>
      </c>
      <c r="G13" t="s">
        <v>35</v>
      </c>
      <c r="H13" t="s">
        <v>39</v>
      </c>
      <c r="I13" s="2"/>
      <c r="J13" s="2"/>
      <c r="K13" s="2"/>
      <c r="L13" t="str">
        <f t="shared" si="0"/>
        <v>Pending</v>
      </c>
      <c r="M13" t="str">
        <f>IF(OR(I13="",J13=""),"",IF(I13&gt;J13,Settings!$B$2,IF(I13&lt;J13,Settings!$B$5,IF(K13=G13,Settings!$B$3,IF(K13=H13,Settings!$B$4,"")))))</f>
        <v/>
      </c>
      <c r="N13" t="str">
        <f>IF(OR(I13="",J13=""),"",IF(J13&gt;I13,Settings!$B$2,IF(J13&lt;I13,Settings!$B$5,IF(K13=H13,Settings!$B$3,IF(K13=G13,Settings!$B$4,"")))))</f>
        <v/>
      </c>
      <c r="O13" t="str">
        <f t="shared" si="1"/>
        <v/>
      </c>
      <c r="P13" t="str">
        <f t="shared" si="2"/>
        <v/>
      </c>
    </row>
    <row r="14" spans="1:26" x14ac:dyDescent="0.3">
      <c r="A14" t="s">
        <v>272</v>
      </c>
      <c r="B14" t="s">
        <v>1</v>
      </c>
      <c r="C14" t="s">
        <v>23</v>
      </c>
      <c r="D14">
        <v>2</v>
      </c>
      <c r="E14" t="s">
        <v>258</v>
      </c>
      <c r="F14" s="10">
        <v>0.6875</v>
      </c>
      <c r="G14" t="s">
        <v>24</v>
      </c>
      <c r="H14" t="s">
        <v>28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 x14ac:dyDescent="0.3">
      <c r="A15" t="s">
        <v>273</v>
      </c>
      <c r="B15" t="s">
        <v>1</v>
      </c>
      <c r="C15" t="s">
        <v>23</v>
      </c>
      <c r="D15">
        <v>2</v>
      </c>
      <c r="E15" t="s">
        <v>260</v>
      </c>
      <c r="F15" s="10">
        <v>0.6875</v>
      </c>
      <c r="G15" t="s">
        <v>26</v>
      </c>
      <c r="H15" t="s">
        <v>30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 x14ac:dyDescent="0.3">
      <c r="A16" t="s">
        <v>274</v>
      </c>
      <c r="B16" t="s">
        <v>1</v>
      </c>
      <c r="C16" t="s">
        <v>5</v>
      </c>
      <c r="D16">
        <v>2</v>
      </c>
      <c r="E16" t="s">
        <v>262</v>
      </c>
      <c r="F16" s="10">
        <v>0.6875</v>
      </c>
      <c r="G16" t="s">
        <v>6</v>
      </c>
      <c r="H16" t="s">
        <v>10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 x14ac:dyDescent="0.3">
      <c r="A17" t="s">
        <v>275</v>
      </c>
      <c r="B17" t="s">
        <v>1</v>
      </c>
      <c r="C17" t="s">
        <v>32</v>
      </c>
      <c r="D17">
        <v>3</v>
      </c>
      <c r="E17" t="s">
        <v>258</v>
      </c>
      <c r="F17" s="10">
        <v>0.70833333333333337</v>
      </c>
      <c r="G17" t="s">
        <v>33</v>
      </c>
      <c r="H17" t="s">
        <v>39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 x14ac:dyDescent="0.3">
      <c r="A18" t="s">
        <v>276</v>
      </c>
      <c r="B18" t="s">
        <v>1</v>
      </c>
      <c r="C18" t="s">
        <v>32</v>
      </c>
      <c r="D18">
        <v>3</v>
      </c>
      <c r="E18" t="s">
        <v>260</v>
      </c>
      <c r="F18" s="10">
        <v>0.70833333333333337</v>
      </c>
      <c r="G18" t="s">
        <v>35</v>
      </c>
      <c r="H18" t="s">
        <v>37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 x14ac:dyDescent="0.3">
      <c r="A19" t="s">
        <v>277</v>
      </c>
      <c r="B19" t="s">
        <v>1</v>
      </c>
      <c r="C19" t="s">
        <v>5</v>
      </c>
      <c r="D19">
        <v>2</v>
      </c>
      <c r="E19" t="s">
        <v>262</v>
      </c>
      <c r="F19" s="10">
        <v>0.70833333333333337</v>
      </c>
      <c r="G19" t="s">
        <v>8</v>
      </c>
      <c r="H19" t="s">
        <v>12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 x14ac:dyDescent="0.3">
      <c r="A20" t="s">
        <v>278</v>
      </c>
      <c r="B20" t="s">
        <v>1</v>
      </c>
      <c r="C20" t="s">
        <v>14</v>
      </c>
      <c r="D20">
        <v>3</v>
      </c>
      <c r="E20" t="s">
        <v>258</v>
      </c>
      <c r="F20" s="10">
        <v>0.72916666666666663</v>
      </c>
      <c r="G20" t="s">
        <v>15</v>
      </c>
      <c r="H20" t="s">
        <v>21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 x14ac:dyDescent="0.3">
      <c r="A21" t="s">
        <v>279</v>
      </c>
      <c r="B21" t="s">
        <v>1</v>
      </c>
      <c r="C21" t="s">
        <v>14</v>
      </c>
      <c r="D21">
        <v>3</v>
      </c>
      <c r="E21" t="s">
        <v>260</v>
      </c>
      <c r="F21" s="10">
        <v>0.72916666666666663</v>
      </c>
      <c r="G21" t="s">
        <v>17</v>
      </c>
      <c r="H21" t="s">
        <v>19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 x14ac:dyDescent="0.3">
      <c r="A22" t="s">
        <v>280</v>
      </c>
      <c r="B22" t="s">
        <v>1</v>
      </c>
      <c r="C22" t="s">
        <v>23</v>
      </c>
      <c r="D22">
        <v>3</v>
      </c>
      <c r="E22" t="s">
        <v>262</v>
      </c>
      <c r="F22" s="10">
        <v>0.69930555555555551</v>
      </c>
      <c r="G22" t="s">
        <v>24</v>
      </c>
      <c r="H22" t="s">
        <v>30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 x14ac:dyDescent="0.3">
      <c r="A23" t="s">
        <v>281</v>
      </c>
      <c r="B23" t="s">
        <v>1</v>
      </c>
      <c r="C23" t="s">
        <v>5</v>
      </c>
      <c r="D23">
        <v>3</v>
      </c>
      <c r="E23" t="s">
        <v>258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 x14ac:dyDescent="0.3">
      <c r="A24" t="s">
        <v>282</v>
      </c>
      <c r="B24" t="s">
        <v>1</v>
      </c>
      <c r="C24" t="s">
        <v>5</v>
      </c>
      <c r="D24">
        <v>3</v>
      </c>
      <c r="E24" t="s">
        <v>260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 x14ac:dyDescent="0.3">
      <c r="A25" t="s">
        <v>283</v>
      </c>
      <c r="B25" t="s">
        <v>1</v>
      </c>
      <c r="C25" t="s">
        <v>23</v>
      </c>
      <c r="D25">
        <v>3</v>
      </c>
      <c r="E25" t="s">
        <v>262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tabSelected="1" topLeftCell="A7" workbookViewId="0">
      <selection activeCell="E36" sqref="E36"/>
    </sheetView>
  </sheetViews>
  <sheetFormatPr defaultRowHeight="14.4" x14ac:dyDescent="0.3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 x14ac:dyDescent="0.3">
      <c r="A1" s="5" t="s">
        <v>243</v>
      </c>
      <c r="B1" s="5" t="s">
        <v>284</v>
      </c>
      <c r="C1" s="5" t="s">
        <v>285</v>
      </c>
      <c r="D1" s="5" t="s">
        <v>58</v>
      </c>
      <c r="E1" s="5" t="s">
        <v>286</v>
      </c>
      <c r="F1" s="5" t="s">
        <v>287</v>
      </c>
      <c r="G1" s="5" t="s">
        <v>252</v>
      </c>
      <c r="H1" s="5" t="s">
        <v>288</v>
      </c>
      <c r="I1" s="5" t="s">
        <v>289</v>
      </c>
      <c r="J1" s="5" t="s">
        <v>290</v>
      </c>
      <c r="K1" s="5" t="s">
        <v>291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IF(OR(INDEX(Matches!$I$2:$I$25,I2-1)="",INDEX(Matches!$J$2:$J$25,I2-1)=""),"",IF(J2&lt;=INDEX(Matches!$I$2:$I$25,I2-1)+INDEX(Matches!$J$2:$J$25,I2-1),INDEX(Matches!$A$2:$A$25,I2-1),""))</f>
        <v>M01</v>
      </c>
      <c r="B2" t="str">
        <f>IF(A2="","",IF(J2&lt;=INDEX(Matches!$I$2:$I$25,I2-1),INDEX(Matches!$G$2:$G$25,I2-1),INDEX(Matches!$H$2:$H$25,I2-1)))</f>
        <v>All Blacks</v>
      </c>
      <c r="C2">
        <f>IF(A2="","",COUNTIFS($A$2:A2,A2,$B$2:B2,B2))</f>
        <v>1</v>
      </c>
      <c r="D2" s="2" t="str">
        <f t="shared" ref="D2:D65" si="0">IF(A2="","","Goal")</f>
        <v>Goal</v>
      </c>
      <c r="E2" s="2" t="s">
        <v>404</v>
      </c>
      <c r="F2" t="str">
        <f t="shared" ref="F2:F65" si="1">IF(A2="","",IF(D2="Autogol","",IF(D2="Goal",B2,"")))</f>
        <v>All Blacks</v>
      </c>
      <c r="G2" t="str">
        <f t="shared" ref="G2:G65" si="2">IF(A2="","",IF(D2="","Manca tipo",IF(D2="Goal",IF(E2="","Manca giocatore","OK"),IF(D2="Autogol",IF(E2&lt;&gt;"","Autogol: svuota Player","OK"),"Tipo non valido"))))</f>
        <v>OK</v>
      </c>
      <c r="H2" t="str">
        <f>IF(F2="","",VLOOKUP(F2,Validation!$A$2:$B$17,2,FALSE))</f>
        <v>Validation!$O$2:$O$31</v>
      </c>
      <c r="I2">
        <f>INT((ROW()-2)/Settings!$B$6)+2</f>
        <v>2</v>
      </c>
      <c r="J2">
        <f>MOD(ROW()-2,Settings!$B$6)+1</f>
        <v>1</v>
      </c>
      <c r="K2" t="s">
        <v>292</v>
      </c>
    </row>
    <row r="3" spans="1:26" x14ac:dyDescent="0.3">
      <c r="A3" t="str">
        <f>IF(OR(INDEX(Matches!$I$2:$I$25,I3-1)="",INDEX(Matches!$J$2:$J$25,I3-1)=""),"",IF(J3&lt;=INDEX(Matches!$I$2:$I$25,I3-1)+INDEX(Matches!$J$2:$J$25,I3-1),INDEX(Matches!$A$2:$A$25,I3-1),""))</f>
        <v>M01</v>
      </c>
      <c r="B3" t="str">
        <f>IF(A3="","",IF(J3&lt;=INDEX(Matches!$I$2:$I$25,I3-1),INDEX(Matches!$G$2:$G$25,I3-1),INDEX(Matches!$H$2:$H$25,I3-1)))</f>
        <v>Boldò Glimt</v>
      </c>
      <c r="C3">
        <f>IF(A3="","",COUNTIFS($A$2:A3,A3,$B$2:B3,B3))</f>
        <v>1</v>
      </c>
      <c r="D3" s="2" t="str">
        <f t="shared" si="0"/>
        <v>Goal</v>
      </c>
      <c r="E3" s="2" t="s">
        <v>403</v>
      </c>
      <c r="F3" t="str">
        <f t="shared" si="1"/>
        <v>Boldò Glimt</v>
      </c>
      <c r="G3" t="str">
        <f t="shared" si="2"/>
        <v>OK</v>
      </c>
      <c r="H3" t="str">
        <f>IF(F3="","",VLOOKUP(F3,Validation!$A$2:$B$17,2,FALSE))</f>
        <v>Validation!$P$2:$P$31</v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IF(OR(INDEX(Matches!$I$2:$I$25,I4-1)="",INDEX(Matches!$J$2:$J$25,I4-1)=""),"",IF(J4&lt;=INDEX(Matches!$I$2:$I$25,I4-1)+INDEX(Matches!$J$2:$J$25,I4-1),INDEX(Matches!$A$2:$A$25,I4-1),""))</f>
        <v>M01</v>
      </c>
      <c r="B4" t="str">
        <f>IF(A4="","",IF(J4&lt;=INDEX(Matches!$I$2:$I$25,I4-1),INDEX(Matches!$G$2:$G$25,I4-1),INDEX(Matches!$H$2:$H$25,I4-1)))</f>
        <v>Boldò Glimt</v>
      </c>
      <c r="C4">
        <f>IF(A4="","",COUNTIFS($A$2:A4,A4,$B$2:B4,B4))</f>
        <v>2</v>
      </c>
      <c r="D4" s="2" t="str">
        <f t="shared" si="0"/>
        <v>Goal</v>
      </c>
      <c r="E4" s="2" t="s">
        <v>403</v>
      </c>
      <c r="F4" t="str">
        <f t="shared" si="1"/>
        <v>Boldò Glimt</v>
      </c>
      <c r="G4" t="str">
        <f t="shared" si="2"/>
        <v>OK</v>
      </c>
      <c r="H4" t="str">
        <f>IF(F4="","",VLOOKUP(F4,Validation!$A$2:$B$17,2,FALSE))</f>
        <v>Validation!$P$2:$P$31</v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IF(OR(INDEX(Matches!$I$2:$I$25,I14-1)="",INDEX(Matches!$J$2:$J$25,I14-1)=""),"",IF(J14&lt;=INDEX(Matches!$I$2:$I$25,I14-1)+INDEX(Matches!$J$2:$J$25,I14-1),INDEX(Matches!$A$2:$A$25,I14-1),""))</f>
        <v>M02</v>
      </c>
      <c r="B14" t="str">
        <f>IF(A14="","",IF(J14&lt;=INDEX(Matches!$I$2:$I$25,I14-1),INDEX(Matches!$G$2:$G$25,I14-1),INDEX(Matches!$H$2:$H$25,I14-1)))</f>
        <v>Piadineria la Salsiccia</v>
      </c>
      <c r="C14">
        <f>IF(A14="","",COUNTIFS($A$2:A14,A14,$B$2:B14,B14))</f>
        <v>1</v>
      </c>
      <c r="D14" s="2" t="s">
        <v>408</v>
      </c>
      <c r="E14" s="2" t="s">
        <v>409</v>
      </c>
      <c r="F14" t="str">
        <f t="shared" si="1"/>
        <v>Piadineria la Salsiccia</v>
      </c>
      <c r="G14" t="str">
        <f t="shared" si="2"/>
        <v>OK</v>
      </c>
      <c r="H14" t="str">
        <f>IF(F14="","",VLOOKUP(F14,Validation!$A$2:$B$17,2,FALSE))</f>
        <v>Validation!$R$2:$R$31</v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/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/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IF(OR(INDEX(Matches!$I$2:$I$25,I26-1)="",INDEX(Matches!$J$2:$J$25,I26-1)=""),"",IF(J26&lt;=INDEX(Matches!$I$2:$I$25,I26-1)+INDEX(Matches!$J$2:$J$25,I26-1),INDEX(Matches!$A$2:$A$25,I26-1),""))</f>
        <v>M03</v>
      </c>
      <c r="B26" t="str">
        <f>IF(A26="","",IF(J26&lt;=INDEX(Matches!$I$2:$I$25,I26-1),INDEX(Matches!$G$2:$G$25,I26-1),INDEX(Matches!$H$2:$H$25,I26-1)))</f>
        <v>Vecchie Glorie Rovigo</v>
      </c>
      <c r="C26">
        <f>IF(A26="","",COUNTIFS($A$2:A26,A26,$B$2:B26,B26))</f>
        <v>1</v>
      </c>
      <c r="D26" s="2" t="str">
        <f t="shared" si="0"/>
        <v>Goal</v>
      </c>
      <c r="E26" s="2" t="s">
        <v>405</v>
      </c>
      <c r="F26" t="str">
        <f t="shared" si="1"/>
        <v>Vecchie Glorie Rovigo</v>
      </c>
      <c r="G26" t="str">
        <f t="shared" si="2"/>
        <v>OK</v>
      </c>
      <c r="H26" t="str">
        <f>IF(F26="","",VLOOKUP(F26,Validation!$A$2:$B$17,2,FALSE))</f>
        <v>Validation!$H$2:$H$31</v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IF(OR(INDEX(Matches!$I$2:$I$25,I27-1)="",INDEX(Matches!$J$2:$J$25,I27-1)=""),"",IF(J27&lt;=INDEX(Matches!$I$2:$I$25,I27-1)+INDEX(Matches!$J$2:$J$25,I27-1),INDEX(Matches!$A$2:$A$25,I27-1),""))</f>
        <v>M03</v>
      </c>
      <c r="B27" t="str">
        <f>IF(A27="","",IF(J27&lt;=INDEX(Matches!$I$2:$I$25,I27-1),INDEX(Matches!$G$2:$G$25,I27-1),INDEX(Matches!$H$2:$H$25,I27-1)))</f>
        <v>Vecchie Glorie Rovigo</v>
      </c>
      <c r="C27">
        <f>IF(A27="","",COUNTIFS($A$2:A27,A27,$B$2:B27,B27))</f>
        <v>2</v>
      </c>
      <c r="D27" s="2" t="str">
        <f t="shared" si="0"/>
        <v>Goal</v>
      </c>
      <c r="E27" s="2" t="s">
        <v>405</v>
      </c>
      <c r="F27" t="str">
        <f t="shared" si="1"/>
        <v>Vecchie Glorie Rovigo</v>
      </c>
      <c r="G27" t="str">
        <f t="shared" si="2"/>
        <v>OK</v>
      </c>
      <c r="H27" t="str">
        <f>IF(F27="","",VLOOKUP(F27,Validation!$A$2:$B$17,2,FALSE))</f>
        <v>Validation!$H$2:$H$31</v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IF(OR(INDEX(Matches!$I$2:$I$25,I28-1)="",INDEX(Matches!$J$2:$J$25,I28-1)=""),"",IF(J28&lt;=INDEX(Matches!$I$2:$I$25,I28-1)+INDEX(Matches!$J$2:$J$25,I28-1),INDEX(Matches!$A$2:$A$25,I28-1),""))</f>
        <v>M03</v>
      </c>
      <c r="B28" t="str">
        <f>IF(A28="","",IF(J28&lt;=INDEX(Matches!$I$2:$I$25,I28-1),INDEX(Matches!$G$2:$G$25,I28-1),INDEX(Matches!$H$2:$H$25,I28-1)))</f>
        <v>Vecchie Glorie Rovigo</v>
      </c>
      <c r="C28">
        <f>IF(A28="","",COUNTIFS($A$2:A28,A28,$B$2:B28,B28))</f>
        <v>3</v>
      </c>
      <c r="D28" s="2" t="str">
        <f t="shared" si="0"/>
        <v>Goal</v>
      </c>
      <c r="E28" s="2" t="s">
        <v>405</v>
      </c>
      <c r="F28" t="str">
        <f t="shared" si="1"/>
        <v>Vecchie Glorie Rovigo</v>
      </c>
      <c r="G28" t="str">
        <f t="shared" si="2"/>
        <v>OK</v>
      </c>
      <c r="H28" t="str">
        <f>IF(F28="","",VLOOKUP(F28,Validation!$A$2:$B$17,2,FALSE))</f>
        <v>Validation!$H$2:$H$31</v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IF(OR(INDEX(Matches!$I$2:$I$25,I29-1)="",INDEX(Matches!$J$2:$J$25,I29-1)=""),"",IF(J29&lt;=INDEX(Matches!$I$2:$I$25,I29-1)+INDEX(Matches!$J$2:$J$25,I29-1),INDEX(Matches!$A$2:$A$25,I29-1),""))</f>
        <v>M03</v>
      </c>
      <c r="B29" t="str">
        <f>IF(A29="","",IF(J29&lt;=INDEX(Matches!$I$2:$I$25,I29-1),INDEX(Matches!$G$2:$G$25,I29-1),INDEX(Matches!$H$2:$H$25,I29-1)))</f>
        <v>Vecchie Glorie Rovigo</v>
      </c>
      <c r="C29">
        <f>IF(A29="","",COUNTIFS($A$2:A29,A29,$B$2:B29,B29))</f>
        <v>4</v>
      </c>
      <c r="D29" s="2" t="str">
        <f t="shared" si="0"/>
        <v>Goal</v>
      </c>
      <c r="E29" s="2" t="s">
        <v>410</v>
      </c>
      <c r="F29" t="str">
        <f t="shared" si="1"/>
        <v>Vecchie Glorie Rovigo</v>
      </c>
      <c r="G29" t="str">
        <f t="shared" si="2"/>
        <v>OK</v>
      </c>
      <c r="H29" t="str">
        <f>IF(F29="","",VLOOKUP(F29,Validation!$A$2:$B$17,2,FALSE))</f>
        <v>Validation!$H$2:$H$31</v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IF(OR(INDEX(Matches!$I$2:$I$25,I30-1)="",INDEX(Matches!$J$2:$J$25,I30-1)=""),"",IF(J30&lt;=INDEX(Matches!$I$2:$I$25,I30-1)+INDEX(Matches!$J$2:$J$25,I30-1),INDEX(Matches!$A$2:$A$25,I30-1),""))</f>
        <v>M03</v>
      </c>
      <c r="B30" t="str">
        <f>IF(A30="","",IF(J30&lt;=INDEX(Matches!$I$2:$I$25,I30-1),INDEX(Matches!$G$2:$G$25,I30-1),INDEX(Matches!$H$2:$H$25,I30-1)))</f>
        <v>Vecchie Glorie Rovigo</v>
      </c>
      <c r="C30">
        <f>IF(A30="","",COUNTIFS($A$2:A30,A30,$B$2:B30,B30))</f>
        <v>5</v>
      </c>
      <c r="D30" s="2" t="str">
        <f t="shared" si="0"/>
        <v>Goal</v>
      </c>
      <c r="E30" s="2" t="s">
        <v>410</v>
      </c>
      <c r="F30" t="str">
        <f t="shared" si="1"/>
        <v>Vecchie Glorie Rovigo</v>
      </c>
      <c r="G30" t="str">
        <f t="shared" si="2"/>
        <v>OK</v>
      </c>
      <c r="H30" t="str">
        <f>IF(F30="","",VLOOKUP(F30,Validation!$A$2:$B$17,2,FALSE))</f>
        <v>Validation!$H$2:$H$31</v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IF(OR(INDEX(Matches!$I$2:$I$25,I31-1)="",INDEX(Matches!$J$2:$J$25,I31-1)=""),"",IF(J31&lt;=INDEX(Matches!$I$2:$I$25,I31-1)+INDEX(Matches!$J$2:$J$25,I31-1),INDEX(Matches!$A$2:$A$25,I31-1),""))</f>
        <v>M03</v>
      </c>
      <c r="B31" t="str">
        <f>IF(A31="","",IF(J31&lt;=INDEX(Matches!$I$2:$I$25,I31-1),INDEX(Matches!$G$2:$G$25,I31-1),INDEX(Matches!$H$2:$H$25,I31-1)))</f>
        <v>Vecchie Glorie Rovigo</v>
      </c>
      <c r="C31">
        <f>IF(A31="","",COUNTIFS($A$2:A31,A31,$B$2:B31,B31))</f>
        <v>6</v>
      </c>
      <c r="D31" s="2" t="str">
        <f t="shared" si="0"/>
        <v>Goal</v>
      </c>
      <c r="E31" s="2" t="s">
        <v>411</v>
      </c>
      <c r="F31" t="str">
        <f t="shared" si="1"/>
        <v>Vecchie Glorie Rovigo</v>
      </c>
      <c r="G31" t="str">
        <f t="shared" si="2"/>
        <v>OK</v>
      </c>
      <c r="H31" t="str">
        <f>IF(F31="","",VLOOKUP(F31,Validation!$A$2:$B$17,2,FALSE))</f>
        <v>Validation!$H$2:$H$31</v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IF(OR(INDEX(Matches!$I$2:$I$25,I32-1)="",INDEX(Matches!$J$2:$J$25,I32-1)=""),"",IF(J32&lt;=INDEX(Matches!$I$2:$I$25,I32-1)+INDEX(Matches!$J$2:$J$25,I32-1),INDEX(Matches!$A$2:$A$25,I32-1),""))</f>
        <v>M03</v>
      </c>
      <c r="B32" t="str">
        <f>IF(A32="","",IF(J32&lt;=INDEX(Matches!$I$2:$I$25,I32-1),INDEX(Matches!$G$2:$G$25,I32-1),INDEX(Matches!$H$2:$H$25,I32-1)))</f>
        <v>Vecchie Glorie Rovigo</v>
      </c>
      <c r="C32">
        <f>IF(A32="","",COUNTIFS($A$2:A32,A32,$B$2:B32,B32))</f>
        <v>7</v>
      </c>
      <c r="D32" s="2" t="str">
        <f t="shared" si="0"/>
        <v>Goal</v>
      </c>
      <c r="E32" s="2" t="s">
        <v>412</v>
      </c>
      <c r="F32" t="str">
        <f t="shared" si="1"/>
        <v>Vecchie Glorie Rovigo</v>
      </c>
      <c r="G32" t="str">
        <f t="shared" si="2"/>
        <v>OK</v>
      </c>
      <c r="H32" t="str">
        <f>IF(F32="","",VLOOKUP(F32,Validation!$A$2:$B$17,2,FALSE))</f>
        <v>Validation!$H$2:$H$31</v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IF(OR(INDEX(Matches!$I$2:$I$25,I33-1)="",INDEX(Matches!$J$2:$J$25,I33-1)=""),"",IF(J33&lt;=INDEX(Matches!$I$2:$I$25,I33-1)+INDEX(Matches!$J$2:$J$25,I33-1),INDEX(Matches!$A$2:$A$25,I33-1),""))</f>
        <v>M03</v>
      </c>
      <c r="B33" t="str">
        <f>IF(A33="","",IF(J33&lt;=INDEX(Matches!$I$2:$I$25,I33-1),INDEX(Matches!$G$2:$G$25,I33-1),INDEX(Matches!$H$2:$H$25,I33-1)))</f>
        <v>Vecchie Glorie Rovigo</v>
      </c>
      <c r="C33">
        <f>IF(A33="","",COUNTIFS($A$2:A33,A33,$B$2:B33,B33))</f>
        <v>8</v>
      </c>
      <c r="D33" s="2" t="str">
        <f t="shared" si="0"/>
        <v>Goal</v>
      </c>
      <c r="E33" s="2" t="s">
        <v>413</v>
      </c>
      <c r="F33" t="str">
        <f t="shared" si="1"/>
        <v>Vecchie Glorie Rovigo</v>
      </c>
      <c r="G33" t="str">
        <f t="shared" si="2"/>
        <v>OK</v>
      </c>
      <c r="H33" t="str">
        <f>IF(F33="","",VLOOKUP(F33,Validation!$A$2:$B$17,2,FALSE))</f>
        <v>Validation!$H$2:$H$31</v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IF(OR(INDEX(Matches!$I$2:$I$25,I34-1)="",INDEX(Matches!$J$2:$J$25,I34-1)=""),"",IF(J34&lt;=INDEX(Matches!$I$2:$I$25,I34-1)+INDEX(Matches!$J$2:$J$25,I34-1),INDEX(Matches!$A$2:$A$25,I34-1),""))</f>
        <v>M03</v>
      </c>
      <c r="B34" t="str">
        <f>IF(A34="","",IF(J34&lt;=INDEX(Matches!$I$2:$I$25,I34-1),INDEX(Matches!$G$2:$G$25,I34-1),INDEX(Matches!$H$2:$H$25,I34-1)))</f>
        <v>Vecchie Glorie Rovigo</v>
      </c>
      <c r="C34">
        <f>IF(A34="","",COUNTIFS($A$2:A34,A34,$B$2:B34,B34))</f>
        <v>9</v>
      </c>
      <c r="D34" s="2" t="str">
        <f t="shared" si="0"/>
        <v>Goal</v>
      </c>
      <c r="E34" s="2" t="s">
        <v>406</v>
      </c>
      <c r="F34" t="str">
        <f t="shared" si="1"/>
        <v>Vecchie Glorie Rovigo</v>
      </c>
      <c r="G34" t="str">
        <f t="shared" si="2"/>
        <v>OK</v>
      </c>
      <c r="H34" t="str">
        <f>IF(F34="","",VLOOKUP(F34,Validation!$A$2:$B$17,2,FALSE))</f>
        <v>Validation!$H$2:$H$31</v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IF(OR(INDEX(Matches!$I$2:$I$25,I35-1)="",INDEX(Matches!$J$2:$J$25,I35-1)=""),"",IF(J35&lt;=INDEX(Matches!$I$2:$I$25,I35-1)+INDEX(Matches!$J$2:$J$25,I35-1),INDEX(Matches!$A$2:$A$25,I35-1),""))</f>
        <v>M03</v>
      </c>
      <c r="B35" t="str">
        <f>IF(A35="","",IF(J35&lt;=INDEX(Matches!$I$2:$I$25,I35-1),INDEX(Matches!$G$2:$G$25,I35-1),INDEX(Matches!$H$2:$H$25,I35-1)))</f>
        <v>Vecchie Glorie Rovigo</v>
      </c>
      <c r="C35">
        <f>IF(A35="","",COUNTIFS($A$2:A35,A35,$B$2:B35,B35))</f>
        <v>10</v>
      </c>
      <c r="D35" s="2" t="str">
        <f t="shared" si="0"/>
        <v>Goal</v>
      </c>
      <c r="E35" s="2" t="s">
        <v>407</v>
      </c>
      <c r="F35" t="str">
        <f t="shared" si="1"/>
        <v>Vecchie Glorie Rovigo</v>
      </c>
      <c r="G35" t="str">
        <f t="shared" si="2"/>
        <v>OK</v>
      </c>
      <c r="H35" t="str">
        <f>IF(F35="","",VLOOKUP(F35,Validation!$A$2:$B$17,2,FALSE))</f>
        <v>Validation!$H$2:$H$31</v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IF(OR(INDEX(Matches!$I$2:$I$25,I38-1)="",INDEX(Matches!$J$2:$J$25,I38-1)=""),"",IF(J38&lt;=INDEX(Matches!$I$2:$I$25,I38-1)+INDEX(Matches!$J$2:$J$25,I38-1),INDEX(Matches!$A$2:$A$25,I38-1),""))</f>
        <v/>
      </c>
      <c r="B38" t="str">
        <f>IF(A38="","",IF(J38&lt;=INDEX(Matches!$I$2:$I$25,I38-1),INDEX(Matches!$G$2:$G$25,I38-1),INDEX(Matches!$H$2:$H$25,I38-1)))</f>
        <v/>
      </c>
      <c r="C38" t="str">
        <f>IF(A38="","",COUNTIFS($A$2:A38,A38,$B$2:B38,B38))</f>
        <v/>
      </c>
      <c r="D38" s="2" t="str">
        <f t="shared" si="0"/>
        <v/>
      </c>
      <c r="E38" s="2"/>
      <c r="F38" t="str">
        <f t="shared" si="1"/>
        <v/>
      </c>
      <c r="G38" t="str">
        <f t="shared" si="2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IF(OR(INDEX(Matches!$I$2:$I$25,I39-1)="",INDEX(Matches!$J$2:$J$25,I39-1)=""),"",IF(J39&lt;=INDEX(Matches!$I$2:$I$25,I39-1)+INDEX(Matches!$J$2:$J$25,I39-1),INDEX(Matches!$A$2:$A$25,I39-1),""))</f>
        <v/>
      </c>
      <c r="B39" t="str">
        <f>IF(A39="","",IF(J39&lt;=INDEX(Matches!$I$2:$I$25,I39-1),INDEX(Matches!$G$2:$G$25,I39-1),INDEX(Matches!$H$2:$H$25,I39-1)))</f>
        <v/>
      </c>
      <c r="C39" t="str">
        <f>IF(A39="","",COUNTIFS($A$2:A39,A39,$B$2:B39,B39))</f>
        <v/>
      </c>
      <c r="D39" s="2" t="str">
        <f t="shared" si="0"/>
        <v/>
      </c>
      <c r="E39" s="2"/>
      <c r="F39" t="str">
        <f t="shared" si="1"/>
        <v/>
      </c>
      <c r="G39" t="str">
        <f t="shared" si="2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IF(OR(INDEX(Matches!$I$2:$I$25,I40-1)="",INDEX(Matches!$J$2:$J$25,I40-1)=""),"",IF(J40&lt;=INDEX(Matches!$I$2:$I$25,I40-1)+INDEX(Matches!$J$2:$J$25,I40-1),INDEX(Matches!$A$2:$A$25,I40-1),""))</f>
        <v/>
      </c>
      <c r="B40" t="str">
        <f>IF(A40="","",IF(J40&lt;=INDEX(Matches!$I$2:$I$25,I40-1),INDEX(Matches!$G$2:$G$25,I40-1),INDEX(Matches!$H$2:$H$25,I40-1)))</f>
        <v/>
      </c>
      <c r="C40" t="str">
        <f>IF(A40="","",COUNTIFS($A$2:A40,A40,$B$2:B40,B40))</f>
        <v/>
      </c>
      <c r="D40" s="2" t="str">
        <f t="shared" si="0"/>
        <v/>
      </c>
      <c r="E40" s="2"/>
      <c r="F40" t="str">
        <f t="shared" si="1"/>
        <v/>
      </c>
      <c r="G40" t="str">
        <f t="shared" si="2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IF(OR(INDEX(Matches!$I$2:$I$25,I41-1)="",INDEX(Matches!$J$2:$J$25,I41-1)=""),"",IF(J41&lt;=INDEX(Matches!$I$2:$I$25,I41-1)+INDEX(Matches!$J$2:$J$25,I41-1),INDEX(Matches!$A$2:$A$25,I41-1),""))</f>
        <v/>
      </c>
      <c r="B41" t="str">
        <f>IF(A41="","",IF(J41&lt;=INDEX(Matches!$I$2:$I$25,I41-1),INDEX(Matches!$G$2:$G$25,I41-1),INDEX(Matches!$H$2:$H$25,I41-1)))</f>
        <v/>
      </c>
      <c r="C41" t="str">
        <f>IF(A41="","",COUNTIFS($A$2:A41,A41,$B$2:B41,B41))</f>
        <v/>
      </c>
      <c r="D41" s="2" t="str">
        <f t="shared" si="0"/>
        <v/>
      </c>
      <c r="E41" s="2"/>
      <c r="F41" t="str">
        <f t="shared" si="1"/>
        <v/>
      </c>
      <c r="G41" t="str">
        <f t="shared" si="2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IF(OR(INDEX(Matches!$I$2:$I$25,I42-1)="",INDEX(Matches!$J$2:$J$25,I42-1)=""),"",IF(J42&lt;=INDEX(Matches!$I$2:$I$25,I42-1)+INDEX(Matches!$J$2:$J$25,I42-1),INDEX(Matches!$A$2:$A$25,I42-1),""))</f>
        <v/>
      </c>
      <c r="B42" t="str">
        <f>IF(A42="","",IF(J42&lt;=INDEX(Matches!$I$2:$I$25,I42-1),INDEX(Matches!$G$2:$G$25,I42-1),INDEX(Matches!$H$2:$H$25,I42-1)))</f>
        <v/>
      </c>
      <c r="C42" t="str">
        <f>IF(A42="","",COUNTIFS($A$2:A42,A42,$B$2:B42,B42))</f>
        <v/>
      </c>
      <c r="D42" s="2" t="str">
        <f t="shared" si="0"/>
        <v/>
      </c>
      <c r="E42" s="2"/>
      <c r="F42" t="str">
        <f t="shared" si="1"/>
        <v/>
      </c>
      <c r="G42" t="str">
        <f t="shared" si="2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IF(OR(INDEX(Matches!$I$2:$I$25,I50-1)="",INDEX(Matches!$J$2:$J$25,I50-1)=""),"",IF(J50&lt;=INDEX(Matches!$I$2:$I$25,I50-1)+INDEX(Matches!$J$2:$J$25,I50-1),INDEX(Matches!$A$2:$A$25,I50-1),""))</f>
        <v/>
      </c>
      <c r="B50" t="str">
        <f>IF(A50="","",IF(J50&lt;=INDEX(Matches!$I$2:$I$25,I50-1),INDEX(Matches!$G$2:$G$25,I50-1),INDEX(Matches!$H$2:$H$25,I50-1)))</f>
        <v/>
      </c>
      <c r="C50" t="str">
        <f>IF(A50="","",COUNTIFS($A$2:A50,A50,$B$2:B50,B50))</f>
        <v/>
      </c>
      <c r="D50" s="2" t="str">
        <f t="shared" si="0"/>
        <v/>
      </c>
      <c r="E50" s="2"/>
      <c r="F50" t="str">
        <f t="shared" si="1"/>
        <v/>
      </c>
      <c r="G50" t="str">
        <f t="shared" si="2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IF(OR(INDEX(Matches!$I$2:$I$25,I51-1)="",INDEX(Matches!$J$2:$J$25,I51-1)=""),"",IF(J51&lt;=INDEX(Matches!$I$2:$I$25,I51-1)+INDEX(Matches!$J$2:$J$25,I51-1),INDEX(Matches!$A$2:$A$25,I51-1),""))</f>
        <v/>
      </c>
      <c r="B51" t="str">
        <f>IF(A51="","",IF(J51&lt;=INDEX(Matches!$I$2:$I$25,I51-1),INDEX(Matches!$G$2:$G$25,I51-1),INDEX(Matches!$H$2:$H$25,I51-1)))</f>
        <v/>
      </c>
      <c r="C51" t="str">
        <f>IF(A51="","",COUNTIFS($A$2:A51,A51,$B$2:B51,B51))</f>
        <v/>
      </c>
      <c r="D51" s="2" t="str">
        <f t="shared" si="0"/>
        <v/>
      </c>
      <c r="E51" s="2"/>
      <c r="F51" t="str">
        <f t="shared" si="1"/>
        <v/>
      </c>
      <c r="G51" t="str">
        <f t="shared" si="2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IF(OR(INDEX(Matches!$I$2:$I$25,I62-1)="",INDEX(Matches!$J$2:$J$25,I62-1)=""),"",IF(J62&lt;=INDEX(Matches!$I$2:$I$25,I62-1)+INDEX(Matches!$J$2:$J$25,I62-1),INDEX(Matches!$A$2:$A$25,I62-1),""))</f>
        <v/>
      </c>
      <c r="B62" t="str">
        <f>IF(A62="","",IF(J62&lt;=INDEX(Matches!$I$2:$I$25,I62-1),INDEX(Matches!$G$2:$G$25,I62-1),INDEX(Matches!$H$2:$H$25,I62-1)))</f>
        <v/>
      </c>
      <c r="C62" t="str">
        <f>IF(A62="","",COUNTIFS($A$2:A62,A62,$B$2:B62,B62))</f>
        <v/>
      </c>
      <c r="D62" s="2" t="str">
        <f t="shared" si="0"/>
        <v/>
      </c>
      <c r="E62" s="2"/>
      <c r="F62" t="str">
        <f t="shared" si="1"/>
        <v/>
      </c>
      <c r="G62" t="str">
        <f t="shared" si="2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IF(OR(INDEX(Matches!$I$2:$I$25,I63-1)="",INDEX(Matches!$J$2:$J$25,I63-1)=""),"",IF(J63&lt;=INDEX(Matches!$I$2:$I$25,I63-1)+INDEX(Matches!$J$2:$J$25,I63-1),INDEX(Matches!$A$2:$A$25,I63-1),""))</f>
        <v/>
      </c>
      <c r="B63" t="str">
        <f>IF(A63="","",IF(J63&lt;=INDEX(Matches!$I$2:$I$25,I63-1),INDEX(Matches!$G$2:$G$25,I63-1),INDEX(Matches!$H$2:$H$25,I63-1)))</f>
        <v/>
      </c>
      <c r="C63" t="str">
        <f>IF(A63="","",COUNTIFS($A$2:A63,A63,$B$2:B63,B63))</f>
        <v/>
      </c>
      <c r="D63" s="2" t="str">
        <f t="shared" si="0"/>
        <v/>
      </c>
      <c r="E63" s="2"/>
      <c r="F63" t="str">
        <f t="shared" si="1"/>
        <v/>
      </c>
      <c r="G63" t="str">
        <f t="shared" si="2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IF(OR(INDEX(Matches!$I$2:$I$25,I64-1)="",INDEX(Matches!$J$2:$J$25,I64-1)=""),"",IF(J64&lt;=INDEX(Matches!$I$2:$I$25,I64-1)+INDEX(Matches!$J$2:$J$25,I64-1),INDEX(Matches!$A$2:$A$25,I64-1),""))</f>
        <v/>
      </c>
      <c r="B64" t="str">
        <f>IF(A64="","",IF(J64&lt;=INDEX(Matches!$I$2:$I$25,I64-1),INDEX(Matches!$G$2:$G$25,I64-1),INDEX(Matches!$H$2:$H$25,I64-1)))</f>
        <v/>
      </c>
      <c r="C64" t="str">
        <f>IF(A64="","",COUNTIFS($A$2:A64,A64,$B$2:B64,B64))</f>
        <v/>
      </c>
      <c r="D64" s="2" t="str">
        <f t="shared" si="0"/>
        <v/>
      </c>
      <c r="E64" s="2"/>
      <c r="F64" t="str">
        <f t="shared" si="1"/>
        <v/>
      </c>
      <c r="G64" t="str">
        <f t="shared" si="2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IF(OR(INDEX(Matches!$I$2:$I$25,I65-1)="",INDEX(Matches!$J$2:$J$25,I65-1)=""),"",IF(J65&lt;=INDEX(Matches!$I$2:$I$25,I65-1)+INDEX(Matches!$J$2:$J$25,I65-1),INDEX(Matches!$A$2:$A$25,I65-1),""))</f>
        <v/>
      </c>
      <c r="B65" t="str">
        <f>IF(A65="","",IF(J65&lt;=INDEX(Matches!$I$2:$I$25,I65-1),INDEX(Matches!$G$2:$G$25,I65-1),INDEX(Matches!$H$2:$H$25,I65-1)))</f>
        <v/>
      </c>
      <c r="C65" t="str">
        <f>IF(A65="","",COUNTIFS($A$2:A65,A65,$B$2:B65,B65))</f>
        <v/>
      </c>
      <c r="D65" s="2" t="str">
        <f t="shared" si="0"/>
        <v/>
      </c>
      <c r="E65" s="2"/>
      <c r="F65" t="str">
        <f t="shared" si="1"/>
        <v/>
      </c>
      <c r="G65" t="str">
        <f t="shared" si="2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IF(OR(INDEX(Matches!$I$2:$I$25,I66-1)="",INDEX(Matches!$J$2:$J$25,I66-1)=""),"",IF(J66&lt;=INDEX(Matches!$I$2:$I$25,I66-1)+INDEX(Matches!$J$2:$J$25,I66-1),INDEX(Matches!$A$2:$A$25,I66-1),""))</f>
        <v/>
      </c>
      <c r="B66" t="str">
        <f>IF(A66="","",IF(J66&lt;=INDEX(Matches!$I$2:$I$25,I66-1),INDEX(Matches!$G$2:$G$25,I66-1),INDEX(Matches!$H$2:$H$25,I66-1)))</f>
        <v/>
      </c>
      <c r="C66" t="str">
        <f>IF(A66="","",COUNTIFS($A$2:A66,A66,$B$2:B66,B66))</f>
        <v/>
      </c>
      <c r="D66" s="2" t="str">
        <f t="shared" ref="D66:D129" si="3">IF(A66="","","Goal")</f>
        <v/>
      </c>
      <c r="E66" s="2"/>
      <c r="F66" t="str">
        <f t="shared" ref="F66:F129" si="4">IF(A66="","",IF(D66="Autogol","",IF(D66="Goal",B66,"")))</f>
        <v/>
      </c>
      <c r="G66" t="str">
        <f t="shared" ref="G66:G129" si="5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IF(OR(INDEX(Matches!$I$2:$I$25,I74-1)="",INDEX(Matches!$J$2:$J$25,I74-1)=""),"",IF(J74&lt;=INDEX(Matches!$I$2:$I$25,I74-1)+INDEX(Matches!$J$2:$J$25,I74-1),INDEX(Matches!$A$2:$A$25,I74-1),""))</f>
        <v/>
      </c>
      <c r="B74" t="str">
        <f>IF(A74="","",IF(J74&lt;=INDEX(Matches!$I$2:$I$25,I74-1),INDEX(Matches!$G$2:$G$25,I74-1),INDEX(Matches!$H$2:$H$25,I74-1)))</f>
        <v/>
      </c>
      <c r="C74" t="str">
        <f>IF(A74="","",COUNTIFS($A$2:A74,A74,$B$2:B74,B74))</f>
        <v/>
      </c>
      <c r="D74" s="2" t="str">
        <f t="shared" si="3"/>
        <v/>
      </c>
      <c r="E74" s="2"/>
      <c r="F74" t="str">
        <f t="shared" si="4"/>
        <v/>
      </c>
      <c r="G74" t="str">
        <f t="shared" si="5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IF(OR(INDEX(Matches!$I$2:$I$25,I75-1)="",INDEX(Matches!$J$2:$J$25,I75-1)=""),"",IF(J75&lt;=INDEX(Matches!$I$2:$I$25,I75-1)+INDEX(Matches!$J$2:$J$25,I75-1),INDEX(Matches!$A$2:$A$25,I75-1),""))</f>
        <v/>
      </c>
      <c r="B75" t="str">
        <f>IF(A75="","",IF(J75&lt;=INDEX(Matches!$I$2:$I$25,I75-1),INDEX(Matches!$G$2:$G$25,I75-1),INDEX(Matches!$H$2:$H$25,I75-1)))</f>
        <v/>
      </c>
      <c r="C75" t="str">
        <f>IF(A75="","",COUNTIFS($A$2:A75,A75,$B$2:B75,B75))</f>
        <v/>
      </c>
      <c r="D75" s="2" t="str">
        <f t="shared" si="3"/>
        <v/>
      </c>
      <c r="E75" s="2"/>
      <c r="F75" t="str">
        <f t="shared" si="4"/>
        <v/>
      </c>
      <c r="G75" t="str">
        <f t="shared" si="5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IF(OR(INDEX(Matches!$I$2:$I$25,I76-1)="",INDEX(Matches!$J$2:$J$25,I76-1)=""),"",IF(J76&lt;=INDEX(Matches!$I$2:$I$25,I76-1)+INDEX(Matches!$J$2:$J$25,I76-1),INDEX(Matches!$A$2:$A$25,I76-1),""))</f>
        <v/>
      </c>
      <c r="B76" t="str">
        <f>IF(A76="","",IF(J76&lt;=INDEX(Matches!$I$2:$I$25,I76-1),INDEX(Matches!$G$2:$G$25,I76-1),INDEX(Matches!$H$2:$H$25,I76-1)))</f>
        <v/>
      </c>
      <c r="C76" t="str">
        <f>IF(A76="","",COUNTIFS($A$2:A76,A76,$B$2:B76,B76))</f>
        <v/>
      </c>
      <c r="D76" s="2" t="str">
        <f t="shared" si="3"/>
        <v/>
      </c>
      <c r="E76" s="2"/>
      <c r="F76" t="str">
        <f t="shared" si="4"/>
        <v/>
      </c>
      <c r="G76" t="str">
        <f t="shared" si="5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 x14ac:dyDescent="0.3">
      <c r="A86" t="str">
        <f>IF(OR(INDEX(Matches!$I$2:$I$25,I86-1)="",INDEX(Matches!$J$2:$J$25,I86-1)=""),"",IF(J86&lt;=INDEX(Matches!$I$2:$I$25,I86-1)+INDEX(Matches!$J$2:$J$25,I86-1),INDEX(Matches!$A$2:$A$25,I86-1),""))</f>
        <v/>
      </c>
      <c r="B86" t="str">
        <f>IF(A86="","",IF(J86&lt;=INDEX(Matches!$I$2:$I$25,I86-1),INDEX(Matches!$G$2:$G$25,I86-1),INDEX(Matches!$H$2:$H$25,I86-1)))</f>
        <v/>
      </c>
      <c r="C86" t="str">
        <f>IF(A86="","",COUNTIFS($A$2:A86,A86,$B$2:B86,B86))</f>
        <v/>
      </c>
      <c r="D86" s="2" t="str">
        <f t="shared" si="3"/>
        <v/>
      </c>
      <c r="E86" s="2"/>
      <c r="F86" t="str">
        <f t="shared" si="4"/>
        <v/>
      </c>
      <c r="G86" t="str">
        <f t="shared" si="5"/>
        <v/>
      </c>
      <c r="H86" t="str">
        <f>IF(F86="","",VLOOKUP(F86,Validation!$A$2:$B$17,2,FALSE))</f>
        <v/>
      </c>
      <c r="I86">
        <f>INT((ROW()-2)/Settings!$B$6)+2</f>
        <v>9</v>
      </c>
      <c r="J86">
        <f>MOD(ROW()-2,Settings!$B$6)+1</f>
        <v>1</v>
      </c>
    </row>
    <row r="87" spans="1:10" x14ac:dyDescent="0.3">
      <c r="A87" t="str">
        <f>IF(OR(INDEX(Matches!$I$2:$I$25,I87-1)="",INDEX(Matches!$J$2:$J$25,I87-1)=""),"",IF(J87&lt;=INDEX(Matches!$I$2:$I$25,I87-1)+INDEX(Matches!$J$2:$J$25,I87-1),INDEX(Matches!$A$2:$A$25,I87-1),""))</f>
        <v/>
      </c>
      <c r="B87" t="str">
        <f>IF(A87="","",IF(J87&lt;=INDEX(Matches!$I$2:$I$25,I87-1),INDEX(Matches!$G$2:$G$25,I87-1),INDEX(Matches!$H$2:$H$25,I87-1)))</f>
        <v/>
      </c>
      <c r="C87" t="str">
        <f>IF(A87="","",COUNTIFS($A$2:A87,A87,$B$2:B87,B87))</f>
        <v/>
      </c>
      <c r="D87" s="2" t="str">
        <f t="shared" si="3"/>
        <v/>
      </c>
      <c r="E87" s="2"/>
      <c r="F87" t="str">
        <f t="shared" si="4"/>
        <v/>
      </c>
      <c r="G87" t="str">
        <f t="shared" si="5"/>
        <v/>
      </c>
      <c r="H87" t="str">
        <f>IF(F87="","",VLOOKUP(F87,Validation!$A$2:$B$17,2,FALSE))</f>
        <v/>
      </c>
      <c r="I87">
        <f>INT((ROW()-2)/Settings!$B$6)+2</f>
        <v>9</v>
      </c>
      <c r="J87">
        <f>MOD(ROW()-2,Settings!$B$6)+1</f>
        <v>2</v>
      </c>
    </row>
    <row r="88" spans="1:10" x14ac:dyDescent="0.3">
      <c r="A88" t="str">
        <f>IF(OR(INDEX(Matches!$I$2:$I$25,I88-1)="",INDEX(Matches!$J$2:$J$25,I88-1)=""),"",IF(J88&lt;=INDEX(Matches!$I$2:$I$25,I88-1)+INDEX(Matches!$J$2:$J$25,I88-1),INDEX(Matches!$A$2:$A$25,I88-1),""))</f>
        <v/>
      </c>
      <c r="B88" t="str">
        <f>IF(A88="","",IF(J88&lt;=INDEX(Matches!$I$2:$I$25,I88-1),INDEX(Matches!$G$2:$G$25,I88-1),INDEX(Matches!$H$2:$H$25,I88-1)))</f>
        <v/>
      </c>
      <c r="C88" t="str">
        <f>IF(A88="","",COUNTIFS($A$2:A88,A88,$B$2:B88,B88))</f>
        <v/>
      </c>
      <c r="D88" s="2" t="str">
        <f t="shared" si="3"/>
        <v/>
      </c>
      <c r="E88" s="2"/>
      <c r="F88" t="str">
        <f t="shared" si="4"/>
        <v/>
      </c>
      <c r="G88" t="str">
        <f t="shared" si="5"/>
        <v/>
      </c>
      <c r="H88" t="str">
        <f>IF(F88="","",VLOOKUP(F88,Validation!$A$2:$B$17,2,FALSE))</f>
        <v/>
      </c>
      <c r="I88">
        <f>INT((ROW()-2)/Settings!$B$6)+2</f>
        <v>9</v>
      </c>
      <c r="J88">
        <f>MOD(ROW()-2,Settings!$B$6)+1</f>
        <v>3</v>
      </c>
    </row>
    <row r="89" spans="1:10" x14ac:dyDescent="0.3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 x14ac:dyDescent="0.3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 x14ac:dyDescent="0.3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 x14ac:dyDescent="0.3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 x14ac:dyDescent="0.3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 x14ac:dyDescent="0.3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 x14ac:dyDescent="0.3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 x14ac:dyDescent="0.3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 x14ac:dyDescent="0.3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 x14ac:dyDescent="0.3">
      <c r="A98" t="str">
        <f>IF(OR(INDEX(Matches!$I$2:$I$25,I98-1)="",INDEX(Matches!$J$2:$J$25,I98-1)=""),"",IF(J98&lt;=INDEX(Matches!$I$2:$I$25,I98-1)+INDEX(Matches!$J$2:$J$25,I98-1),INDEX(Matches!$A$2:$A$25,I98-1),""))</f>
        <v/>
      </c>
      <c r="B98" t="str">
        <f>IF(A98="","",IF(J98&lt;=INDEX(Matches!$I$2:$I$25,I98-1),INDEX(Matches!$G$2:$G$25,I98-1),INDEX(Matches!$H$2:$H$25,I98-1)))</f>
        <v/>
      </c>
      <c r="C98" t="str">
        <f>IF(A98="","",COUNTIFS($A$2:A98,A98,$B$2:B98,B98))</f>
        <v/>
      </c>
      <c r="D98" s="2" t="str">
        <f t="shared" si="3"/>
        <v/>
      </c>
      <c r="E98" s="2"/>
      <c r="F98" t="str">
        <f t="shared" si="4"/>
        <v/>
      </c>
      <c r="G98" t="str">
        <f t="shared" si="5"/>
        <v/>
      </c>
      <c r="H98" t="str">
        <f>IF(F98="","",VLOOKUP(F98,Validation!$A$2:$B$17,2,FALSE))</f>
        <v/>
      </c>
      <c r="I98">
        <f>INT((ROW()-2)/Settings!$B$6)+2</f>
        <v>10</v>
      </c>
      <c r="J98">
        <f>MOD(ROW()-2,Settings!$B$6)+1</f>
        <v>1</v>
      </c>
    </row>
    <row r="99" spans="1:10" x14ac:dyDescent="0.3">
      <c r="A99" t="str">
        <f>IF(OR(INDEX(Matches!$I$2:$I$25,I99-1)="",INDEX(Matches!$J$2:$J$25,I99-1)=""),"",IF(J99&lt;=INDEX(Matches!$I$2:$I$25,I99-1)+INDEX(Matches!$J$2:$J$25,I99-1),INDEX(Matches!$A$2:$A$25,I99-1),""))</f>
        <v/>
      </c>
      <c r="B99" t="str">
        <f>IF(A99="","",IF(J99&lt;=INDEX(Matches!$I$2:$I$25,I99-1),INDEX(Matches!$G$2:$G$25,I99-1),INDEX(Matches!$H$2:$H$25,I99-1)))</f>
        <v/>
      </c>
      <c r="C99" t="str">
        <f>IF(A99="","",COUNTIFS($A$2:A99,A99,$B$2:B99,B99))</f>
        <v/>
      </c>
      <c r="D99" s="2" t="str">
        <f t="shared" si="3"/>
        <v/>
      </c>
      <c r="E99" s="2"/>
      <c r="F99" t="str">
        <f t="shared" si="4"/>
        <v/>
      </c>
      <c r="G99" t="str">
        <f t="shared" si="5"/>
        <v/>
      </c>
      <c r="H99" t="str">
        <f>IF(F99="","",VLOOKUP(F99,Validation!$A$2:$B$17,2,FALSE))</f>
        <v/>
      </c>
      <c r="I99">
        <f>INT((ROW()-2)/Settings!$B$6)+2</f>
        <v>10</v>
      </c>
      <c r="J99">
        <f>MOD(ROW()-2,Settings!$B$6)+1</f>
        <v>2</v>
      </c>
    </row>
    <row r="100" spans="1:10" x14ac:dyDescent="0.3">
      <c r="A100" t="str">
        <f>IF(OR(INDEX(Matches!$I$2:$I$25,I100-1)="",INDEX(Matches!$J$2:$J$25,I100-1)=""),"",IF(J100&lt;=INDEX(Matches!$I$2:$I$25,I100-1)+INDEX(Matches!$J$2:$J$25,I100-1),INDEX(Matches!$A$2:$A$25,I100-1),""))</f>
        <v/>
      </c>
      <c r="B100" t="str">
        <f>IF(A100="","",IF(J100&lt;=INDEX(Matches!$I$2:$I$25,I100-1),INDEX(Matches!$G$2:$G$25,I100-1),INDEX(Matches!$H$2:$H$25,I100-1)))</f>
        <v/>
      </c>
      <c r="C100" t="str">
        <f>IF(A100="","",COUNTIFS($A$2:A100,A100,$B$2:B100,B100))</f>
        <v/>
      </c>
      <c r="D100" s="2" t="str">
        <f t="shared" si="3"/>
        <v/>
      </c>
      <c r="E100" s="2"/>
      <c r="F100" t="str">
        <f t="shared" si="4"/>
        <v/>
      </c>
      <c r="G100" t="str">
        <f t="shared" si="5"/>
        <v/>
      </c>
      <c r="H100" t="str">
        <f>IF(F100="","",VLOOKUP(F100,Validation!$A$2:$B$17,2,FALSE))</f>
        <v/>
      </c>
      <c r="I100">
        <f>INT((ROW()-2)/Settings!$B$6)+2</f>
        <v>10</v>
      </c>
      <c r="J100">
        <f>MOD(ROW()-2,Settings!$B$6)+1</f>
        <v>3</v>
      </c>
    </row>
    <row r="101" spans="1:10" x14ac:dyDescent="0.3">
      <c r="A101" t="str">
        <f>IF(OR(INDEX(Matches!$I$2:$I$25,I101-1)="",INDEX(Matches!$J$2:$J$25,I101-1)=""),"",IF(J101&lt;=INDEX(Matches!$I$2:$I$25,I101-1)+INDEX(Matches!$J$2:$J$25,I101-1),INDEX(Matches!$A$2:$A$25,I101-1),""))</f>
        <v/>
      </c>
      <c r="B101" t="str">
        <f>IF(A101="","",IF(J101&lt;=INDEX(Matches!$I$2:$I$25,I101-1),INDEX(Matches!$G$2:$G$25,I101-1),INDEX(Matches!$H$2:$H$25,I101-1)))</f>
        <v/>
      </c>
      <c r="C101" t="str">
        <f>IF(A101="","",COUNTIFS($A$2:A101,A101,$B$2:B101,B101))</f>
        <v/>
      </c>
      <c r="D101" s="2" t="str">
        <f t="shared" si="3"/>
        <v/>
      </c>
      <c r="E101" s="2"/>
      <c r="F101" t="str">
        <f t="shared" si="4"/>
        <v/>
      </c>
      <c r="G101" t="str">
        <f t="shared" si="5"/>
        <v/>
      </c>
      <c r="H101" t="str">
        <f>IF(F101="","",VLOOKUP(F101,Validation!$A$2:$B$17,2,FALSE))</f>
        <v/>
      </c>
      <c r="I101">
        <f>INT((ROW()-2)/Settings!$B$6)+2</f>
        <v>10</v>
      </c>
      <c r="J101">
        <f>MOD(ROW()-2,Settings!$B$6)+1</f>
        <v>4</v>
      </c>
    </row>
    <row r="102" spans="1:10" x14ac:dyDescent="0.3">
      <c r="A102" t="str">
        <f>IF(OR(INDEX(Matches!$I$2:$I$25,I102-1)="",INDEX(Matches!$J$2:$J$25,I102-1)=""),"",IF(J102&lt;=INDEX(Matches!$I$2:$I$25,I102-1)+INDEX(Matches!$J$2:$J$25,I102-1),INDEX(Matches!$A$2:$A$25,I102-1),""))</f>
        <v/>
      </c>
      <c r="B102" t="str">
        <f>IF(A102="","",IF(J102&lt;=INDEX(Matches!$I$2:$I$25,I102-1),INDEX(Matches!$G$2:$G$25,I102-1),INDEX(Matches!$H$2:$H$25,I102-1)))</f>
        <v/>
      </c>
      <c r="C102" t="str">
        <f>IF(A102="","",COUNTIFS($A$2:A102,A102,$B$2:B102,B102))</f>
        <v/>
      </c>
      <c r="D102" s="2" t="str">
        <f t="shared" si="3"/>
        <v/>
      </c>
      <c r="E102" s="2"/>
      <c r="F102" t="str">
        <f t="shared" si="4"/>
        <v/>
      </c>
      <c r="G102" t="str">
        <f t="shared" si="5"/>
        <v/>
      </c>
      <c r="H102" t="str">
        <f>IF(F102="","",VLOOKUP(F102,Validation!$A$2:$B$17,2,FALSE))</f>
        <v/>
      </c>
      <c r="I102">
        <f>INT((ROW()-2)/Settings!$B$6)+2</f>
        <v>10</v>
      </c>
      <c r="J102">
        <f>MOD(ROW()-2,Settings!$B$6)+1</f>
        <v>5</v>
      </c>
    </row>
    <row r="103" spans="1:10" x14ac:dyDescent="0.3">
      <c r="A103" t="str">
        <f>IF(OR(INDEX(Matches!$I$2:$I$25,I103-1)="",INDEX(Matches!$J$2:$J$25,I103-1)=""),"",IF(J103&lt;=INDEX(Matches!$I$2:$I$25,I103-1)+INDEX(Matches!$J$2:$J$25,I103-1),INDEX(Matches!$A$2:$A$25,I103-1),""))</f>
        <v/>
      </c>
      <c r="B103" t="str">
        <f>IF(A103="","",IF(J103&lt;=INDEX(Matches!$I$2:$I$25,I103-1),INDEX(Matches!$G$2:$G$25,I103-1),INDEX(Matches!$H$2:$H$25,I103-1)))</f>
        <v/>
      </c>
      <c r="C103" t="str">
        <f>IF(A103="","",COUNTIFS($A$2:A103,A103,$B$2:B103,B103))</f>
        <v/>
      </c>
      <c r="D103" s="2" t="str">
        <f t="shared" si="3"/>
        <v/>
      </c>
      <c r="E103" s="2"/>
      <c r="F103" t="str">
        <f t="shared" si="4"/>
        <v/>
      </c>
      <c r="G103" t="str">
        <f t="shared" si="5"/>
        <v/>
      </c>
      <c r="H103" t="str">
        <f>IF(F103="","",VLOOKUP(F103,Validation!$A$2:$B$17,2,FALSE))</f>
        <v/>
      </c>
      <c r="I103">
        <f>INT((ROW()-2)/Settings!$B$6)+2</f>
        <v>10</v>
      </c>
      <c r="J103">
        <f>MOD(ROW()-2,Settings!$B$6)+1</f>
        <v>6</v>
      </c>
    </row>
    <row r="104" spans="1:10" x14ac:dyDescent="0.3">
      <c r="A104" t="str">
        <f>IF(OR(INDEX(Matches!$I$2:$I$25,I104-1)="",INDEX(Matches!$J$2:$J$25,I104-1)=""),"",IF(J104&lt;=INDEX(Matches!$I$2:$I$25,I104-1)+INDEX(Matches!$J$2:$J$25,I104-1),INDEX(Matches!$A$2:$A$25,I104-1),""))</f>
        <v/>
      </c>
      <c r="B104" t="str">
        <f>IF(A104="","",IF(J104&lt;=INDEX(Matches!$I$2:$I$25,I104-1),INDEX(Matches!$G$2:$G$25,I104-1),INDEX(Matches!$H$2:$H$25,I104-1)))</f>
        <v/>
      </c>
      <c r="C104" t="str">
        <f>IF(A104="","",COUNTIFS($A$2:A104,A104,$B$2:B104,B104))</f>
        <v/>
      </c>
      <c r="D104" s="2" t="str">
        <f t="shared" si="3"/>
        <v/>
      </c>
      <c r="E104" s="2"/>
      <c r="F104" t="str">
        <f t="shared" si="4"/>
        <v/>
      </c>
      <c r="G104" t="str">
        <f t="shared" si="5"/>
        <v/>
      </c>
      <c r="H104" t="str">
        <f>IF(F104="","",VLOOKUP(F104,Validation!$A$2:$B$17,2,FALSE))</f>
        <v/>
      </c>
      <c r="I104">
        <f>INT((ROW()-2)/Settings!$B$6)+2</f>
        <v>10</v>
      </c>
      <c r="J104">
        <f>MOD(ROW()-2,Settings!$B$6)+1</f>
        <v>7</v>
      </c>
    </row>
    <row r="105" spans="1:10" x14ac:dyDescent="0.3">
      <c r="A105" t="str">
        <f>IF(OR(INDEX(Matches!$I$2:$I$25,I105-1)="",INDEX(Matches!$J$2:$J$25,I105-1)=""),"",IF(J105&lt;=INDEX(Matches!$I$2:$I$25,I105-1)+INDEX(Matches!$J$2:$J$25,I105-1),INDEX(Matches!$A$2:$A$25,I105-1),""))</f>
        <v/>
      </c>
      <c r="B105" t="str">
        <f>IF(A105="","",IF(J105&lt;=INDEX(Matches!$I$2:$I$25,I105-1),INDEX(Matches!$G$2:$G$25,I105-1),INDEX(Matches!$H$2:$H$25,I105-1)))</f>
        <v/>
      </c>
      <c r="C105" t="str">
        <f>IF(A105="","",COUNTIFS($A$2:A105,A105,$B$2:B105,B105))</f>
        <v/>
      </c>
      <c r="D105" s="2" t="str">
        <f t="shared" si="3"/>
        <v/>
      </c>
      <c r="E105" s="2"/>
      <c r="F105" t="str">
        <f t="shared" si="4"/>
        <v/>
      </c>
      <c r="G105" t="str">
        <f t="shared" si="5"/>
        <v/>
      </c>
      <c r="H105" t="str">
        <f>IF(F105="","",VLOOKUP(F105,Validation!$A$2:$B$17,2,FALSE))</f>
        <v/>
      </c>
      <c r="I105">
        <f>INT((ROW()-2)/Settings!$B$6)+2</f>
        <v>10</v>
      </c>
      <c r="J105">
        <f>MOD(ROW()-2,Settings!$B$6)+1</f>
        <v>8</v>
      </c>
    </row>
    <row r="106" spans="1:10" x14ac:dyDescent="0.3">
      <c r="A106" t="str">
        <f>IF(OR(INDEX(Matches!$I$2:$I$25,I106-1)="",INDEX(Matches!$J$2:$J$25,I106-1)=""),"",IF(J106&lt;=INDEX(Matches!$I$2:$I$25,I106-1)+INDEX(Matches!$J$2:$J$25,I106-1),INDEX(Matches!$A$2:$A$25,I106-1),""))</f>
        <v/>
      </c>
      <c r="B106" t="str">
        <f>IF(A106="","",IF(J106&lt;=INDEX(Matches!$I$2:$I$25,I106-1),INDEX(Matches!$G$2:$G$25,I106-1),INDEX(Matches!$H$2:$H$25,I106-1)))</f>
        <v/>
      </c>
      <c r="C106" t="str">
        <f>IF(A106="","",COUNTIFS($A$2:A106,A106,$B$2:B106,B106))</f>
        <v/>
      </c>
      <c r="D106" s="2" t="str">
        <f t="shared" si="3"/>
        <v/>
      </c>
      <c r="E106" s="2"/>
      <c r="F106" t="str">
        <f t="shared" si="4"/>
        <v/>
      </c>
      <c r="G106" t="str">
        <f t="shared" si="5"/>
        <v/>
      </c>
      <c r="H106" t="str">
        <f>IF(F106="","",VLOOKUP(F106,Validation!$A$2:$B$17,2,FALSE))</f>
        <v/>
      </c>
      <c r="I106">
        <f>INT((ROW()-2)/Settings!$B$6)+2</f>
        <v>10</v>
      </c>
      <c r="J106">
        <f>MOD(ROW()-2,Settings!$B$6)+1</f>
        <v>9</v>
      </c>
    </row>
    <row r="107" spans="1:10" x14ac:dyDescent="0.3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 x14ac:dyDescent="0.3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 x14ac:dyDescent="0.3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 x14ac:dyDescent="0.3">
      <c r="A110" t="str">
        <f>IF(OR(INDEX(Matches!$I$2:$I$25,I110-1)="",INDEX(Matches!$J$2:$J$25,I110-1)=""),"",IF(J110&lt;=INDEX(Matches!$I$2:$I$25,I110-1)+INDEX(Matches!$J$2:$J$25,I110-1),INDEX(Matches!$A$2:$A$25,I110-1),""))</f>
        <v/>
      </c>
      <c r="B110" t="str">
        <f>IF(A110="","",IF(J110&lt;=INDEX(Matches!$I$2:$I$25,I110-1),INDEX(Matches!$G$2:$G$25,I110-1),INDEX(Matches!$H$2:$H$25,I110-1)))</f>
        <v/>
      </c>
      <c r="C110" t="str">
        <f>IF(A110="","",COUNTIFS($A$2:A110,A110,$B$2:B110,B110))</f>
        <v/>
      </c>
      <c r="D110" s="2" t="str">
        <f t="shared" si="3"/>
        <v/>
      </c>
      <c r="E110" s="2"/>
      <c r="F110" t="str">
        <f t="shared" si="4"/>
        <v/>
      </c>
      <c r="G110" t="str">
        <f t="shared" si="5"/>
        <v/>
      </c>
      <c r="H110" t="str">
        <f>IF(F110="","",VLOOKUP(F110,Validation!$A$2:$B$17,2,FALSE))</f>
        <v/>
      </c>
      <c r="I110">
        <f>INT((ROW()-2)/Settings!$B$6)+2</f>
        <v>11</v>
      </c>
      <c r="J110">
        <f>MOD(ROW()-2,Settings!$B$6)+1</f>
        <v>1</v>
      </c>
    </row>
    <row r="111" spans="1:10" x14ac:dyDescent="0.3">
      <c r="A111" t="str">
        <f>IF(OR(INDEX(Matches!$I$2:$I$25,I111-1)="",INDEX(Matches!$J$2:$J$25,I111-1)=""),"",IF(J111&lt;=INDEX(Matches!$I$2:$I$25,I111-1)+INDEX(Matches!$J$2:$J$25,I111-1),INDEX(Matches!$A$2:$A$25,I111-1),""))</f>
        <v/>
      </c>
      <c r="B111" t="str">
        <f>IF(A111="","",IF(J111&lt;=INDEX(Matches!$I$2:$I$25,I111-1),INDEX(Matches!$G$2:$G$25,I111-1),INDEX(Matches!$H$2:$H$25,I111-1)))</f>
        <v/>
      </c>
      <c r="C111" t="str">
        <f>IF(A111="","",COUNTIFS($A$2:A111,A111,$B$2:B111,B111))</f>
        <v/>
      </c>
      <c r="D111" s="2" t="str">
        <f t="shared" si="3"/>
        <v/>
      </c>
      <c r="E111" s="2"/>
      <c r="F111" t="str">
        <f t="shared" si="4"/>
        <v/>
      </c>
      <c r="G111" t="str">
        <f t="shared" si="5"/>
        <v/>
      </c>
      <c r="H111" t="str">
        <f>IF(F111="","",VLOOKUP(F111,Validation!$A$2:$B$17,2,FALSE))</f>
        <v/>
      </c>
      <c r="I111">
        <f>INT((ROW()-2)/Settings!$B$6)+2</f>
        <v>11</v>
      </c>
      <c r="J111">
        <f>MOD(ROW()-2,Settings!$B$6)+1</f>
        <v>2</v>
      </c>
    </row>
    <row r="112" spans="1:10" x14ac:dyDescent="0.3">
      <c r="A112" t="str">
        <f>IF(OR(INDEX(Matches!$I$2:$I$25,I112-1)="",INDEX(Matches!$J$2:$J$25,I112-1)=""),"",IF(J112&lt;=INDEX(Matches!$I$2:$I$25,I112-1)+INDEX(Matches!$J$2:$J$25,I112-1),INDEX(Matches!$A$2:$A$25,I112-1),""))</f>
        <v/>
      </c>
      <c r="B112" t="str">
        <f>IF(A112="","",IF(J112&lt;=INDEX(Matches!$I$2:$I$25,I112-1),INDEX(Matches!$G$2:$G$25,I112-1),INDEX(Matches!$H$2:$H$25,I112-1)))</f>
        <v/>
      </c>
      <c r="C112" t="str">
        <f>IF(A112="","",COUNTIFS($A$2:A112,A112,$B$2:B112,B112))</f>
        <v/>
      </c>
      <c r="D112" s="2" t="str">
        <f t="shared" si="3"/>
        <v/>
      </c>
      <c r="E112" s="2"/>
      <c r="F112" t="str">
        <f t="shared" si="4"/>
        <v/>
      </c>
      <c r="G112" t="str">
        <f t="shared" si="5"/>
        <v/>
      </c>
      <c r="H112" t="str">
        <f>IF(F112="","",VLOOKUP(F112,Validation!$A$2:$B$17,2,FALSE))</f>
        <v/>
      </c>
      <c r="I112">
        <f>INT((ROW()-2)/Settings!$B$6)+2</f>
        <v>11</v>
      </c>
      <c r="J112">
        <f>MOD(ROW()-2,Settings!$B$6)+1</f>
        <v>3</v>
      </c>
    </row>
    <row r="113" spans="1:10" x14ac:dyDescent="0.3">
      <c r="A113" t="str">
        <f>IF(OR(INDEX(Matches!$I$2:$I$25,I113-1)="",INDEX(Matches!$J$2:$J$25,I113-1)=""),"",IF(J113&lt;=INDEX(Matches!$I$2:$I$25,I113-1)+INDEX(Matches!$J$2:$J$25,I113-1),INDEX(Matches!$A$2:$A$25,I113-1),""))</f>
        <v/>
      </c>
      <c r="B113" t="str">
        <f>IF(A113="","",IF(J113&lt;=INDEX(Matches!$I$2:$I$25,I113-1),INDEX(Matches!$G$2:$G$25,I113-1),INDEX(Matches!$H$2:$H$25,I113-1)))</f>
        <v/>
      </c>
      <c r="C113" t="str">
        <f>IF(A113="","",COUNTIFS($A$2:A113,A113,$B$2:B113,B113))</f>
        <v/>
      </c>
      <c r="D113" s="2" t="str">
        <f t="shared" si="3"/>
        <v/>
      </c>
      <c r="E113" s="2"/>
      <c r="F113" t="str">
        <f t="shared" si="4"/>
        <v/>
      </c>
      <c r="G113" t="str">
        <f t="shared" si="5"/>
        <v/>
      </c>
      <c r="H113" t="str">
        <f>IF(F113="","",VLOOKUP(F113,Validation!$A$2:$B$17,2,FALSE))</f>
        <v/>
      </c>
      <c r="I113">
        <f>INT((ROW()-2)/Settings!$B$6)+2</f>
        <v>11</v>
      </c>
      <c r="J113">
        <f>MOD(ROW()-2,Settings!$B$6)+1</f>
        <v>4</v>
      </c>
    </row>
    <row r="114" spans="1:10" x14ac:dyDescent="0.3">
      <c r="A114" t="str">
        <f>IF(OR(INDEX(Matches!$I$2:$I$25,I114-1)="",INDEX(Matches!$J$2:$J$25,I114-1)=""),"",IF(J114&lt;=INDEX(Matches!$I$2:$I$25,I114-1)+INDEX(Matches!$J$2:$J$25,I114-1),INDEX(Matches!$A$2:$A$25,I114-1),""))</f>
        <v/>
      </c>
      <c r="B114" t="str">
        <f>IF(A114="","",IF(J114&lt;=INDEX(Matches!$I$2:$I$25,I114-1),INDEX(Matches!$G$2:$G$25,I114-1),INDEX(Matches!$H$2:$H$25,I114-1)))</f>
        <v/>
      </c>
      <c r="C114" t="str">
        <f>IF(A114="","",COUNTIFS($A$2:A114,A114,$B$2:B114,B114))</f>
        <v/>
      </c>
      <c r="D114" s="2" t="str">
        <f t="shared" si="3"/>
        <v/>
      </c>
      <c r="E114" s="2"/>
      <c r="F114" t="str">
        <f t="shared" si="4"/>
        <v/>
      </c>
      <c r="G114" t="str">
        <f t="shared" si="5"/>
        <v/>
      </c>
      <c r="H114" t="str">
        <f>IF(F114="","",VLOOKUP(F114,Validation!$A$2:$B$17,2,FALSE))</f>
        <v/>
      </c>
      <c r="I114">
        <f>INT((ROW()-2)/Settings!$B$6)+2</f>
        <v>11</v>
      </c>
      <c r="J114">
        <f>MOD(ROW()-2,Settings!$B$6)+1</f>
        <v>5</v>
      </c>
    </row>
    <row r="115" spans="1:10" x14ac:dyDescent="0.3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 x14ac:dyDescent="0.3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 x14ac:dyDescent="0.3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 x14ac:dyDescent="0.3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 x14ac:dyDescent="0.3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 x14ac:dyDescent="0.3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 x14ac:dyDescent="0.3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 x14ac:dyDescent="0.3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3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 x14ac:dyDescent="0.3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3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 x14ac:dyDescent="0.3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 x14ac:dyDescent="0.3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 x14ac:dyDescent="0.3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 x14ac:dyDescent="0.3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 x14ac:dyDescent="0.3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 x14ac:dyDescent="0.3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 x14ac:dyDescent="0.3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 x14ac:dyDescent="0.3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 x14ac:dyDescent="0.3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 x14ac:dyDescent="0.3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 x14ac:dyDescent="0.3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 x14ac:dyDescent="0.3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 x14ac:dyDescent="0.3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 x14ac:dyDescent="0.3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 x14ac:dyDescent="0.3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 x14ac:dyDescent="0.3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 x14ac:dyDescent="0.3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 x14ac:dyDescent="0.3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 x14ac:dyDescent="0.3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 x14ac:dyDescent="0.3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 x14ac:dyDescent="0.3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 x14ac:dyDescent="0.3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 x14ac:dyDescent="0.3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 x14ac:dyDescent="0.3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 x14ac:dyDescent="0.3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 x14ac:dyDescent="0.3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 x14ac:dyDescent="0.3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 x14ac:dyDescent="0.3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 x14ac:dyDescent="0.3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 x14ac:dyDescent="0.3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 x14ac:dyDescent="0.3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 x14ac:dyDescent="0.3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 x14ac:dyDescent="0.3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 x14ac:dyDescent="0.3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 x14ac:dyDescent="0.3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6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 x14ac:dyDescent="0.3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6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 x14ac:dyDescent="0.3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6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 x14ac:dyDescent="0.3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6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 x14ac:dyDescent="0.3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6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 x14ac:dyDescent="0.3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6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 x14ac:dyDescent="0.3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 x14ac:dyDescent="0.3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 x14ac:dyDescent="0.3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 x14ac:dyDescent="0.3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 x14ac:dyDescent="0.3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 x14ac:dyDescent="0.3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 x14ac:dyDescent="0.3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6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 x14ac:dyDescent="0.3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6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 x14ac:dyDescent="0.3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6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 x14ac:dyDescent="0.3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6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 x14ac:dyDescent="0.3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6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 x14ac:dyDescent="0.3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 x14ac:dyDescent="0.3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 x14ac:dyDescent="0.3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 x14ac:dyDescent="0.3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 x14ac:dyDescent="0.3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 x14ac:dyDescent="0.3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 x14ac:dyDescent="0.3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 x14ac:dyDescent="0.3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 x14ac:dyDescent="0.3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 x14ac:dyDescent="0.3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 x14ac:dyDescent="0.3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 x14ac:dyDescent="0.3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 x14ac:dyDescent="0.3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 x14ac:dyDescent="0.3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 x14ac:dyDescent="0.3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 x14ac:dyDescent="0.3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 x14ac:dyDescent="0.3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 x14ac:dyDescent="0.3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 x14ac:dyDescent="0.3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 x14ac:dyDescent="0.3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 x14ac:dyDescent="0.3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 x14ac:dyDescent="0.3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 x14ac:dyDescent="0.3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 x14ac:dyDescent="0.3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 x14ac:dyDescent="0.3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 x14ac:dyDescent="0.3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 x14ac:dyDescent="0.3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 x14ac:dyDescent="0.3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 x14ac:dyDescent="0.3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 x14ac:dyDescent="0.3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 x14ac:dyDescent="0.3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 x14ac:dyDescent="0.3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 x14ac:dyDescent="0.3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 x14ac:dyDescent="0.3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 x14ac:dyDescent="0.3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 x14ac:dyDescent="0.3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 x14ac:dyDescent="0.3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 x14ac:dyDescent="0.3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 x14ac:dyDescent="0.3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 x14ac:dyDescent="0.3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 x14ac:dyDescent="0.3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 x14ac:dyDescent="0.3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 x14ac:dyDescent="0.3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 x14ac:dyDescent="0.3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 x14ac:dyDescent="0.3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 x14ac:dyDescent="0.3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 x14ac:dyDescent="0.3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 x14ac:dyDescent="0.3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 x14ac:dyDescent="0.3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 x14ac:dyDescent="0.3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 x14ac:dyDescent="0.3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 x14ac:dyDescent="0.3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 x14ac:dyDescent="0.3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 x14ac:dyDescent="0.3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 x14ac:dyDescent="0.3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 x14ac:dyDescent="0.3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 x14ac:dyDescent="0.3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 x14ac:dyDescent="0.3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 x14ac:dyDescent="0.3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 x14ac:dyDescent="0.3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 x14ac:dyDescent="0.3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 x14ac:dyDescent="0.3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 x14ac:dyDescent="0.3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 x14ac:dyDescent="0.3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 x14ac:dyDescent="0.3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 x14ac:dyDescent="0.3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 x14ac:dyDescent="0.3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 x14ac:dyDescent="0.3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 x14ac:dyDescent="0.3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 x14ac:dyDescent="0.3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 x14ac:dyDescent="0.3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 x14ac:dyDescent="0.3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 x14ac:dyDescent="0.3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 x14ac:dyDescent="0.3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 x14ac:dyDescent="0.3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 x14ac:dyDescent="0.3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 x14ac:dyDescent="0.3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 x14ac:dyDescent="0.3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 x14ac:dyDescent="0.3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 x14ac:dyDescent="0.3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 x14ac:dyDescent="0.3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 x14ac:dyDescent="0.3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 x14ac:dyDescent="0.3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 x14ac:dyDescent="0.3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 x14ac:dyDescent="0.3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 x14ac:dyDescent="0.3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 x14ac:dyDescent="0.3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 x14ac:dyDescent="0.3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 x14ac:dyDescent="0.3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 x14ac:dyDescent="0.3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 x14ac:dyDescent="0.3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 x14ac:dyDescent="0.3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 x14ac:dyDescent="0.3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 x14ac:dyDescent="0.3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 x14ac:dyDescent="0.3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 x14ac:dyDescent="0.3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 x14ac:dyDescent="0.3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 x14ac:dyDescent="0.3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 x14ac:dyDescent="0.3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 x14ac:dyDescent="0.3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 x14ac:dyDescent="0.3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 x14ac:dyDescent="0.3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 x14ac:dyDescent="0.3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 x14ac:dyDescent="0.3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 x14ac:dyDescent="0.3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 x14ac:dyDescent="0.3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 x14ac:dyDescent="0.3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 x14ac:dyDescent="0.3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 x14ac:dyDescent="0.3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 x14ac:dyDescent="0.3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 x14ac:dyDescent="0.3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 x14ac:dyDescent="0.3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 x14ac:dyDescent="0.3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 x14ac:dyDescent="0.3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 x14ac:dyDescent="0.3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4.4" x14ac:dyDescent="0.3"/>
  <cols>
    <col min="1" max="2" width="28" customWidth="1"/>
    <col min="3" max="3" width="38" customWidth="1"/>
    <col min="4" max="5" width="28" customWidth="1"/>
  </cols>
  <sheetData>
    <row r="1" spans="1:26" x14ac:dyDescent="0.3">
      <c r="A1" s="5" t="s">
        <v>286</v>
      </c>
      <c r="B1" s="5" t="s">
        <v>293</v>
      </c>
      <c r="C1" s="5" t="s">
        <v>242</v>
      </c>
      <c r="D1" s="5" t="s">
        <v>294</v>
      </c>
      <c r="E1" s="5" t="s">
        <v>295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 x14ac:dyDescent="0.3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4 -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0</v>
      </c>
      <c r="E3">
        <f t="shared" si="0"/>
        <v>-3.0000000000000001E-3</v>
      </c>
    </row>
    <row r="4" spans="1:26" x14ac:dyDescent="0.3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 x14ac:dyDescent="0.3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0</v>
      </c>
      <c r="E5">
        <f t="shared" si="0"/>
        <v>-5.0000000000000001E-3</v>
      </c>
    </row>
    <row r="6" spans="1:26" x14ac:dyDescent="0.3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 x14ac:dyDescent="0.3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0</v>
      </c>
      <c r="E7">
        <f t="shared" si="0"/>
        <v>-7.0000000000000001E-3</v>
      </c>
    </row>
    <row r="8" spans="1:26" x14ac:dyDescent="0.3">
      <c r="A8" t="str">
        <f>IF(Players!E8="","",Players!E8)</f>
        <v>SAMUELE DURRA</v>
      </c>
      <c r="B8" t="str">
        <f>IF(A8="","",Players!C8)</f>
        <v>Fatine FC</v>
      </c>
      <c r="C8" t="str">
        <f>IF(A8="","",Players!G8)</f>
        <v>11 - SAMUELE DURRA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 x14ac:dyDescent="0.3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 x14ac:dyDescent="0.3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 x14ac:dyDescent="0.3">
      <c r="A11" t="str">
        <f>IF(Players!E11="","",Players!E11)</f>
        <v>MATTEO COL</v>
      </c>
      <c r="B11" t="str">
        <f>IF(A11="","",Players!C11)</f>
        <v>Fatine FC</v>
      </c>
      <c r="C11" t="str">
        <f>IF(A11="","",Players!G11)</f>
        <v>90 - MATTEO COL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 x14ac:dyDescent="0.3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 x14ac:dyDescent="0.3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 x14ac:dyDescent="0.3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 x14ac:dyDescent="0.3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 x14ac:dyDescent="0.3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 x14ac:dyDescent="0.3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 x14ac:dyDescent="0.3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 x14ac:dyDescent="0.3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 x14ac:dyDescent="0.3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 x14ac:dyDescent="0.3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 x14ac:dyDescent="0.3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 x14ac:dyDescent="0.3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 x14ac:dyDescent="0.3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 x14ac:dyDescent="0.3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 x14ac:dyDescent="0.3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 x14ac:dyDescent="0.3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 x14ac:dyDescent="0.3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 x14ac:dyDescent="0.3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 x14ac:dyDescent="0.3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 x14ac:dyDescent="0.3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 x14ac:dyDescent="0.3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0 -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 x14ac:dyDescent="0.3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0</v>
      </c>
      <c r="E33">
        <f t="shared" si="0"/>
        <v>-3.3000000000000002E-2</v>
      </c>
    </row>
    <row r="34" spans="1:5" x14ac:dyDescent="0.3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0 -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 x14ac:dyDescent="0.3">
      <c r="A35" t="str">
        <f>IF(Players!E35="","",Players!E35)</f>
        <v>DANIIL YAKIMENKO</v>
      </c>
      <c r="B35" t="str">
        <f>IF(A35="","",Players!C35)</f>
        <v>FC Internazionale Rovigo</v>
      </c>
      <c r="C35" t="str">
        <f>IF(A35="","",Players!G35)</f>
        <v>0 - DANIIL YAKIMENKO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 x14ac:dyDescent="0.3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0 -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0</v>
      </c>
      <c r="E36">
        <f t="shared" si="0"/>
        <v>-3.5999999999999997E-2</v>
      </c>
    </row>
    <row r="37" spans="1:5" x14ac:dyDescent="0.3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0 -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 x14ac:dyDescent="0.3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0 -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 x14ac:dyDescent="0.3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0 -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 x14ac:dyDescent="0.3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0 -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 x14ac:dyDescent="0.3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0 -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 x14ac:dyDescent="0.3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 x14ac:dyDescent="0.3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 x14ac:dyDescent="0.3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 x14ac:dyDescent="0.3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 x14ac:dyDescent="0.3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 x14ac:dyDescent="0.3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 x14ac:dyDescent="0.3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 x14ac:dyDescent="0.3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 x14ac:dyDescent="0.3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 x14ac:dyDescent="0.3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 x14ac:dyDescent="0.3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 x14ac:dyDescent="0.3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 x14ac:dyDescent="0.3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 x14ac:dyDescent="0.3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 x14ac:dyDescent="0.3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 x14ac:dyDescent="0.3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 x14ac:dyDescent="0.3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 x14ac:dyDescent="0.3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 x14ac:dyDescent="0.3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 x14ac:dyDescent="0.3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 x14ac:dyDescent="0.3">
      <c r="A62" t="str">
        <f>IF(Players!E62="","",Players!E62)</f>
        <v>MATTIA MERLO</v>
      </c>
      <c r="B62" t="str">
        <f>IF(A62="","",Players!C62)</f>
        <v>Moviola Utd</v>
      </c>
      <c r="C62" t="str">
        <f>IF(A62="","",Players!G62)</f>
        <v>0 - MATTIA MERLO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 x14ac:dyDescent="0.3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0 -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 x14ac:dyDescent="0.3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0 -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0</v>
      </c>
      <c r="E64">
        <f t="shared" si="0"/>
        <v>-6.4000000000000001E-2</v>
      </c>
    </row>
    <row r="65" spans="1:5" x14ac:dyDescent="0.3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0</v>
      </c>
      <c r="E65">
        <f t="shared" si="0"/>
        <v>-6.5000000000000002E-2</v>
      </c>
    </row>
    <row r="66" spans="1:5" x14ac:dyDescent="0.3">
      <c r="A66" t="str">
        <f>IF(Players!E66="","",Players!E66)</f>
        <v>EDDY MAZZETTO</v>
      </c>
      <c r="B66" t="str">
        <f>IF(A66="","",Players!C66)</f>
        <v>Moviola Utd</v>
      </c>
      <c r="C66" t="str">
        <f>IF(A66="","",Players!G66)</f>
        <v>0 - EDDY MAZZETTO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0</v>
      </c>
      <c r="E66">
        <f t="shared" ref="E66:E129" si="1">IF(A66="",0,D66*100000-ROW()/1000)</f>
        <v>-6.6000000000000003E-2</v>
      </c>
    </row>
    <row r="67" spans="1:5" x14ac:dyDescent="0.3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0 -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 x14ac:dyDescent="0.3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0 -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 x14ac:dyDescent="0.3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0 -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0</v>
      </c>
      <c r="E69">
        <f t="shared" si="1"/>
        <v>-6.9000000000000006E-2</v>
      </c>
    </row>
    <row r="70" spans="1:5" x14ac:dyDescent="0.3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0 -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0</v>
      </c>
      <c r="E70">
        <f t="shared" si="1"/>
        <v>-7.0000000000000007E-2</v>
      </c>
    </row>
    <row r="71" spans="1:5" x14ac:dyDescent="0.3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0 -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 x14ac:dyDescent="0.3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0 -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 x14ac:dyDescent="0.3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 x14ac:dyDescent="0.3">
      <c r="A74" t="str">
        <f>IF(Players!E74="","",Players!E74)</f>
        <v>NICO PAVANI</v>
      </c>
      <c r="B74" t="str">
        <f>IF(A74="","",Players!C74)</f>
        <v>Moviola Utd</v>
      </c>
      <c r="C74" t="str">
        <f>IF(A74="","",Players!G74)</f>
        <v>0 - NICO PAVANI</v>
      </c>
      <c r="D74">
        <f>IF(A74="","",COUNTIFS(Goals!$D$2:$D$289,"Goal",Goals!$E$2:$E$289,"*"&amp;A74&amp;"*",Goals!$F$2:$F$289,B74)+COUNTIFS(KnockoutGoals!$D$2:$D$85,"Goal",KnockoutGoals!$E$2:$E$85,"*"&amp;A74&amp;"*",KnockoutGoals!$F$2:$F$85,B74))</f>
        <v>0</v>
      </c>
      <c r="E74">
        <f t="shared" si="1"/>
        <v>-7.3999999999999996E-2</v>
      </c>
    </row>
    <row r="75" spans="1:5" x14ac:dyDescent="0.3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 x14ac:dyDescent="0.3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 x14ac:dyDescent="0.3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 x14ac:dyDescent="0.3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 x14ac:dyDescent="0.3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 x14ac:dyDescent="0.3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 x14ac:dyDescent="0.3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 x14ac:dyDescent="0.3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 x14ac:dyDescent="0.3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 x14ac:dyDescent="0.3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 x14ac:dyDescent="0.3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 x14ac:dyDescent="0.3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 x14ac:dyDescent="0.3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 x14ac:dyDescent="0.3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 x14ac:dyDescent="0.3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 x14ac:dyDescent="0.3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 x14ac:dyDescent="0.3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 x14ac:dyDescent="0.3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 x14ac:dyDescent="0.3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 x14ac:dyDescent="0.3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 x14ac:dyDescent="0.3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 x14ac:dyDescent="0.3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 x14ac:dyDescent="0.3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 x14ac:dyDescent="0.3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 x14ac:dyDescent="0.3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 x14ac:dyDescent="0.3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 x14ac:dyDescent="0.3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 x14ac:dyDescent="0.3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 x14ac:dyDescent="0.3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 x14ac:dyDescent="0.3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 x14ac:dyDescent="0.3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 x14ac:dyDescent="0.3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 x14ac:dyDescent="0.3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 x14ac:dyDescent="0.3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 x14ac:dyDescent="0.3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 x14ac:dyDescent="0.3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 x14ac:dyDescent="0.3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 x14ac:dyDescent="0.3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 x14ac:dyDescent="0.3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 x14ac:dyDescent="0.3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 x14ac:dyDescent="0.3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 x14ac:dyDescent="0.3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 x14ac:dyDescent="0.3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 x14ac:dyDescent="0.3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 x14ac:dyDescent="0.3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 x14ac:dyDescent="0.3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 x14ac:dyDescent="0.3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 x14ac:dyDescent="0.3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 x14ac:dyDescent="0.3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 x14ac:dyDescent="0.3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 x14ac:dyDescent="0.3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 x14ac:dyDescent="0.3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0</v>
      </c>
      <c r="E126">
        <f t="shared" si="1"/>
        <v>-0.126</v>
      </c>
    </row>
    <row r="127" spans="1:5" x14ac:dyDescent="0.3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 x14ac:dyDescent="0.3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 x14ac:dyDescent="0.3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 x14ac:dyDescent="0.3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 x14ac:dyDescent="0.3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 x14ac:dyDescent="0.3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 x14ac:dyDescent="0.3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 x14ac:dyDescent="0.3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 x14ac:dyDescent="0.3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 x14ac:dyDescent="0.3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 x14ac:dyDescent="0.3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 x14ac:dyDescent="0.3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 x14ac:dyDescent="0.3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 x14ac:dyDescent="0.3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 x14ac:dyDescent="0.3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 x14ac:dyDescent="0.3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 x14ac:dyDescent="0.3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 x14ac:dyDescent="0.3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 x14ac:dyDescent="0.3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 x14ac:dyDescent="0.3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 x14ac:dyDescent="0.3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 x14ac:dyDescent="0.3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 x14ac:dyDescent="0.3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 x14ac:dyDescent="0.3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 x14ac:dyDescent="0.3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 x14ac:dyDescent="0.3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10 - DAVIDE ZAGHI (C)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2</v>
      </c>
      <c r="E152">
        <f t="shared" si="2"/>
        <v>199999.848</v>
      </c>
    </row>
    <row r="153" spans="1:5" x14ac:dyDescent="0.3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5 -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1</v>
      </c>
      <c r="E153">
        <f t="shared" si="2"/>
        <v>99999.846999999994</v>
      </c>
    </row>
    <row r="154" spans="1:5" x14ac:dyDescent="0.3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3 -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3</v>
      </c>
      <c r="E154">
        <f t="shared" si="2"/>
        <v>299999.84600000002</v>
      </c>
    </row>
    <row r="155" spans="1:5" x14ac:dyDescent="0.3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20 -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1</v>
      </c>
      <c r="E155">
        <f t="shared" si="2"/>
        <v>99999.845000000001</v>
      </c>
    </row>
    <row r="156" spans="1:5" x14ac:dyDescent="0.3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8 -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1</v>
      </c>
      <c r="E156">
        <f t="shared" si="2"/>
        <v>99999.843999999997</v>
      </c>
    </row>
    <row r="157" spans="1:5" x14ac:dyDescent="0.3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7 -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1</v>
      </c>
      <c r="E157">
        <f t="shared" si="2"/>
        <v>99999.842999999993</v>
      </c>
    </row>
    <row r="158" spans="1:5" x14ac:dyDescent="0.3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1 -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 x14ac:dyDescent="0.3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4 -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 x14ac:dyDescent="0.3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6 -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 x14ac:dyDescent="0.3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17 - DOMENICO IACOVINO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1</v>
      </c>
      <c r="E161">
        <f t="shared" si="2"/>
        <v>99999.839000000007</v>
      </c>
    </row>
    <row r="162" spans="1:5" x14ac:dyDescent="0.3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16 -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 x14ac:dyDescent="0.3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 x14ac:dyDescent="0.3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 x14ac:dyDescent="0.3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 x14ac:dyDescent="0.3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 x14ac:dyDescent="0.3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 x14ac:dyDescent="0.3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 x14ac:dyDescent="0.3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 x14ac:dyDescent="0.3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 x14ac:dyDescent="0.3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 x14ac:dyDescent="0.3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 x14ac:dyDescent="0.3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 x14ac:dyDescent="0.3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 x14ac:dyDescent="0.3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 x14ac:dyDescent="0.3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 x14ac:dyDescent="0.3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 x14ac:dyDescent="0.3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 x14ac:dyDescent="0.3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 x14ac:dyDescent="0.3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 x14ac:dyDescent="0.3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 x14ac:dyDescent="0.3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 x14ac:dyDescent="0.3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 x14ac:dyDescent="0.3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0</v>
      </c>
      <c r="E184">
        <f t="shared" si="2"/>
        <v>-0.184</v>
      </c>
    </row>
    <row r="185" spans="1:5" x14ac:dyDescent="0.3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0</v>
      </c>
      <c r="E185">
        <f t="shared" si="2"/>
        <v>-0.185</v>
      </c>
    </row>
    <row r="186" spans="1:5" x14ac:dyDescent="0.3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0</v>
      </c>
      <c r="E186">
        <f t="shared" si="2"/>
        <v>-0.186</v>
      </c>
    </row>
    <row r="187" spans="1:5" x14ac:dyDescent="0.3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0</v>
      </c>
      <c r="E187">
        <f t="shared" si="2"/>
        <v>-0.187</v>
      </c>
    </row>
    <row r="188" spans="1:5" x14ac:dyDescent="0.3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0</v>
      </c>
      <c r="E188">
        <f t="shared" si="2"/>
        <v>-0.188</v>
      </c>
    </row>
    <row r="189" spans="1:5" x14ac:dyDescent="0.3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 x14ac:dyDescent="0.3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 x14ac:dyDescent="0.3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 x14ac:dyDescent="0.3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17 -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0</v>
      </c>
      <c r="E192">
        <f t="shared" si="2"/>
        <v>-0.192</v>
      </c>
    </row>
    <row r="193" spans="1:5" x14ac:dyDescent="0.3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 x14ac:dyDescent="0.3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 x14ac:dyDescent="0.3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 x14ac:dyDescent="0.3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 x14ac:dyDescent="0.3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 x14ac:dyDescent="0.3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 x14ac:dyDescent="0.3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 x14ac:dyDescent="0.3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 x14ac:dyDescent="0.3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 x14ac:dyDescent="0.3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 x14ac:dyDescent="0.3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 x14ac:dyDescent="0.3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 x14ac:dyDescent="0.3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 x14ac:dyDescent="0.3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 x14ac:dyDescent="0.3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 x14ac:dyDescent="0.3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 x14ac:dyDescent="0.3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 x14ac:dyDescent="0.3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 x14ac:dyDescent="0.3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 x14ac:dyDescent="0.3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 x14ac:dyDescent="0.3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0</v>
      </c>
      <c r="E213">
        <f t="shared" si="3"/>
        <v>-0.21299999999999999</v>
      </c>
    </row>
    <row r="214" spans="1:5" x14ac:dyDescent="0.3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0</v>
      </c>
      <c r="E214">
        <f t="shared" si="3"/>
        <v>-0.214</v>
      </c>
    </row>
    <row r="215" spans="1:5" x14ac:dyDescent="0.3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 x14ac:dyDescent="0.3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 x14ac:dyDescent="0.3">
      <c r="A217" t="str">
        <f>IF(Players!E217="","",Players!E217)</f>
        <v>MATTEO BARTOLOMEI</v>
      </c>
      <c r="B217" t="str">
        <f>IF(A217="","",Players!C217)</f>
        <v>Beverton</v>
      </c>
      <c r="C217" t="str">
        <f>IF(A217="","",Players!G217)</f>
        <v>21 - MATTEO BARTOLOMEI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 x14ac:dyDescent="0.3">
      <c r="A218" t="str">
        <f>IF(Players!E218="","",Players!E218)</f>
        <v/>
      </c>
      <c r="B218" t="str">
        <f>IF(A218="","",Players!C218)</f>
        <v/>
      </c>
      <c r="C218" t="str">
        <f>IF(A218="","",Players!G218)</f>
        <v/>
      </c>
      <c r="D218" t="str">
        <f>IF(A218="","",COUNTIFS(Goals!$D$2:$D$289,"Goal",Goals!$E$2:$E$289,"*"&amp;A218&amp;"*",Goals!$F$2:$F$289,B218)+COUNTIFS(KnockoutGoals!$D$2:$D$85,"Goal",KnockoutGoals!$E$2:$E$85,"*"&amp;A218&amp;"*",KnockoutGoals!$F$2:$F$85,B218))</f>
        <v/>
      </c>
      <c r="E218">
        <f t="shared" si="3"/>
        <v>0</v>
      </c>
    </row>
    <row r="219" spans="1:5" x14ac:dyDescent="0.3">
      <c r="A219" t="str">
        <f>IF(Players!E219="","",Players!E219)</f>
        <v/>
      </c>
      <c r="B219" t="str">
        <f>IF(A219="","",Players!C219)</f>
        <v/>
      </c>
      <c r="C219" t="str">
        <f>IF(A219="","",Players!G219)</f>
        <v/>
      </c>
      <c r="D219" t="str">
        <f>IF(A219="","",COUNTIFS(Goals!$D$2:$D$289,"Goal",Goals!$E$2:$E$289,"*"&amp;A219&amp;"*",Goals!$F$2:$F$289,B219)+COUNTIFS(KnockoutGoals!$D$2:$D$85,"Goal",KnockoutGoals!$E$2:$E$85,"*"&amp;A219&amp;"*",KnockoutGoals!$F$2:$F$85,B219))</f>
        <v/>
      </c>
      <c r="E219">
        <f t="shared" si="3"/>
        <v>0</v>
      </c>
    </row>
    <row r="220" spans="1:5" x14ac:dyDescent="0.3">
      <c r="A220" t="str">
        <f>IF(Players!E220="","",Players!E220)</f>
        <v/>
      </c>
      <c r="B220" t="str">
        <f>IF(A220="","",Players!C220)</f>
        <v/>
      </c>
      <c r="C220" t="str">
        <f>IF(A220="","",Players!G220)</f>
        <v/>
      </c>
      <c r="D220" t="str">
        <f>IF(A220="","",COUNTIFS(Goals!$D$2:$D$289,"Goal",Goals!$E$2:$E$289,"*"&amp;A220&amp;"*",Goals!$F$2:$F$289,B220)+COUNTIFS(KnockoutGoals!$D$2:$D$85,"Goal",KnockoutGoals!$E$2:$E$85,"*"&amp;A220&amp;"*",KnockoutGoals!$F$2:$F$85,B220))</f>
        <v/>
      </c>
      <c r="E220">
        <f t="shared" si="3"/>
        <v>0</v>
      </c>
    </row>
    <row r="221" spans="1:5" x14ac:dyDescent="0.3">
      <c r="A221" t="str">
        <f>IF(Players!E221="","",Players!E221)</f>
        <v/>
      </c>
      <c r="B221" t="str">
        <f>IF(A221="","",Players!C221)</f>
        <v/>
      </c>
      <c r="C221" t="str">
        <f>IF(A221="","",Players!G221)</f>
        <v/>
      </c>
      <c r="D221" t="str">
        <f>IF(A221="","",COUNTIFS(Goals!$D$2:$D$289,"Goal",Goals!$E$2:$E$289,"*"&amp;A221&amp;"*",Goals!$F$2:$F$289,B221)+COUNTIFS(KnockoutGoals!$D$2:$D$85,"Goal",KnockoutGoals!$E$2:$E$85,"*"&amp;A221&amp;"*",KnockoutGoals!$F$2:$F$85,B221))</f>
        <v/>
      </c>
      <c r="E221">
        <f t="shared" si="3"/>
        <v>0</v>
      </c>
    </row>
    <row r="222" spans="1:5" x14ac:dyDescent="0.3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 x14ac:dyDescent="0.3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 x14ac:dyDescent="0.3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 x14ac:dyDescent="0.3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 x14ac:dyDescent="0.3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 x14ac:dyDescent="0.3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 x14ac:dyDescent="0.3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 x14ac:dyDescent="0.3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 x14ac:dyDescent="0.3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 x14ac:dyDescent="0.3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 x14ac:dyDescent="0.3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 x14ac:dyDescent="0.3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 x14ac:dyDescent="0.3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 x14ac:dyDescent="0.3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 x14ac:dyDescent="0.3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 x14ac:dyDescent="0.3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 x14ac:dyDescent="0.3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 x14ac:dyDescent="0.3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 x14ac:dyDescent="0.3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 x14ac:dyDescent="0.3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 x14ac:dyDescent="0.3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 x14ac:dyDescent="0.3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0</v>
      </c>
      <c r="E243">
        <f t="shared" si="3"/>
        <v>-0.24299999999999999</v>
      </c>
    </row>
    <row r="244" spans="1:5" x14ac:dyDescent="0.3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0</v>
      </c>
      <c r="E244">
        <f t="shared" si="3"/>
        <v>-0.24399999999999999</v>
      </c>
    </row>
    <row r="245" spans="1:5" x14ac:dyDescent="0.3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 x14ac:dyDescent="0.3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0</v>
      </c>
      <c r="E246">
        <f t="shared" si="3"/>
        <v>-0.246</v>
      </c>
    </row>
    <row r="247" spans="1:5" x14ac:dyDescent="0.3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 x14ac:dyDescent="0.3">
      <c r="A248" t="str">
        <f>IF(Players!E248="","",Players!E248)</f>
        <v>ANDREI BARZAGHIDEANU</v>
      </c>
      <c r="B248" t="str">
        <f>IF(A248="","",Players!C248)</f>
        <v>Leoni di Ricky</v>
      </c>
      <c r="C248" t="str">
        <f>IF(A248="","",Players!G248)</f>
        <v>10 - ANDREI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0</v>
      </c>
      <c r="E248">
        <f t="shared" si="3"/>
        <v>-0.248</v>
      </c>
    </row>
    <row r="249" spans="1:5" x14ac:dyDescent="0.3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14 -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0</v>
      </c>
      <c r="E249">
        <f t="shared" si="3"/>
        <v>-0.249</v>
      </c>
    </row>
    <row r="250" spans="1:5" x14ac:dyDescent="0.3">
      <c r="A250" t="str">
        <f>IF(Players!E250="","",Players!E250)</f>
        <v>TOMMASO ZANGIROLAMI</v>
      </c>
      <c r="B250" t="str">
        <f>IF(A250="","",Players!C250)</f>
        <v>Leoni di Ricky</v>
      </c>
      <c r="C250" t="str">
        <f>IF(A250="","",Players!G250)</f>
        <v>20 - TOMMASO ZANGIROLAMI</v>
      </c>
      <c r="D250">
        <f>IF(A250="","",COUNTIFS(Goals!$D$2:$D$289,"Goal",Goals!$E$2:$E$289,"*"&amp;A250&amp;"*",Goals!$F$2:$F$289,B250)+COUNTIFS(KnockoutGoals!$D$2:$D$85,"Goal",KnockoutGoals!$E$2:$E$85,"*"&amp;A250&amp;"*",KnockoutGoals!$F$2:$F$85,B250))</f>
        <v>0</v>
      </c>
      <c r="E250">
        <f t="shared" si="3"/>
        <v>-0.25</v>
      </c>
    </row>
    <row r="251" spans="1:5" x14ac:dyDescent="0.3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 x14ac:dyDescent="0.3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 x14ac:dyDescent="0.3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 x14ac:dyDescent="0.3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 x14ac:dyDescent="0.3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 x14ac:dyDescent="0.3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 x14ac:dyDescent="0.3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 x14ac:dyDescent="0.3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 x14ac:dyDescent="0.3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 x14ac:dyDescent="0.3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 x14ac:dyDescent="0.3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 x14ac:dyDescent="0.3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 x14ac:dyDescent="0.3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 x14ac:dyDescent="0.3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 x14ac:dyDescent="0.3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 x14ac:dyDescent="0.3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 x14ac:dyDescent="0.3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 x14ac:dyDescent="0.3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 x14ac:dyDescent="0.3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 x14ac:dyDescent="0.3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 x14ac:dyDescent="0.3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 x14ac:dyDescent="0.3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 x14ac:dyDescent="0.3">
      <c r="A273" t="str">
        <f>IF(Players!E273="","",Players!E273)</f>
        <v>ELIA SICCHIERO</v>
      </c>
      <c r="B273" t="str">
        <f>IF(A273="","",Players!C273)</f>
        <v>Pink 5ive</v>
      </c>
      <c r="C273" t="str">
        <f>IF(A273="","",Players!G273)</f>
        <v>7 - ELIA SICCHIERO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 x14ac:dyDescent="0.3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 x14ac:dyDescent="0.3">
      <c r="A275" t="str">
        <f>IF(Players!E275="","",Players!E275)</f>
        <v>NICCOLO' PALTANIN</v>
      </c>
      <c r="B275" t="str">
        <f>IF(A275="","",Players!C275)</f>
        <v>Pink 5ive</v>
      </c>
      <c r="C275" t="str">
        <f>IF(A275="","",Players!G275)</f>
        <v>10 - NICCOLO' PALTANIN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0</v>
      </c>
      <c r="E275">
        <f t="shared" si="4"/>
        <v>-0.27500000000000002</v>
      </c>
    </row>
    <row r="276" spans="1:5" x14ac:dyDescent="0.3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 x14ac:dyDescent="0.3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0</v>
      </c>
      <c r="E277">
        <f t="shared" si="4"/>
        <v>-0.27700000000000002</v>
      </c>
    </row>
    <row r="278" spans="1:5" x14ac:dyDescent="0.3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 x14ac:dyDescent="0.3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0</v>
      </c>
      <c r="E279">
        <f t="shared" si="4"/>
        <v>-0.27900000000000003</v>
      </c>
    </row>
    <row r="280" spans="1:5" x14ac:dyDescent="0.3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 x14ac:dyDescent="0.3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0</v>
      </c>
      <c r="E281">
        <f t="shared" si="4"/>
        <v>-0.28100000000000003</v>
      </c>
    </row>
    <row r="282" spans="1:5" x14ac:dyDescent="0.3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 x14ac:dyDescent="0.3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 x14ac:dyDescent="0.3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 x14ac:dyDescent="0.3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 x14ac:dyDescent="0.3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 x14ac:dyDescent="0.3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 x14ac:dyDescent="0.3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 x14ac:dyDescent="0.3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 x14ac:dyDescent="0.3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 x14ac:dyDescent="0.3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 x14ac:dyDescent="0.3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 x14ac:dyDescent="0.3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 x14ac:dyDescent="0.3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 x14ac:dyDescent="0.3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 x14ac:dyDescent="0.3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 x14ac:dyDescent="0.3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 x14ac:dyDescent="0.3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 x14ac:dyDescent="0.3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 x14ac:dyDescent="0.3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 x14ac:dyDescent="0.3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 x14ac:dyDescent="0.3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 x14ac:dyDescent="0.3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 x14ac:dyDescent="0.3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0</v>
      </c>
      <c r="E304">
        <f t="shared" si="4"/>
        <v>-0.30399999999999999</v>
      </c>
    </row>
    <row r="305" spans="1:5" x14ac:dyDescent="0.3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 x14ac:dyDescent="0.3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 x14ac:dyDescent="0.3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 x14ac:dyDescent="0.3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 x14ac:dyDescent="0.3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0</v>
      </c>
      <c r="E309">
        <f t="shared" si="4"/>
        <v>-0.309</v>
      </c>
    </row>
    <row r="310" spans="1:5" x14ac:dyDescent="0.3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0</v>
      </c>
      <c r="E310">
        <f t="shared" si="4"/>
        <v>-0.31</v>
      </c>
    </row>
    <row r="311" spans="1:5" x14ac:dyDescent="0.3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 x14ac:dyDescent="0.3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 x14ac:dyDescent="0.3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 x14ac:dyDescent="0.3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 x14ac:dyDescent="0.3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 x14ac:dyDescent="0.3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 x14ac:dyDescent="0.3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 x14ac:dyDescent="0.3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 x14ac:dyDescent="0.3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 x14ac:dyDescent="0.3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 x14ac:dyDescent="0.3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 x14ac:dyDescent="0.3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 x14ac:dyDescent="0.3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 x14ac:dyDescent="0.3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 x14ac:dyDescent="0.3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 x14ac:dyDescent="0.3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 x14ac:dyDescent="0.3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 x14ac:dyDescent="0.3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 x14ac:dyDescent="0.3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 x14ac:dyDescent="0.3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 x14ac:dyDescent="0.3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 x14ac:dyDescent="0.3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 x14ac:dyDescent="0.3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 x14ac:dyDescent="0.3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0</v>
      </c>
      <c r="E334">
        <f t="shared" si="5"/>
        <v>-0.33400000000000002</v>
      </c>
    </row>
    <row r="335" spans="1:5" x14ac:dyDescent="0.3">
      <c r="A335" t="str">
        <f>IF(Players!E335="","",Players!E335)</f>
        <v>ALEX MENEGHELLO</v>
      </c>
      <c r="B335" t="str">
        <f>IF(A335="","",Players!C335)</f>
        <v>Cani</v>
      </c>
      <c r="C335" t="str">
        <f>IF(A335="","",Players!G335)</f>
        <v>8 - ALEX MENEGHELLO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 x14ac:dyDescent="0.3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 x14ac:dyDescent="0.3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0</v>
      </c>
      <c r="E337">
        <f t="shared" si="5"/>
        <v>-0.33700000000000002</v>
      </c>
    </row>
    <row r="338" spans="1:5" x14ac:dyDescent="0.3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 x14ac:dyDescent="0.3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 x14ac:dyDescent="0.3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 x14ac:dyDescent="0.3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 x14ac:dyDescent="0.3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 x14ac:dyDescent="0.3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 x14ac:dyDescent="0.3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 x14ac:dyDescent="0.3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 x14ac:dyDescent="0.3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 x14ac:dyDescent="0.3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 x14ac:dyDescent="0.3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 x14ac:dyDescent="0.3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 x14ac:dyDescent="0.3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 x14ac:dyDescent="0.3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 x14ac:dyDescent="0.3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 x14ac:dyDescent="0.3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 x14ac:dyDescent="0.3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 x14ac:dyDescent="0.3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 x14ac:dyDescent="0.3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 x14ac:dyDescent="0.3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 x14ac:dyDescent="0.3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 x14ac:dyDescent="0.3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 x14ac:dyDescent="0.3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 x14ac:dyDescent="0.3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 x14ac:dyDescent="0.3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 x14ac:dyDescent="0.3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 x14ac:dyDescent="0.3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 x14ac:dyDescent="0.3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1</v>
      </c>
      <c r="E365">
        <f t="shared" si="5"/>
        <v>99999.634999999995</v>
      </c>
    </row>
    <row r="366" spans="1:5" x14ac:dyDescent="0.3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0</v>
      </c>
      <c r="E366">
        <f t="shared" si="5"/>
        <v>-0.36599999999999999</v>
      </c>
    </row>
    <row r="367" spans="1:5" x14ac:dyDescent="0.3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0</v>
      </c>
      <c r="E367">
        <f t="shared" si="5"/>
        <v>-0.36699999999999999</v>
      </c>
    </row>
    <row r="368" spans="1:5" x14ac:dyDescent="0.3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 x14ac:dyDescent="0.3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 x14ac:dyDescent="0.3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0</v>
      </c>
      <c r="E370">
        <f t="shared" si="5"/>
        <v>-0.37</v>
      </c>
    </row>
    <row r="371" spans="1:5" x14ac:dyDescent="0.3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 x14ac:dyDescent="0.3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 x14ac:dyDescent="0.3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 x14ac:dyDescent="0.3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 x14ac:dyDescent="0.3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 x14ac:dyDescent="0.3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 x14ac:dyDescent="0.3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 x14ac:dyDescent="0.3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 x14ac:dyDescent="0.3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 x14ac:dyDescent="0.3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 x14ac:dyDescent="0.3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 x14ac:dyDescent="0.3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 x14ac:dyDescent="0.3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 x14ac:dyDescent="0.3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 x14ac:dyDescent="0.3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 x14ac:dyDescent="0.3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 x14ac:dyDescent="0.3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 x14ac:dyDescent="0.3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 x14ac:dyDescent="0.3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 x14ac:dyDescent="0.3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 x14ac:dyDescent="0.3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 x14ac:dyDescent="0.3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 x14ac:dyDescent="0.3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 x14ac:dyDescent="0.3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 x14ac:dyDescent="0.3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 x14ac:dyDescent="0.3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 x14ac:dyDescent="0.3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 x14ac:dyDescent="0.3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0</v>
      </c>
      <c r="E398">
        <f t="shared" si="6"/>
        <v>-0.39800000000000002</v>
      </c>
    </row>
    <row r="399" spans="1:5" x14ac:dyDescent="0.3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 x14ac:dyDescent="0.3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 x14ac:dyDescent="0.3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2</v>
      </c>
      <c r="E401">
        <f t="shared" si="6"/>
        <v>199999.59899999999</v>
      </c>
    </row>
    <row r="402" spans="1:5" x14ac:dyDescent="0.3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 x14ac:dyDescent="0.3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 x14ac:dyDescent="0.3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 x14ac:dyDescent="0.3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 x14ac:dyDescent="0.3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 x14ac:dyDescent="0.3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 x14ac:dyDescent="0.3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 x14ac:dyDescent="0.3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 x14ac:dyDescent="0.3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 x14ac:dyDescent="0.3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 x14ac:dyDescent="0.3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 x14ac:dyDescent="0.3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 x14ac:dyDescent="0.3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 x14ac:dyDescent="0.3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 x14ac:dyDescent="0.3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 x14ac:dyDescent="0.3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 x14ac:dyDescent="0.3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 x14ac:dyDescent="0.3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 x14ac:dyDescent="0.3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 x14ac:dyDescent="0.3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 x14ac:dyDescent="0.3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 x14ac:dyDescent="0.3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0</v>
      </c>
      <c r="E423">
        <f t="shared" si="6"/>
        <v>-0.42299999999999999</v>
      </c>
    </row>
    <row r="424" spans="1:5" x14ac:dyDescent="0.3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 x14ac:dyDescent="0.3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 x14ac:dyDescent="0.3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 x14ac:dyDescent="0.3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0</v>
      </c>
      <c r="E427">
        <f t="shared" si="6"/>
        <v>-0.42699999999999999</v>
      </c>
    </row>
    <row r="428" spans="1:5" x14ac:dyDescent="0.3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 x14ac:dyDescent="0.3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 x14ac:dyDescent="0.3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0</v>
      </c>
      <c r="E430">
        <f t="shared" si="6"/>
        <v>-0.43</v>
      </c>
    </row>
    <row r="431" spans="1:5" x14ac:dyDescent="0.3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 x14ac:dyDescent="0.3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 x14ac:dyDescent="0.3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 x14ac:dyDescent="0.3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 x14ac:dyDescent="0.3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 x14ac:dyDescent="0.3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 x14ac:dyDescent="0.3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 x14ac:dyDescent="0.3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 x14ac:dyDescent="0.3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 x14ac:dyDescent="0.3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 x14ac:dyDescent="0.3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 x14ac:dyDescent="0.3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 x14ac:dyDescent="0.3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 x14ac:dyDescent="0.3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 x14ac:dyDescent="0.3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 x14ac:dyDescent="0.3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 x14ac:dyDescent="0.3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 x14ac:dyDescent="0.3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 x14ac:dyDescent="0.3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 x14ac:dyDescent="0.3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 x14ac:dyDescent="0.3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 x14ac:dyDescent="0.3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 x14ac:dyDescent="0.3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 x14ac:dyDescent="0.3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 x14ac:dyDescent="0.3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 x14ac:dyDescent="0.3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 x14ac:dyDescent="0.3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 x14ac:dyDescent="0.3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1</v>
      </c>
      <c r="E458">
        <f t="shared" si="7"/>
        <v>99999.542000000001</v>
      </c>
    </row>
    <row r="459" spans="1:5" x14ac:dyDescent="0.3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 x14ac:dyDescent="0.3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 x14ac:dyDescent="0.3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 x14ac:dyDescent="0.3">
      <c r="A462" t="str">
        <f>IF(Players!E462="","",Players!E462)</f>
        <v>MATTEO BOLZANI</v>
      </c>
      <c r="B462" t="str">
        <f>IF(A462="","",Players!C462)</f>
        <v>Piadineria la Salsiccia</v>
      </c>
      <c r="C462" t="str">
        <f>IF(A462="","",Players!G462)</f>
        <v>7 - MATTEO BOLZANI</v>
      </c>
      <c r="D462">
        <f>IF(A462="","",COUNTIFS(Goals!$D$2:$D$289,"Goal",Goals!$E$2:$E$289,"*"&amp;A462&amp;"*",Goals!$F$2:$F$289,B462)+COUNTIFS(KnockoutGoals!$D$2:$D$85,"Goal",KnockoutGoals!$E$2:$E$85,"*"&amp;A462&amp;"*",KnockoutGoals!$F$2:$F$85,B462))</f>
        <v>0</v>
      </c>
      <c r="E462">
        <f t="shared" si="7"/>
        <v>-0.46200000000000002</v>
      </c>
    </row>
    <row r="463" spans="1:5" x14ac:dyDescent="0.3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 x14ac:dyDescent="0.3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 x14ac:dyDescent="0.3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 x14ac:dyDescent="0.3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 x14ac:dyDescent="0.3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 x14ac:dyDescent="0.3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 x14ac:dyDescent="0.3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 x14ac:dyDescent="0.3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 x14ac:dyDescent="0.3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 x14ac:dyDescent="0.3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 x14ac:dyDescent="0.3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 x14ac:dyDescent="0.3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 x14ac:dyDescent="0.3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 x14ac:dyDescent="0.3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 x14ac:dyDescent="0.3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 x14ac:dyDescent="0.3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 x14ac:dyDescent="0.3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 x14ac:dyDescent="0.3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 x14ac:dyDescent="0.3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4.4" x14ac:dyDescent="0.3"/>
  <cols>
    <col min="1" max="4" width="28" customWidth="1"/>
  </cols>
  <sheetData>
    <row r="1" spans="1:26" x14ac:dyDescent="0.3">
      <c r="A1" s="5" t="s">
        <v>296</v>
      </c>
      <c r="B1" s="5" t="s">
        <v>286</v>
      </c>
      <c r="C1" s="5" t="s">
        <v>293</v>
      </c>
      <c r="D1" s="5" t="s">
        <v>294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>MATTEO ZAMBERLAN</v>
      </c>
      <c r="C2" t="str">
        <f>IF($A2="","",INDEX(ScorerData!$B$2:$B$481,MATCH(LARGE(ScorerData!$E$2:$E$481,$A2),ScorerData!$E$2:$E$481,0)))</f>
        <v>Vecchie Glorie Rovigo</v>
      </c>
      <c r="D2">
        <f>IF($A2="","",INDEX(ScorerData!$D$2:$D$481,MATCH(LARGE(ScorerData!$E$2:$E$481,$A2),ScorerData!$E$2:$E$481,0)))</f>
        <v>3</v>
      </c>
    </row>
    <row r="3" spans="1:26" x14ac:dyDescent="0.3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>DAVIDE ZAGHI</v>
      </c>
      <c r="C3" t="str">
        <f>IF($A3="","",INDEX(ScorerData!$B$2:$B$481,MATCH(LARGE(ScorerData!$E$2:$E$481,$A3),ScorerData!$E$2:$E$481,0)))</f>
        <v>Vecchie Glorie Rovigo</v>
      </c>
      <c r="D3">
        <f>IF($A3="","",INDEX(ScorerData!$D$2:$D$481,MATCH(LARGE(ScorerData!$E$2:$E$481,$A3),ScorerData!$E$2:$E$481,0)))</f>
        <v>2</v>
      </c>
    </row>
    <row r="4" spans="1:26" x14ac:dyDescent="0.3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>LUCA CECCONELLO</v>
      </c>
      <c r="C4" t="str">
        <f>IF($A4="","",INDEX(ScorerData!$B$2:$B$481,MATCH(LARGE(ScorerData!$E$2:$E$481,$A4),ScorerData!$E$2:$E$481,0)))</f>
        <v>Boldò Glimt</v>
      </c>
      <c r="D4">
        <f>IF($A4="","",INDEX(ScorerData!$D$2:$D$481,MATCH(LARGE(ScorerData!$E$2:$E$481,$A4),ScorerData!$E$2:$E$481,0)))</f>
        <v>2</v>
      </c>
    </row>
    <row r="5" spans="1:26" x14ac:dyDescent="0.3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>JACOPO VOLTOLINA</v>
      </c>
      <c r="C5" t="str">
        <f>IF($A5="","",INDEX(ScorerData!$B$2:$B$481,MATCH(LARGE(ScorerData!$E$2:$E$481,$A5),ScorerData!$E$2:$E$481,0)))</f>
        <v>Vecchie Glorie Rovigo</v>
      </c>
      <c r="D5">
        <f>IF($A5="","",INDEX(ScorerData!$D$2:$D$481,MATCH(LARGE(ScorerData!$E$2:$E$481,$A5),ScorerData!$E$2:$E$481,0)))</f>
        <v>1</v>
      </c>
    </row>
    <row r="6" spans="1:26" x14ac:dyDescent="0.3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>MATTEO DALL'ARA</v>
      </c>
      <c r="C6" t="str">
        <f>IF($A6="","",INDEX(ScorerData!$B$2:$B$481,MATCH(LARGE(ScorerData!$E$2:$E$481,$A6),ScorerData!$E$2:$E$481,0)))</f>
        <v>Vecchie Glorie Rovigo</v>
      </c>
      <c r="D6">
        <f>IF($A6="","",INDEX(ScorerData!$D$2:$D$481,MATCH(LARGE(ScorerData!$E$2:$E$481,$A6),ScorerData!$E$2:$E$481,0)))</f>
        <v>1</v>
      </c>
    </row>
    <row r="7" spans="1:26" x14ac:dyDescent="0.3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>LEONARDO FUSCO</v>
      </c>
      <c r="C7" t="str">
        <f>IF($A7="","",INDEX(ScorerData!$B$2:$B$481,MATCH(LARGE(ScorerData!$E$2:$E$481,$A7),ScorerData!$E$2:$E$481,0)))</f>
        <v>Vecchie Glorie Rovigo</v>
      </c>
      <c r="D7">
        <f>IF($A7="","",INDEX(ScorerData!$D$2:$D$481,MATCH(LARGE(ScorerData!$E$2:$E$481,$A7),ScorerData!$E$2:$E$481,0)))</f>
        <v>1</v>
      </c>
    </row>
    <row r="8" spans="1:26" x14ac:dyDescent="0.3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>DENIS TIMPANARO</v>
      </c>
      <c r="C8" t="str">
        <f>IF($A8="","",INDEX(ScorerData!$B$2:$B$481,MATCH(LARGE(ScorerData!$E$2:$E$481,$A8),ScorerData!$E$2:$E$481,0)))</f>
        <v>Vecchie Glorie Rovigo</v>
      </c>
      <c r="D8">
        <f>IF($A8="","",INDEX(ScorerData!$D$2:$D$481,MATCH(LARGE(ScorerData!$E$2:$E$481,$A8),ScorerData!$E$2:$E$481,0)))</f>
        <v>1</v>
      </c>
    </row>
    <row r="9" spans="1:26" x14ac:dyDescent="0.3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>DOMENICO IACOVINO</v>
      </c>
      <c r="C9" t="str">
        <f>IF($A9="","",INDEX(ScorerData!$B$2:$B$481,MATCH(LARGE(ScorerData!$E$2:$E$481,$A9),ScorerData!$E$2:$E$481,0)))</f>
        <v>Vecchie Glorie Rovigo</v>
      </c>
      <c r="D9">
        <f>IF($A9="","",INDEX(ScorerData!$D$2:$D$481,MATCH(LARGE(ScorerData!$E$2:$E$481,$A9),ScorerData!$E$2:$E$481,0)))</f>
        <v>1</v>
      </c>
    </row>
    <row r="10" spans="1:26" x14ac:dyDescent="0.3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>NICOLA BRESCIANI</v>
      </c>
      <c r="C10" t="str">
        <f>IF($A10="","",INDEX(ScorerData!$B$2:$B$481,MATCH(LARGE(ScorerData!$E$2:$E$481,$A10),ScorerData!$E$2:$E$481,0)))</f>
        <v>All Blacks</v>
      </c>
      <c r="D10">
        <f>IF($A10="","",INDEX(ScorerData!$D$2:$D$481,MATCH(LARGE(ScorerData!$E$2:$E$481,$A10),ScorerData!$E$2:$E$481,0)))</f>
        <v>1</v>
      </c>
    </row>
    <row r="11" spans="1:26" x14ac:dyDescent="0.3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>MATTIA AYRTON MARIOTTO</v>
      </c>
      <c r="C11" t="str">
        <f>IF($A11="","",INDEX(ScorerData!$B$2:$B$481,MATCH(LARGE(ScorerData!$E$2:$E$481,$A11),ScorerData!$E$2:$E$481,0)))</f>
        <v>Piadineria la Salsiccia</v>
      </c>
      <c r="D11">
        <f>IF($A11="","",INDEX(ScorerData!$D$2:$D$481,MATCH(LARGE(ScorerData!$E$2:$E$481,$A11),ScorerData!$E$2:$E$481,0)))</f>
        <v>1</v>
      </c>
    </row>
    <row r="12" spans="1:26" x14ac:dyDescent="0.3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/>
      </c>
      <c r="C12" t="str">
        <f>IF($A12="","",INDEX(ScorerData!$B$2:$B$481,MATCH(LARGE(ScorerData!$E$2:$E$481,$A12),ScorerData!$E$2:$E$481,0)))</f>
        <v/>
      </c>
      <c r="D12" t="str">
        <f>IF($A12="","",INDEX(ScorerData!$D$2:$D$481,MATCH(LARGE(ScorerData!$E$2:$E$481,$A12),ScorerData!$E$2:$E$481,0)))</f>
        <v/>
      </c>
    </row>
    <row r="13" spans="1:26" x14ac:dyDescent="0.3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/>
      </c>
      <c r="C13" t="str">
        <f>IF($A13="","",INDEX(ScorerData!$B$2:$B$481,MATCH(LARGE(ScorerData!$E$2:$E$481,$A13),ScorerData!$E$2:$E$481,0)))</f>
        <v/>
      </c>
      <c r="D13" t="str">
        <f>IF($A13="","",INDEX(ScorerData!$D$2:$D$481,MATCH(LARGE(ScorerData!$E$2:$E$481,$A13),ScorerData!$E$2:$E$481,0)))</f>
        <v/>
      </c>
    </row>
    <row r="14" spans="1:26" x14ac:dyDescent="0.3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/>
      </c>
      <c r="C14" t="str">
        <f>IF($A14="","",INDEX(ScorerData!$B$2:$B$481,MATCH(LARGE(ScorerData!$E$2:$E$481,$A14),ScorerData!$E$2:$E$481,0)))</f>
        <v/>
      </c>
      <c r="D14" t="str">
        <f>IF($A14="","",INDEX(ScorerData!$D$2:$D$481,MATCH(LARGE(ScorerData!$E$2:$E$481,$A14),ScorerData!$E$2:$E$481,0)))</f>
        <v/>
      </c>
    </row>
    <row r="15" spans="1:26" x14ac:dyDescent="0.3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/>
      </c>
      <c r="C15" t="str">
        <f>IF($A15="","",INDEX(ScorerData!$B$2:$B$481,MATCH(LARGE(ScorerData!$E$2:$E$481,$A15),ScorerData!$E$2:$E$481,0)))</f>
        <v/>
      </c>
      <c r="D15" t="str">
        <f>IF($A15="","",INDEX(ScorerData!$D$2:$D$481,MATCH(LARGE(ScorerData!$E$2:$E$481,$A15),ScorerData!$E$2:$E$481,0)))</f>
        <v/>
      </c>
    </row>
    <row r="16" spans="1:26" x14ac:dyDescent="0.3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/>
      </c>
      <c r="C16" t="str">
        <f>IF($A16="","",INDEX(ScorerData!$B$2:$B$481,MATCH(LARGE(ScorerData!$E$2:$E$481,$A16),ScorerData!$E$2:$E$481,0)))</f>
        <v/>
      </c>
      <c r="D16" t="str">
        <f>IF($A16="","",INDEX(ScorerData!$D$2:$D$481,MATCH(LARGE(ScorerData!$E$2:$E$481,$A16),ScorerData!$E$2:$E$481,0)))</f>
        <v/>
      </c>
    </row>
    <row r="17" spans="1:4" x14ac:dyDescent="0.3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/>
      </c>
      <c r="C17" t="str">
        <f>IF($A17="","",INDEX(ScorerData!$B$2:$B$481,MATCH(LARGE(ScorerData!$E$2:$E$481,$A17),ScorerData!$E$2:$E$481,0)))</f>
        <v/>
      </c>
      <c r="D17" t="str">
        <f>IF($A17="","",INDEX(ScorerData!$D$2:$D$481,MATCH(LARGE(ScorerData!$E$2:$E$481,$A17),ScorerData!$E$2:$E$481,0)))</f>
        <v/>
      </c>
    </row>
    <row r="18" spans="1:4" x14ac:dyDescent="0.3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/>
      </c>
      <c r="C18" t="str">
        <f>IF($A18="","",INDEX(ScorerData!$B$2:$B$481,MATCH(LARGE(ScorerData!$E$2:$E$481,$A18),ScorerData!$E$2:$E$481,0)))</f>
        <v/>
      </c>
      <c r="D18" t="str">
        <f>IF($A18="","",INDEX(ScorerData!$D$2:$D$481,MATCH(LARGE(ScorerData!$E$2:$E$481,$A18),ScorerData!$E$2:$E$481,0)))</f>
        <v/>
      </c>
    </row>
    <row r="19" spans="1:4" x14ac:dyDescent="0.3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/>
      </c>
      <c r="C19" t="str">
        <f>IF($A19="","",INDEX(ScorerData!$B$2:$B$481,MATCH(LARGE(ScorerData!$E$2:$E$481,$A19),ScorerData!$E$2:$E$481,0)))</f>
        <v/>
      </c>
      <c r="D19" t="str">
        <f>IF($A19="","",INDEX(ScorerData!$D$2:$D$481,MATCH(LARGE(ScorerData!$E$2:$E$481,$A19),ScorerData!$E$2:$E$481,0)))</f>
        <v/>
      </c>
    </row>
    <row r="20" spans="1:4" x14ac:dyDescent="0.3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/>
      </c>
      <c r="C20" t="str">
        <f>IF($A20="","",INDEX(ScorerData!$B$2:$B$481,MATCH(LARGE(ScorerData!$E$2:$E$481,$A20),ScorerData!$E$2:$E$481,0)))</f>
        <v/>
      </c>
      <c r="D20" t="str">
        <f>IF($A20="","",INDEX(ScorerData!$D$2:$D$481,MATCH(LARGE(ScorerData!$E$2:$E$481,$A20),ScorerData!$E$2:$E$481,0)))</f>
        <v/>
      </c>
    </row>
    <row r="21" spans="1:4" x14ac:dyDescent="0.3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/>
      </c>
      <c r="C21" t="str">
        <f>IF($A21="","",INDEX(ScorerData!$B$2:$B$481,MATCH(LARGE(ScorerData!$E$2:$E$481,$A21),ScorerData!$E$2:$E$481,0)))</f>
        <v/>
      </c>
      <c r="D21" t="str">
        <f>IF($A21="","",INDEX(ScorerData!$D$2:$D$481,MATCH(LARGE(ScorerData!$E$2:$E$481,$A21),ScorerData!$E$2:$E$481,0)))</f>
        <v/>
      </c>
    </row>
    <row r="22" spans="1:4" x14ac:dyDescent="0.3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/>
      </c>
      <c r="C22" t="str">
        <f>IF($A22="","",INDEX(ScorerData!$B$2:$B$481,MATCH(LARGE(ScorerData!$E$2:$E$481,$A22),ScorerData!$E$2:$E$481,0)))</f>
        <v/>
      </c>
      <c r="D22" t="str">
        <f>IF($A22="","",INDEX(ScorerData!$D$2:$D$481,MATCH(LARGE(ScorerData!$E$2:$E$481,$A22),ScorerData!$E$2:$E$481,0)))</f>
        <v/>
      </c>
    </row>
    <row r="23" spans="1:4" x14ac:dyDescent="0.3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/>
      </c>
      <c r="C23" t="str">
        <f>IF($A23="","",INDEX(ScorerData!$B$2:$B$481,MATCH(LARGE(ScorerData!$E$2:$E$481,$A23),ScorerData!$E$2:$E$481,0)))</f>
        <v/>
      </c>
      <c r="D23" t="str">
        <f>IF($A23="","",INDEX(ScorerData!$D$2:$D$481,MATCH(LARGE(ScorerData!$E$2:$E$481,$A23),ScorerData!$E$2:$E$481,0)))</f>
        <v/>
      </c>
    </row>
    <row r="24" spans="1:4" x14ac:dyDescent="0.3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/>
      </c>
      <c r="C24" t="str">
        <f>IF($A24="","",INDEX(ScorerData!$B$2:$B$481,MATCH(LARGE(ScorerData!$E$2:$E$481,$A24),ScorerData!$E$2:$E$481,0)))</f>
        <v/>
      </c>
      <c r="D24" t="str">
        <f>IF($A24="","",INDEX(ScorerData!$D$2:$D$481,MATCH(LARGE(ScorerData!$E$2:$E$481,$A24),ScorerData!$E$2:$E$481,0)))</f>
        <v/>
      </c>
    </row>
    <row r="25" spans="1:4" x14ac:dyDescent="0.3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/>
      </c>
      <c r="C25" t="str">
        <f>IF($A25="","",INDEX(ScorerData!$B$2:$B$481,MATCH(LARGE(ScorerData!$E$2:$E$481,$A25),ScorerData!$E$2:$E$481,0)))</f>
        <v/>
      </c>
      <c r="D25" t="str">
        <f>IF($A25="","",INDEX(ScorerData!$D$2:$D$481,MATCH(LARGE(ScorerData!$E$2:$E$481,$A25),ScorerData!$E$2:$E$481,0)))</f>
        <v/>
      </c>
    </row>
    <row r="26" spans="1:4" x14ac:dyDescent="0.3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/>
      </c>
      <c r="C26" t="str">
        <f>IF($A26="","",INDEX(ScorerData!$B$2:$B$481,MATCH(LARGE(ScorerData!$E$2:$E$481,$A26),ScorerData!$E$2:$E$481,0)))</f>
        <v/>
      </c>
      <c r="D26" t="str">
        <f>IF($A26="","",INDEX(ScorerData!$D$2:$D$481,MATCH(LARGE(ScorerData!$E$2:$E$481,$A26),ScorerData!$E$2:$E$481,0)))</f>
        <v/>
      </c>
    </row>
    <row r="27" spans="1:4" x14ac:dyDescent="0.3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/>
      </c>
      <c r="C27" t="str">
        <f>IF($A27="","",INDEX(ScorerData!$B$2:$B$481,MATCH(LARGE(ScorerData!$E$2:$E$481,$A27),ScorerData!$E$2:$E$481,0)))</f>
        <v/>
      </c>
      <c r="D27" t="str">
        <f>IF($A27="","",INDEX(ScorerData!$D$2:$D$481,MATCH(LARGE(ScorerData!$E$2:$E$481,$A27),ScorerData!$E$2:$E$481,0)))</f>
        <v/>
      </c>
    </row>
    <row r="28" spans="1:4" x14ac:dyDescent="0.3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/>
      </c>
      <c r="C28" t="str">
        <f>IF($A28="","",INDEX(ScorerData!$B$2:$B$481,MATCH(LARGE(ScorerData!$E$2:$E$481,$A28),ScorerData!$E$2:$E$481,0)))</f>
        <v/>
      </c>
      <c r="D28" t="str">
        <f>IF($A28="","",INDEX(ScorerData!$D$2:$D$481,MATCH(LARGE(ScorerData!$E$2:$E$481,$A28),ScorerData!$E$2:$E$481,0)))</f>
        <v/>
      </c>
    </row>
    <row r="29" spans="1:4" x14ac:dyDescent="0.3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/>
      </c>
      <c r="C29" t="str">
        <f>IF($A29="","",INDEX(ScorerData!$B$2:$B$481,MATCH(LARGE(ScorerData!$E$2:$E$481,$A29),ScorerData!$E$2:$E$481,0)))</f>
        <v/>
      </c>
      <c r="D29" t="str">
        <f>IF($A29="","",INDEX(ScorerData!$D$2:$D$481,MATCH(LARGE(ScorerData!$E$2:$E$481,$A29),ScorerData!$E$2:$E$481,0)))</f>
        <v/>
      </c>
    </row>
    <row r="30" spans="1:4" x14ac:dyDescent="0.3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/>
      </c>
      <c r="C30" t="str">
        <f>IF($A30="","",INDEX(ScorerData!$B$2:$B$481,MATCH(LARGE(ScorerData!$E$2:$E$481,$A30),ScorerData!$E$2:$E$481,0)))</f>
        <v/>
      </c>
      <c r="D30" t="str">
        <f>IF($A30="","",INDEX(ScorerData!$D$2:$D$481,MATCH(LARGE(ScorerData!$E$2:$E$481,$A30),ScorerData!$E$2:$E$481,0)))</f>
        <v/>
      </c>
    </row>
    <row r="31" spans="1:4" x14ac:dyDescent="0.3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/>
      </c>
      <c r="C31" t="str">
        <f>IF($A31="","",INDEX(ScorerData!$B$2:$B$481,MATCH(LARGE(ScorerData!$E$2:$E$481,$A31),ScorerData!$E$2:$E$481,0)))</f>
        <v/>
      </c>
      <c r="D31" t="str">
        <f>IF($A31="","",INDEX(ScorerData!$D$2:$D$481,MATCH(LARGE(ScorerData!$E$2:$E$481,$A31),ScorerData!$E$2:$E$481,0)))</f>
        <v/>
      </c>
    </row>
    <row r="32" spans="1:4" x14ac:dyDescent="0.3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/>
      </c>
      <c r="C32" t="str">
        <f>IF($A32="","",INDEX(ScorerData!$B$2:$B$481,MATCH(LARGE(ScorerData!$E$2:$E$481,$A32),ScorerData!$E$2:$E$481,0)))</f>
        <v/>
      </c>
      <c r="D32" t="str">
        <f>IF($A32="","",INDEX(ScorerData!$D$2:$D$481,MATCH(LARGE(ScorerData!$E$2:$E$481,$A32),ScorerData!$E$2:$E$481,0)))</f>
        <v/>
      </c>
    </row>
    <row r="33" spans="1:4" x14ac:dyDescent="0.3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/>
      </c>
      <c r="C33" t="str">
        <f>IF($A33="","",INDEX(ScorerData!$B$2:$B$481,MATCH(LARGE(ScorerData!$E$2:$E$481,$A33),ScorerData!$E$2:$E$481,0)))</f>
        <v/>
      </c>
      <c r="D33" t="str">
        <f>IF($A33="","",INDEX(ScorerData!$D$2:$D$481,MATCH(LARGE(ScorerData!$E$2:$E$481,$A33),ScorerData!$E$2:$E$481,0)))</f>
        <v/>
      </c>
    </row>
    <row r="34" spans="1:4" x14ac:dyDescent="0.3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/>
      </c>
      <c r="C34" t="str">
        <f>IF($A34="","",INDEX(ScorerData!$B$2:$B$481,MATCH(LARGE(ScorerData!$E$2:$E$481,$A34),ScorerData!$E$2:$E$481,0)))</f>
        <v/>
      </c>
      <c r="D34" t="str">
        <f>IF($A34="","",INDEX(ScorerData!$D$2:$D$481,MATCH(LARGE(ScorerData!$E$2:$E$481,$A34),ScorerData!$E$2:$E$481,0)))</f>
        <v/>
      </c>
    </row>
    <row r="35" spans="1:4" x14ac:dyDescent="0.3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/>
      </c>
      <c r="C35" t="str">
        <f>IF($A35="","",INDEX(ScorerData!$B$2:$B$481,MATCH(LARGE(ScorerData!$E$2:$E$481,$A35),ScorerData!$E$2:$E$481,0)))</f>
        <v/>
      </c>
      <c r="D35" t="str">
        <f>IF($A35="","",INDEX(ScorerData!$D$2:$D$481,MATCH(LARGE(ScorerData!$E$2:$E$481,$A35),ScorerData!$E$2:$E$481,0)))</f>
        <v/>
      </c>
    </row>
    <row r="36" spans="1:4" x14ac:dyDescent="0.3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/>
      </c>
      <c r="C36" t="str">
        <f>IF($A36="","",INDEX(ScorerData!$B$2:$B$481,MATCH(LARGE(ScorerData!$E$2:$E$481,$A36),ScorerData!$E$2:$E$481,0)))</f>
        <v/>
      </c>
      <c r="D36" t="str">
        <f>IF($A36="","",INDEX(ScorerData!$D$2:$D$481,MATCH(LARGE(ScorerData!$E$2:$E$481,$A36),ScorerData!$E$2:$E$481,0)))</f>
        <v/>
      </c>
    </row>
    <row r="37" spans="1:4" x14ac:dyDescent="0.3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/>
      </c>
      <c r="C37" t="str">
        <f>IF($A37="","",INDEX(ScorerData!$B$2:$B$481,MATCH(LARGE(ScorerData!$E$2:$E$481,$A37),ScorerData!$E$2:$E$481,0)))</f>
        <v/>
      </c>
      <c r="D37" t="str">
        <f>IF($A37="","",INDEX(ScorerData!$D$2:$D$481,MATCH(LARGE(ScorerData!$E$2:$E$481,$A37),ScorerData!$E$2:$E$481,0)))</f>
        <v/>
      </c>
    </row>
    <row r="38" spans="1:4" x14ac:dyDescent="0.3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/>
      </c>
      <c r="C38" t="str">
        <f>IF($A38="","",INDEX(ScorerData!$B$2:$B$481,MATCH(LARGE(ScorerData!$E$2:$E$481,$A38),ScorerData!$E$2:$E$481,0)))</f>
        <v/>
      </c>
      <c r="D38" t="str">
        <f>IF($A38="","",INDEX(ScorerData!$D$2:$D$481,MATCH(LARGE(ScorerData!$E$2:$E$481,$A38),ScorerData!$E$2:$E$481,0)))</f>
        <v/>
      </c>
    </row>
    <row r="39" spans="1:4" x14ac:dyDescent="0.3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/>
      </c>
      <c r="C39" t="str">
        <f>IF($A39="","",INDEX(ScorerData!$B$2:$B$481,MATCH(LARGE(ScorerData!$E$2:$E$481,$A39),ScorerData!$E$2:$E$481,0)))</f>
        <v/>
      </c>
      <c r="D39" t="str">
        <f>IF($A39="","",INDEX(ScorerData!$D$2:$D$481,MATCH(LARGE(ScorerData!$E$2:$E$481,$A39),ScorerData!$E$2:$E$481,0)))</f>
        <v/>
      </c>
    </row>
    <row r="40" spans="1:4" x14ac:dyDescent="0.3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/>
      </c>
      <c r="C40" t="str">
        <f>IF($A40="","",INDEX(ScorerData!$B$2:$B$481,MATCH(LARGE(ScorerData!$E$2:$E$481,$A40),ScorerData!$E$2:$E$481,0)))</f>
        <v/>
      </c>
      <c r="D40" t="str">
        <f>IF($A40="","",INDEX(ScorerData!$D$2:$D$481,MATCH(LARGE(ScorerData!$E$2:$E$481,$A40),ScorerData!$E$2:$E$481,0)))</f>
        <v/>
      </c>
    </row>
    <row r="41" spans="1:4" x14ac:dyDescent="0.3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/>
      </c>
      <c r="C41" t="str">
        <f>IF($A41="","",INDEX(ScorerData!$B$2:$B$481,MATCH(LARGE(ScorerData!$E$2:$E$481,$A41),ScorerData!$E$2:$E$481,0)))</f>
        <v/>
      </c>
      <c r="D41" t="str">
        <f>IF($A41="","",INDEX(ScorerData!$D$2:$D$481,MATCH(LARGE(ScorerData!$E$2:$E$481,$A41),ScorerData!$E$2:$E$481,0)))</f>
        <v/>
      </c>
    </row>
    <row r="42" spans="1:4" x14ac:dyDescent="0.3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/>
      </c>
      <c r="C42" t="str">
        <f>IF($A42="","",INDEX(ScorerData!$B$2:$B$481,MATCH(LARGE(ScorerData!$E$2:$E$481,$A42),ScorerData!$E$2:$E$481,0)))</f>
        <v/>
      </c>
      <c r="D42" t="str">
        <f>IF($A42="","",INDEX(ScorerData!$D$2:$D$481,MATCH(LARGE(ScorerData!$E$2:$E$481,$A42),ScorerData!$E$2:$E$481,0)))</f>
        <v/>
      </c>
    </row>
    <row r="43" spans="1:4" x14ac:dyDescent="0.3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/>
      </c>
      <c r="C43" t="str">
        <f>IF($A43="","",INDEX(ScorerData!$B$2:$B$481,MATCH(LARGE(ScorerData!$E$2:$E$481,$A43),ScorerData!$E$2:$E$481,0)))</f>
        <v/>
      </c>
      <c r="D43" t="str">
        <f>IF($A43="","",INDEX(ScorerData!$D$2:$D$481,MATCH(LARGE(ScorerData!$E$2:$E$481,$A43),ScorerData!$E$2:$E$481,0)))</f>
        <v/>
      </c>
    </row>
    <row r="44" spans="1:4" x14ac:dyDescent="0.3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/>
      </c>
      <c r="C44" t="str">
        <f>IF($A44="","",INDEX(ScorerData!$B$2:$B$481,MATCH(LARGE(ScorerData!$E$2:$E$481,$A44),ScorerData!$E$2:$E$481,0)))</f>
        <v/>
      </c>
      <c r="D44" t="str">
        <f>IF($A44="","",INDEX(ScorerData!$D$2:$D$481,MATCH(LARGE(ScorerData!$E$2:$E$481,$A44),ScorerData!$E$2:$E$481,0)))</f>
        <v/>
      </c>
    </row>
    <row r="45" spans="1:4" x14ac:dyDescent="0.3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/>
      </c>
      <c r="C45" t="str">
        <f>IF($A45="","",INDEX(ScorerData!$B$2:$B$481,MATCH(LARGE(ScorerData!$E$2:$E$481,$A45),ScorerData!$E$2:$E$481,0)))</f>
        <v/>
      </c>
      <c r="D45" t="str">
        <f>IF($A45="","",INDEX(ScorerData!$D$2:$D$481,MATCH(LARGE(ScorerData!$E$2:$E$481,$A45),ScorerData!$E$2:$E$481,0)))</f>
        <v/>
      </c>
    </row>
    <row r="46" spans="1:4" x14ac:dyDescent="0.3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/>
      </c>
      <c r="C46" t="str">
        <f>IF($A46="","",INDEX(ScorerData!$B$2:$B$481,MATCH(LARGE(ScorerData!$E$2:$E$481,$A46),ScorerData!$E$2:$E$481,0)))</f>
        <v/>
      </c>
      <c r="D46" t="str">
        <f>IF($A46="","",INDEX(ScorerData!$D$2:$D$481,MATCH(LARGE(ScorerData!$E$2:$E$481,$A46),ScorerData!$E$2:$E$481,0)))</f>
        <v/>
      </c>
    </row>
    <row r="47" spans="1:4" x14ac:dyDescent="0.3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/>
      </c>
      <c r="C47" t="str">
        <f>IF($A47="","",INDEX(ScorerData!$B$2:$B$481,MATCH(LARGE(ScorerData!$E$2:$E$481,$A47),ScorerData!$E$2:$E$481,0)))</f>
        <v/>
      </c>
      <c r="D47" t="str">
        <f>IF($A47="","",INDEX(ScorerData!$D$2:$D$481,MATCH(LARGE(ScorerData!$E$2:$E$481,$A47),ScorerData!$E$2:$E$481,0)))</f>
        <v/>
      </c>
    </row>
    <row r="48" spans="1:4" x14ac:dyDescent="0.3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/>
      </c>
      <c r="C48" t="str">
        <f>IF($A48="","",INDEX(ScorerData!$B$2:$B$481,MATCH(LARGE(ScorerData!$E$2:$E$481,$A48),ScorerData!$E$2:$E$481,0)))</f>
        <v/>
      </c>
      <c r="D48" t="str">
        <f>IF($A48="","",INDEX(ScorerData!$D$2:$D$481,MATCH(LARGE(ScorerData!$E$2:$E$481,$A48),ScorerData!$E$2:$E$481,0)))</f>
        <v/>
      </c>
    </row>
    <row r="49" spans="1:4" x14ac:dyDescent="0.3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/>
      </c>
      <c r="C49" t="str">
        <f>IF($A49="","",INDEX(ScorerData!$B$2:$B$481,MATCH(LARGE(ScorerData!$E$2:$E$481,$A49),ScorerData!$E$2:$E$481,0)))</f>
        <v/>
      </c>
      <c r="D49" t="str">
        <f>IF($A49="","",INDEX(ScorerData!$D$2:$D$481,MATCH(LARGE(ScorerData!$E$2:$E$481,$A49),ScorerData!$E$2:$E$481,0)))</f>
        <v/>
      </c>
    </row>
    <row r="50" spans="1:4" x14ac:dyDescent="0.3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/>
      </c>
      <c r="C50" t="str">
        <f>IF($A50="","",INDEX(ScorerData!$B$2:$B$481,MATCH(LARGE(ScorerData!$E$2:$E$481,$A50),ScorerData!$E$2:$E$481,0)))</f>
        <v/>
      </c>
      <c r="D50" t="str">
        <f>IF($A50="","",INDEX(ScorerData!$D$2:$D$481,MATCH(LARGE(ScorerData!$E$2:$E$481,$A50),ScorerData!$E$2:$E$481,0)))</f>
        <v/>
      </c>
    </row>
    <row r="51" spans="1:4" x14ac:dyDescent="0.3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/>
      </c>
      <c r="C51" t="str">
        <f>IF($A51="","",INDEX(ScorerData!$B$2:$B$481,MATCH(LARGE(ScorerData!$E$2:$E$481,$A51),ScorerData!$E$2:$E$481,0)))</f>
        <v/>
      </c>
      <c r="D51" t="str">
        <f>IF($A51="","",INDEX(ScorerData!$D$2:$D$481,MATCH(LARGE(ScorerData!$E$2:$E$481,$A51),ScorerData!$E$2:$E$481,0)))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4.4" x14ac:dyDescent="0.3"/>
  <cols>
    <col min="1" max="1" width="14" customWidth="1"/>
    <col min="2" max="2" width="28" customWidth="1"/>
    <col min="3" max="13" width="14" customWidth="1"/>
  </cols>
  <sheetData>
    <row r="1" spans="1:26" x14ac:dyDescent="0.3">
      <c r="A1" s="5" t="s">
        <v>1</v>
      </c>
      <c r="B1" s="5" t="s">
        <v>293</v>
      </c>
      <c r="C1" s="5" t="s">
        <v>297</v>
      </c>
      <c r="D1" s="5" t="s">
        <v>298</v>
      </c>
      <c r="E1" s="5" t="s">
        <v>299</v>
      </c>
      <c r="F1" s="5" t="s">
        <v>300</v>
      </c>
      <c r="G1" s="5" t="s">
        <v>301</v>
      </c>
      <c r="H1" s="5" t="s">
        <v>302</v>
      </c>
      <c r="I1" s="5" t="s">
        <v>303</v>
      </c>
      <c r="J1" s="5" t="s">
        <v>304</v>
      </c>
      <c r="K1" s="5" t="s">
        <v>305</v>
      </c>
      <c r="L1" s="5" t="s">
        <v>306</v>
      </c>
      <c r="M1" s="5" t="s">
        <v>295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 t="s">
        <v>6</v>
      </c>
      <c r="C2">
        <f>COUNTIFS(Matches!$G$2:$G$25,$B2,Matches!$L$2:$L$25,"Complete")+COUNTIFS(Matches!$H$2:$H$25,$B2,Matches!$L$2:$L$25,"Complete")</f>
        <v>0</v>
      </c>
      <c r="D2">
        <f>COUNTIFS(Matches!$G$2:$G$25,$B2,Matches!$L$2:$L$25,"Complete",Matches!$M$2:$M$25,3)+COUNTIFS(Matches!$H$2:$H$25,$B2,Matches!$L$2:$L$25,"Complete",Matches!$N$2:$N$25,3)</f>
        <v>0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0</v>
      </c>
      <c r="I2">
        <f>SUMIFS(Matches!$J$2:$J$25,Matches!$G$2:$G$25,$B2,Matches!$L$2:$L$25,"Complete")+SUMIFS(Matches!$I$2:$I$25,Matches!$H$2:$H$25,$B2,Matches!$L$2:$L$25,"Complete")</f>
        <v>0</v>
      </c>
      <c r="J2">
        <f t="shared" ref="J2:J17" si="0">H2-I2</f>
        <v>0</v>
      </c>
      <c r="K2">
        <f>SUMIFS(Matches!$M$2:$M$25,Matches!$G$2:$G$25,$B2,Matches!$L$2:$L$25,"Complete")+SUMIFS(Matches!$N$2:$N$25,Matches!$H$2:$H$25,$B2,Matches!$L$2:$L$25,"Complete")</f>
        <v>0</v>
      </c>
      <c r="L2" s="2">
        <v>0</v>
      </c>
      <c r="M2">
        <f t="shared" ref="M2:M17" si="1">K2*1000000+L2*10000+J2*100+H2-ROW()/1000</f>
        <v>-2E-3</v>
      </c>
    </row>
    <row r="3" spans="1:26" x14ac:dyDescent="0.3">
      <c r="A3" t="s">
        <v>5</v>
      </c>
      <c r="B3" t="s">
        <v>8</v>
      </c>
      <c r="C3">
        <f>COUNTIFS(Matches!$G$2:$G$25,$B3,Matches!$L$2:$L$25,"Complete")+COUNTIFS(Matches!$H$2:$H$25,$B3,Matches!$L$2:$L$25,"Complete")</f>
        <v>0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0</v>
      </c>
      <c r="H3">
        <f>SUMIFS(Matches!$I$2:$I$25,Matches!$G$2:$G$25,$B3,Matches!$L$2:$L$25,"Complete")+SUMIFS(Matches!$J$2:$J$25,Matches!$H$2:$H$25,$B3,Matches!$L$2:$L$25,"Complete")</f>
        <v>0</v>
      </c>
      <c r="I3">
        <f>SUMIFS(Matches!$J$2:$J$25,Matches!$G$2:$G$25,$B3,Matches!$L$2:$L$25,"Complete")+SUMIFS(Matches!$I$2:$I$25,Matches!$H$2:$H$25,$B3,Matches!$L$2:$L$25,"Complete")</f>
        <v>0</v>
      </c>
      <c r="J3">
        <f t="shared" si="0"/>
        <v>0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-3.0000000000000001E-3</v>
      </c>
    </row>
    <row r="4" spans="1:26" x14ac:dyDescent="0.3">
      <c r="A4" t="s">
        <v>5</v>
      </c>
      <c r="B4" t="s">
        <v>10</v>
      </c>
      <c r="C4">
        <f>COUNTIFS(Matches!$G$2:$G$25,$B4,Matches!$L$2:$L$25,"Complete")+COUNTIFS(Matches!$H$2:$H$25,$B4,Matches!$L$2:$L$25,"Complete")</f>
        <v>0</v>
      </c>
      <c r="D4">
        <f>COUNTIFS(Matches!$G$2:$G$25,$B4,Matches!$L$2:$L$25,"Complete",Matches!$M$2:$M$25,3)+COUNTIFS(Matches!$H$2:$H$25,$B4,Matches!$L$2:$L$25,"Complete",Matches!$N$2:$N$25,3)</f>
        <v>0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0</v>
      </c>
      <c r="I4">
        <f>SUMIFS(Matches!$J$2:$J$25,Matches!$G$2:$G$25,$B4,Matches!$L$2:$L$25,"Complete")+SUMIFS(Matches!$I$2:$I$25,Matches!$H$2:$H$25,$B4,Matches!$L$2:$L$25,"Complete")</f>
        <v>0</v>
      </c>
      <c r="J4">
        <f t="shared" si="0"/>
        <v>0</v>
      </c>
      <c r="K4">
        <f>SUMIFS(Matches!$M$2:$M$25,Matches!$G$2:$G$25,$B4,Matches!$L$2:$L$25,"Complete")+SUMIFS(Matches!$N$2:$N$25,Matches!$H$2:$H$25,$B4,Matches!$L$2:$L$25,"Complete")</f>
        <v>0</v>
      </c>
      <c r="L4" s="2">
        <f>0</f>
        <v>0</v>
      </c>
      <c r="M4">
        <f t="shared" si="1"/>
        <v>-4.0000000000000001E-3</v>
      </c>
    </row>
    <row r="5" spans="1:26" x14ac:dyDescent="0.3">
      <c r="A5" t="s">
        <v>5</v>
      </c>
      <c r="B5" t="s">
        <v>12</v>
      </c>
      <c r="C5">
        <f>COUNTIFS(Matches!$G$2:$G$25,$B5,Matches!$L$2:$L$25,"Complete")+COUNTIFS(Matches!$H$2:$H$25,$B5,Matches!$L$2:$L$25,"Complete")</f>
        <v>0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0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0</v>
      </c>
      <c r="J5">
        <f t="shared" si="0"/>
        <v>0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-5.0000000000000001E-3</v>
      </c>
    </row>
    <row r="6" spans="1:26" x14ac:dyDescent="0.3">
      <c r="A6" t="s">
        <v>14</v>
      </c>
      <c r="B6" t="s">
        <v>15</v>
      </c>
      <c r="C6">
        <f>COUNTIFS(Matches!$G$2:$G$25,$B6,Matches!$L$2:$L$25,"Complete")+COUNTIFS(Matches!$H$2:$H$25,$B6,Matches!$L$2:$L$25,"Complete")</f>
        <v>1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1</v>
      </c>
      <c r="H6">
        <f>SUMIFS(Matches!$I$2:$I$25,Matches!$G$2:$G$25,$B6,Matches!$L$2:$L$25,"Complete")+SUMIFS(Matches!$J$2:$J$25,Matches!$H$2:$H$25,$B6,Matches!$L$2:$L$25,"Complete")</f>
        <v>0</v>
      </c>
      <c r="I6">
        <f>SUMIFS(Matches!$J$2:$J$25,Matches!$G$2:$G$25,$B6,Matches!$L$2:$L$25,"Complete")+SUMIFS(Matches!$I$2:$I$25,Matches!$H$2:$H$25,$B6,Matches!$L$2:$L$25,"Complete")</f>
        <v>10</v>
      </c>
      <c r="J6">
        <f t="shared" si="0"/>
        <v>-10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-1000.006</v>
      </c>
    </row>
    <row r="7" spans="1:26" x14ac:dyDescent="0.3">
      <c r="A7" t="s">
        <v>14</v>
      </c>
      <c r="B7" t="s">
        <v>17</v>
      </c>
      <c r="C7">
        <f>COUNTIFS(Matches!$G$2:$G$25,$B7,Matches!$L$2:$L$25,"Complete")+COUNTIFS(Matches!$H$2:$H$25,$B7,Matches!$L$2:$L$25,"Complete")</f>
        <v>1</v>
      </c>
      <c r="D7">
        <f>COUNTIFS(Matches!$G$2:$G$25,$B7,Matches!$L$2:$L$25,"Complete",Matches!$M$2:$M$25,3)+COUNTIFS(Matches!$H$2:$H$25,$B7,Matches!$L$2:$L$25,"Complete",Matches!$N$2:$N$25,3)</f>
        <v>1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10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10</v>
      </c>
      <c r="K7">
        <f>SUMIFS(Matches!$M$2:$M$25,Matches!$G$2:$G$25,$B7,Matches!$L$2:$L$25,"Complete")+SUMIFS(Matches!$N$2:$N$25,Matches!$H$2:$H$25,$B7,Matches!$L$2:$L$25,"Complete")</f>
        <v>3</v>
      </c>
      <c r="L7" s="2">
        <f>0</f>
        <v>0</v>
      </c>
      <c r="M7">
        <f t="shared" si="1"/>
        <v>3001009.9929999998</v>
      </c>
    </row>
    <row r="8" spans="1:26" x14ac:dyDescent="0.3">
      <c r="A8" t="s">
        <v>14</v>
      </c>
      <c r="B8" t="s">
        <v>19</v>
      </c>
      <c r="C8">
        <f>COUNTIFS(Matches!$G$2:$G$25,$B8,Matches!$L$2:$L$25,"Complete")+COUNTIFS(Matches!$H$2:$H$25,$B8,Matches!$L$2:$L$25,"Complete")</f>
        <v>0</v>
      </c>
      <c r="D8">
        <f>COUNTIFS(Matches!$G$2:$G$25,$B8,Matches!$L$2:$L$25,"Complete",Matches!$M$2:$M$25,3)+COUNTIFS(Matches!$H$2:$H$25,$B8,Matches!$L$2:$L$25,"Complete",Matches!$N$2:$N$25,3)</f>
        <v>0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0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0</v>
      </c>
      <c r="K8">
        <f>SUMIFS(Matches!$M$2:$M$25,Matches!$G$2:$G$25,$B8,Matches!$L$2:$L$25,"Complete")+SUMIFS(Matches!$N$2:$N$25,Matches!$H$2:$H$25,$B8,Matches!$L$2:$L$25,"Complete")</f>
        <v>0</v>
      </c>
      <c r="L8" s="2">
        <f>0</f>
        <v>0</v>
      </c>
      <c r="M8">
        <f t="shared" si="1"/>
        <v>-8.0000000000000002E-3</v>
      </c>
    </row>
    <row r="9" spans="1:26" x14ac:dyDescent="0.3">
      <c r="A9" t="s">
        <v>14</v>
      </c>
      <c r="B9" t="s">
        <v>21</v>
      </c>
      <c r="C9">
        <f>COUNTIFS(Matches!$G$2:$G$25,$B9,Matches!$L$2:$L$25,"Complete")+COUNTIFS(Matches!$H$2:$H$25,$B9,Matches!$L$2:$L$25,"Complete")</f>
        <v>0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0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0</v>
      </c>
      <c r="J9">
        <f t="shared" si="0"/>
        <v>0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-8.9999999999999993E-3</v>
      </c>
    </row>
    <row r="10" spans="1:26" x14ac:dyDescent="0.3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0</v>
      </c>
      <c r="D10">
        <f>COUNTIFS(Matches!$G$2:$G$25,$B10,Matches!$L$2:$L$25,"Complete",Matches!$M$2:$M$25,3)+COUNTIFS(Matches!$H$2:$H$25,$B10,Matches!$L$2:$L$25,"Complete",Matches!$N$2:$N$25,3)</f>
        <v>0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0</v>
      </c>
      <c r="I10">
        <f>SUMIFS(Matches!$J$2:$J$25,Matches!$G$2:$G$25,$B10,Matches!$L$2:$L$25,"Complete")+SUMIFS(Matches!$I$2:$I$25,Matches!$H$2:$H$25,$B10,Matches!$L$2:$L$25,"Complete")</f>
        <v>0</v>
      </c>
      <c r="J10">
        <f t="shared" si="0"/>
        <v>0</v>
      </c>
      <c r="K10">
        <f>SUMIFS(Matches!$M$2:$M$25,Matches!$G$2:$G$25,$B10,Matches!$L$2:$L$25,"Complete")+SUMIFS(Matches!$N$2:$N$25,Matches!$H$2:$H$25,$B10,Matches!$L$2:$L$25,"Complete")</f>
        <v>0</v>
      </c>
      <c r="L10" s="2">
        <f>0</f>
        <v>0</v>
      </c>
      <c r="M10">
        <f t="shared" si="1"/>
        <v>-0.01</v>
      </c>
    </row>
    <row r="11" spans="1:26" x14ac:dyDescent="0.3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0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0</v>
      </c>
      <c r="H11">
        <f>SUMIFS(Matches!$I$2:$I$25,Matches!$G$2:$G$25,$B11,Matches!$L$2:$L$25,"Complete")+SUMIFS(Matches!$J$2:$J$25,Matches!$H$2:$H$25,$B11,Matches!$L$2:$L$25,"Complete")</f>
        <v>0</v>
      </c>
      <c r="I11">
        <f>SUMIFS(Matches!$J$2:$J$25,Matches!$G$2:$G$25,$B11,Matches!$L$2:$L$25,"Complete")+SUMIFS(Matches!$I$2:$I$25,Matches!$H$2:$H$25,$B11,Matches!$L$2:$L$25,"Complete")</f>
        <v>0</v>
      </c>
      <c r="J11">
        <f t="shared" si="0"/>
        <v>0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-1.0999999999999999E-2</v>
      </c>
    </row>
    <row r="12" spans="1:26" x14ac:dyDescent="0.3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0</v>
      </c>
      <c r="D12">
        <f>COUNTIFS(Matches!$G$2:$G$25,$B12,Matches!$L$2:$L$25,"Complete",Matches!$M$2:$M$25,3)+COUNTIFS(Matches!$H$2:$H$25,$B12,Matches!$L$2:$L$25,"Complete",Matches!$N$2:$N$25,3)</f>
        <v>0</v>
      </c>
      <c r="E12">
        <f>COUNTIFS(Matches!$G$2:$G$25,$B12,Matches!$L$2:$L$25,"Complete",Matches!$M$2:$M$25,2)+COUNTIFS(Matches!$H$2:$H$25,$B12,Matches!$L$2:$L$25,"Complete",Matches!$N$2:$N$25,2)</f>
        <v>0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0</v>
      </c>
      <c r="I12">
        <f>SUMIFS(Matches!$J$2:$J$25,Matches!$G$2:$G$25,$B12,Matches!$L$2:$L$25,"Complete")+SUMIFS(Matches!$I$2:$I$25,Matches!$H$2:$H$25,$B12,Matches!$L$2:$L$25,"Complete")</f>
        <v>0</v>
      </c>
      <c r="J12">
        <f t="shared" si="0"/>
        <v>0</v>
      </c>
      <c r="K12">
        <f>SUMIFS(Matches!$M$2:$M$25,Matches!$G$2:$G$25,$B12,Matches!$L$2:$L$25,"Complete")+SUMIFS(Matches!$N$2:$N$25,Matches!$H$2:$H$25,$B12,Matches!$L$2:$L$25,"Complete")</f>
        <v>0</v>
      </c>
      <c r="L12" s="2">
        <f>0</f>
        <v>0</v>
      </c>
      <c r="M12">
        <f t="shared" si="1"/>
        <v>-1.2E-2</v>
      </c>
    </row>
    <row r="13" spans="1:26" x14ac:dyDescent="0.3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0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0</v>
      </c>
      <c r="H13">
        <f>SUMIFS(Matches!$I$2:$I$25,Matches!$G$2:$G$25,$B13,Matches!$L$2:$L$25,"Complete")+SUMIFS(Matches!$J$2:$J$25,Matches!$H$2:$H$25,$B13,Matches!$L$2:$L$25,"Complete")</f>
        <v>0</v>
      </c>
      <c r="I13">
        <f>SUMIFS(Matches!$J$2:$J$25,Matches!$G$2:$G$25,$B13,Matches!$L$2:$L$25,"Complete")+SUMIFS(Matches!$I$2:$I$25,Matches!$H$2:$H$25,$B13,Matches!$L$2:$L$25,"Complete")</f>
        <v>0</v>
      </c>
      <c r="J13">
        <f t="shared" si="0"/>
        <v>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-1.2999999999999999E-2</v>
      </c>
    </row>
    <row r="14" spans="1:26" x14ac:dyDescent="0.3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1</v>
      </c>
      <c r="D14">
        <f>COUNTIFS(Matches!$G$2:$G$25,$B14,Matches!$L$2:$L$25,"Complete",Matches!$M$2:$M$25,3)+COUNTIFS(Matches!$H$2:$H$25,$B14,Matches!$L$2:$L$25,"Complete",Matches!$N$2:$N$25,3)</f>
        <v>0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1</v>
      </c>
      <c r="H14">
        <f>SUMIFS(Matches!$I$2:$I$25,Matches!$G$2:$G$25,$B14,Matches!$L$2:$L$25,"Complete")+SUMIFS(Matches!$J$2:$J$25,Matches!$H$2:$H$25,$B14,Matches!$L$2:$L$25,"Complete")</f>
        <v>1</v>
      </c>
      <c r="I14">
        <f>SUMIFS(Matches!$J$2:$J$25,Matches!$G$2:$G$25,$B14,Matches!$L$2:$L$25,"Complete")+SUMIFS(Matches!$I$2:$I$25,Matches!$H$2:$H$25,$B14,Matches!$L$2:$L$25,"Complete")</f>
        <v>2</v>
      </c>
      <c r="J14">
        <f t="shared" si="0"/>
        <v>-1</v>
      </c>
      <c r="K14">
        <f>SUMIFS(Matches!$M$2:$M$25,Matches!$G$2:$G$25,$B14,Matches!$L$2:$L$25,"Complete")+SUMIFS(Matches!$N$2:$N$25,Matches!$H$2:$H$25,$B14,Matches!$L$2:$L$25,"Complete")</f>
        <v>0</v>
      </c>
      <c r="L14" s="2">
        <f>0</f>
        <v>0</v>
      </c>
      <c r="M14">
        <f t="shared" si="1"/>
        <v>-99.013999999999996</v>
      </c>
    </row>
    <row r="15" spans="1:26" x14ac:dyDescent="0.3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1</v>
      </c>
      <c r="D15">
        <f>COUNTIFS(Matches!$G$2:$G$25,$B15,Matches!$L$2:$L$25,"Complete",Matches!$M$2:$M$25,3)+COUNTIFS(Matches!$H$2:$H$25,$B15,Matches!$L$2:$L$25,"Complete",Matches!$N$2:$N$25,3)</f>
        <v>1</v>
      </c>
      <c r="E15">
        <f>COUNTIFS(Matches!$G$2:$G$25,$B15,Matches!$L$2:$L$25,"Complete",Matches!$M$2:$M$25,2)+COUNTIFS(Matches!$H$2:$H$25,$B15,Matches!$L$2:$L$25,"Complete",Matches!$N$2:$N$25,2)</f>
        <v>0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2</v>
      </c>
      <c r="I15">
        <f>SUMIFS(Matches!$J$2:$J$25,Matches!$G$2:$G$25,$B15,Matches!$L$2:$L$25,"Complete")+SUMIFS(Matches!$I$2:$I$25,Matches!$H$2:$H$25,$B15,Matches!$L$2:$L$25,"Complete")</f>
        <v>1</v>
      </c>
      <c r="J15">
        <f t="shared" si="0"/>
        <v>1</v>
      </c>
      <c r="K15">
        <f>SUMIFS(Matches!$M$2:$M$25,Matches!$G$2:$G$25,$B15,Matches!$L$2:$L$25,"Complete")+SUMIFS(Matches!$N$2:$N$25,Matches!$H$2:$H$25,$B15,Matches!$L$2:$L$25,"Complete")</f>
        <v>3</v>
      </c>
      <c r="L15" s="2">
        <f>0</f>
        <v>0</v>
      </c>
      <c r="M15">
        <f t="shared" si="1"/>
        <v>3000101.9849999999</v>
      </c>
    </row>
    <row r="16" spans="1:26" x14ac:dyDescent="0.3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1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1</v>
      </c>
      <c r="H16">
        <f>SUMIFS(Matches!$I$2:$I$25,Matches!$G$2:$G$25,$B16,Matches!$L$2:$L$25,"Complete")+SUMIFS(Matches!$J$2:$J$25,Matches!$H$2:$H$25,$B16,Matches!$L$2:$L$25,"Complete")</f>
        <v>0</v>
      </c>
      <c r="I16">
        <f>SUMIFS(Matches!$J$2:$J$25,Matches!$G$2:$G$25,$B16,Matches!$L$2:$L$25,"Complete")+SUMIFS(Matches!$I$2:$I$25,Matches!$H$2:$H$25,$B16,Matches!$L$2:$L$25,"Complete")</f>
        <v>1</v>
      </c>
      <c r="J16">
        <f t="shared" si="0"/>
        <v>-1</v>
      </c>
      <c r="K16">
        <f>SUMIFS(Matches!$M$2:$M$25,Matches!$G$2:$G$25,$B16,Matches!$L$2:$L$25,"Complete")+SUMIFS(Matches!$N$2:$N$25,Matches!$H$2:$H$25,$B16,Matches!$L$2:$L$25,"Complete")</f>
        <v>0</v>
      </c>
      <c r="L16" s="2">
        <f>0</f>
        <v>0</v>
      </c>
      <c r="M16">
        <f t="shared" si="1"/>
        <v>-100.01600000000001</v>
      </c>
    </row>
    <row r="17" spans="1:13" x14ac:dyDescent="0.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1</v>
      </c>
      <c r="D17">
        <f>COUNTIFS(Matches!$G$2:$G$25,$B17,Matches!$L$2:$L$25,"Complete",Matches!$M$2:$M$25,3)+COUNTIFS(Matches!$H$2:$H$25,$B17,Matches!$L$2:$L$25,"Complete",Matches!$N$2:$N$25,3)</f>
        <v>1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1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1</v>
      </c>
      <c r="K17">
        <f>SUMIFS(Matches!$M$2:$M$25,Matches!$G$2:$G$25,$B17,Matches!$L$2:$L$25,"Complete")+SUMIFS(Matches!$N$2:$N$25,Matches!$H$2:$H$25,$B17,Matches!$L$2:$L$25,"Complete")</f>
        <v>3</v>
      </c>
      <c r="L17" s="2">
        <f>0</f>
        <v>0</v>
      </c>
      <c r="M17">
        <f t="shared" si="1"/>
        <v>3000100.983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4.4" x14ac:dyDescent="0.3"/>
  <cols>
    <col min="1" max="2" width="12" customWidth="1"/>
    <col min="3" max="3" width="30" customWidth="1"/>
    <col min="4" max="12" width="12" customWidth="1"/>
  </cols>
  <sheetData>
    <row r="1" spans="1:26" x14ac:dyDescent="0.3">
      <c r="A1" s="5" t="s">
        <v>1</v>
      </c>
      <c r="B1" s="5" t="s">
        <v>296</v>
      </c>
      <c r="C1" s="5" t="s">
        <v>293</v>
      </c>
      <c r="D1" s="5" t="s">
        <v>307</v>
      </c>
      <c r="E1" s="5" t="s">
        <v>308</v>
      </c>
      <c r="F1" s="5" t="s">
        <v>309</v>
      </c>
      <c r="G1" s="5" t="s">
        <v>310</v>
      </c>
      <c r="H1" s="5" t="s">
        <v>311</v>
      </c>
      <c r="I1" s="5" t="s">
        <v>312</v>
      </c>
      <c r="J1" s="5" t="s">
        <v>302</v>
      </c>
      <c r="K1" s="5" t="s">
        <v>303</v>
      </c>
      <c r="L1" s="5" t="s">
        <v>304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>
        <v>1</v>
      </c>
      <c r="C2" t="str">
        <f>INDEX(StandingsData!$B$2:$B$5,MATCH(LARGE(StandingsData!$M$2:$M$5,1),StandingsData!$M$2:$M$5,0))</f>
        <v>Fatine FC</v>
      </c>
      <c r="D2">
        <f>INDEX(StandingsData!$K$2:$K$5,MATCH(LARGE(StandingsData!$M$2:$M$5,1),StandingsData!$M$2:$M$5,0))</f>
        <v>0</v>
      </c>
      <c r="E2">
        <f>INDEX(StandingsData!$C$2:$C$5,MATCH(LARGE(StandingsData!$M$2:$M$5,1),StandingsData!$M$2:$M$5,0))</f>
        <v>0</v>
      </c>
      <c r="F2">
        <f>INDEX(StandingsData!$D$2:$D$5,MATCH(LARGE(StandingsData!$M$2:$M$5,1),StandingsData!$M$2:$M$5,0))</f>
        <v>0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0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0</v>
      </c>
    </row>
    <row r="3" spans="1:26" x14ac:dyDescent="0.3">
      <c r="A3" t="s">
        <v>5</v>
      </c>
      <c r="B3">
        <v>2</v>
      </c>
      <c r="C3" t="str">
        <f>INDEX(StandingsData!$B$2:$B$5,MATCH(LARGE(StandingsData!$M$2:$M$5,2),StandingsData!$M$2:$M$5,0))</f>
        <v>FC Internazionale Rovigo</v>
      </c>
      <c r="D3">
        <f>INDEX(StandingsData!$K$2:$K$5,MATCH(LARGE(StandingsData!$M$2:$M$5,2),StandingsData!$M$2:$M$5,0))</f>
        <v>0</v>
      </c>
      <c r="E3">
        <f>INDEX(StandingsData!$C$2:$C$5,MATCH(LARGE(StandingsData!$M$2:$M$5,2),StandingsData!$M$2:$M$5,0))</f>
        <v>0</v>
      </c>
      <c r="F3">
        <f>INDEX(StandingsData!$D$2:$D$5,MATCH(LARGE(StandingsData!$M$2:$M$5,2),StandingsData!$M$2:$M$5,0))</f>
        <v>0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0</v>
      </c>
      <c r="K3">
        <f>INDEX(StandingsData!$I$2:$I$5,MATCH(LARGE(StandingsData!$M$2:$M$5,2),StandingsData!$M$2:$M$5,0))</f>
        <v>0</v>
      </c>
      <c r="L3">
        <f>INDEX(StandingsData!$J$2:$J$5,MATCH(LARGE(StandingsData!$M$2:$M$5,2),StandingsData!$M$2:$M$5,0))</f>
        <v>0</v>
      </c>
    </row>
    <row r="4" spans="1:26" x14ac:dyDescent="0.3">
      <c r="A4" t="s">
        <v>5</v>
      </c>
      <c r="B4">
        <v>3</v>
      </c>
      <c r="C4" t="str">
        <f>INDEX(StandingsData!$B$2:$B$5,MATCH(LARGE(StandingsData!$M$2:$M$5,3),StandingsData!$M$2:$M$5,0))</f>
        <v>Moviola Utd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0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0</v>
      </c>
      <c r="J4">
        <f>INDEX(StandingsData!$H$2:$H$5,MATCH(LARGE(StandingsData!$M$2:$M$5,3),StandingsData!$M$2:$M$5,0))</f>
        <v>0</v>
      </c>
      <c r="K4">
        <f>INDEX(StandingsData!$I$2:$I$5,MATCH(LARGE(StandingsData!$M$2:$M$5,3),StandingsData!$M$2:$M$5,0))</f>
        <v>0</v>
      </c>
      <c r="L4">
        <f>INDEX(StandingsData!$J$2:$J$5,MATCH(LARGE(StandingsData!$M$2:$M$5,3),StandingsData!$M$2:$M$5,0))</f>
        <v>0</v>
      </c>
    </row>
    <row r="5" spans="1:26" x14ac:dyDescent="0.3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0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0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0</v>
      </c>
      <c r="L5">
        <f>INDEX(StandingsData!$J$2:$J$5,MATCH(LARGE(StandingsData!$M$2:$M$5,4),StandingsData!$M$2:$M$5,0))</f>
        <v>0</v>
      </c>
    </row>
    <row r="6" spans="1:26" x14ac:dyDescent="0.3">
      <c r="A6" t="s">
        <v>14</v>
      </c>
      <c r="B6">
        <v>1</v>
      </c>
      <c r="C6" t="str">
        <f>INDEX(StandingsData!$B$6:$B$9,MATCH(LARGE(StandingsData!$M$6:$M$9,1),StandingsData!$M$6:$M$9,0))</f>
        <v>Vecchie Glorie Rovigo</v>
      </c>
      <c r="D6">
        <f>INDEX(StandingsData!$K$6:$K$9,MATCH(LARGE(StandingsData!$M$6:$M$9,1),StandingsData!$M$6:$M$9,0))</f>
        <v>3</v>
      </c>
      <c r="E6">
        <f>INDEX(StandingsData!$C$6:$C$9,MATCH(LARGE(StandingsData!$M$6:$M$9,1),StandingsData!$M$6:$M$9,0))</f>
        <v>1</v>
      </c>
      <c r="F6">
        <f>INDEX(StandingsData!$D$6:$D$9,MATCH(LARGE(StandingsData!$M$6:$M$9,1),StandingsData!$M$6:$M$9,0))</f>
        <v>1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10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10</v>
      </c>
    </row>
    <row r="7" spans="1:26" x14ac:dyDescent="0.3">
      <c r="A7" t="s">
        <v>14</v>
      </c>
      <c r="B7">
        <v>2</v>
      </c>
      <c r="C7" t="str">
        <f>INDEX(StandingsData!$B$6:$B$9,MATCH(LARGE(StandingsData!$M$6:$M$9,2),StandingsData!$M$6:$M$9,0))</f>
        <v>AS Bancatore</v>
      </c>
      <c r="D7">
        <f>INDEX(StandingsData!$K$6:$K$9,MATCH(LARGE(StandingsData!$M$6:$M$9,2),StandingsData!$M$6:$M$9,0))</f>
        <v>0</v>
      </c>
      <c r="E7">
        <f>INDEX(StandingsData!$C$6:$C$9,MATCH(LARGE(StandingsData!$M$6:$M$9,2),StandingsData!$M$6:$M$9,0))</f>
        <v>0</v>
      </c>
      <c r="F7">
        <f>INDEX(StandingsData!$D$6:$D$9,MATCH(LARGE(StandingsData!$M$6:$M$9,2),StandingsData!$M$6:$M$9,0))</f>
        <v>0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0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0</v>
      </c>
    </row>
    <row r="8" spans="1:26" x14ac:dyDescent="0.3">
      <c r="A8" t="s">
        <v>14</v>
      </c>
      <c r="B8">
        <v>3</v>
      </c>
      <c r="C8" t="str">
        <f>INDEX(StandingsData!$B$6:$B$9,MATCH(LARGE(StandingsData!$M$6:$M$9,3),StandingsData!$M$6:$M$9,0))</f>
        <v>Beverton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0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0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0</v>
      </c>
      <c r="L8">
        <f>INDEX(StandingsData!$J$6:$J$9,MATCH(LARGE(StandingsData!$M$6:$M$9,3),StandingsData!$M$6:$M$9,0))</f>
        <v>0</v>
      </c>
    </row>
    <row r="9" spans="1:26" x14ac:dyDescent="0.3">
      <c r="A9" t="s">
        <v>14</v>
      </c>
      <c r="B9">
        <v>4</v>
      </c>
      <c r="C9" t="str">
        <f>INDEX(StandingsData!$B$6:$B$9,MATCH(LARGE(StandingsData!$M$6:$M$9,4),StandingsData!$M$6:$M$9,0))</f>
        <v>Totani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1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1</v>
      </c>
      <c r="J9">
        <f>INDEX(StandingsData!$H$6:$H$9,MATCH(LARGE(StandingsData!$M$6:$M$9,4),StandingsData!$M$6:$M$9,0))</f>
        <v>0</v>
      </c>
      <c r="K9">
        <f>INDEX(StandingsData!$I$6:$I$9,MATCH(LARGE(StandingsData!$M$6:$M$9,4),StandingsData!$M$6:$M$9,0))</f>
        <v>10</v>
      </c>
      <c r="L9">
        <f>INDEX(StandingsData!$J$6:$J$9,MATCH(LARGE(StandingsData!$M$6:$M$9,4),StandingsData!$M$6:$M$9,0))</f>
        <v>-10</v>
      </c>
    </row>
    <row r="10" spans="1:26" x14ac:dyDescent="0.3">
      <c r="A10" t="s">
        <v>23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0</v>
      </c>
      <c r="E10">
        <f>INDEX(StandingsData!$C$10:$C$13,MATCH(LARGE(StandingsData!$M$10:$M$13,1),StandingsData!$M$10:$M$13,0))</f>
        <v>0</v>
      </c>
      <c r="F10">
        <f>INDEX(StandingsData!$D$10:$D$13,MATCH(LARGE(StandingsData!$M$10:$M$13,1),StandingsData!$M$10:$M$13,0))</f>
        <v>0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0</v>
      </c>
      <c r="K10">
        <f>INDEX(StandingsData!$I$10:$I$13,MATCH(LARGE(StandingsData!$M$10:$M$13,1),StandingsData!$M$10:$M$13,0))</f>
        <v>0</v>
      </c>
      <c r="L10">
        <f>INDEX(StandingsData!$J$10:$J$13,MATCH(LARGE(StandingsData!$M$10:$M$13,1),StandingsData!$M$10:$M$13,0))</f>
        <v>0</v>
      </c>
    </row>
    <row r="11" spans="1:26" x14ac:dyDescent="0.3">
      <c r="A11" t="s">
        <v>23</v>
      </c>
      <c r="B11">
        <v>2</v>
      </c>
      <c r="C11" t="str">
        <f>INDEX(StandingsData!$B$10:$B$13,MATCH(LARGE(StandingsData!$M$10:$M$13,2),StandingsData!$M$10:$M$13,0))</f>
        <v>Pink 5ive</v>
      </c>
      <c r="D11">
        <f>INDEX(StandingsData!$K$10:$K$13,MATCH(LARGE(StandingsData!$M$10:$M$13,2),StandingsData!$M$10:$M$13,0))</f>
        <v>0</v>
      </c>
      <c r="E11">
        <f>INDEX(StandingsData!$C$10:$C$13,MATCH(LARGE(StandingsData!$M$10:$M$13,2),StandingsData!$M$10:$M$13,0))</f>
        <v>0</v>
      </c>
      <c r="F11">
        <f>INDEX(StandingsData!$D$10:$D$13,MATCH(LARGE(StandingsData!$M$10:$M$13,2),StandingsData!$M$10:$M$13,0))</f>
        <v>0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0</v>
      </c>
      <c r="K11">
        <f>INDEX(StandingsData!$I$10:$I$13,MATCH(LARGE(StandingsData!$M$10:$M$13,2),StandingsData!$M$10:$M$13,0))</f>
        <v>0</v>
      </c>
      <c r="L11">
        <f>INDEX(StandingsData!$J$10:$J$13,MATCH(LARGE(StandingsData!$M$10:$M$13,2),StandingsData!$M$10:$M$13,0))</f>
        <v>0</v>
      </c>
    </row>
    <row r="12" spans="1:26" x14ac:dyDescent="0.3">
      <c r="A12" t="s">
        <v>23</v>
      </c>
      <c r="B12">
        <v>3</v>
      </c>
      <c r="C12" t="str">
        <f>INDEX(StandingsData!$B$10:$B$13,MATCH(LARGE(StandingsData!$M$10:$M$13,3),StandingsData!$M$10:$M$13,0))</f>
        <v>Barrio Boys</v>
      </c>
      <c r="D12">
        <f>INDEX(StandingsData!$K$10:$K$13,MATCH(LARGE(StandingsData!$M$10:$M$13,3),StandingsData!$M$10:$M$13,0))</f>
        <v>0</v>
      </c>
      <c r="E12">
        <f>INDEX(StandingsData!$C$10:$C$13,MATCH(LARGE(StandingsData!$M$10:$M$13,3),StandingsData!$M$10:$M$13,0))</f>
        <v>0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0</v>
      </c>
      <c r="J12">
        <f>INDEX(StandingsData!$H$10:$H$13,MATCH(LARGE(StandingsData!$M$10:$M$13,3),StandingsData!$M$10:$M$13,0))</f>
        <v>0</v>
      </c>
      <c r="K12">
        <f>INDEX(StandingsData!$I$10:$I$13,MATCH(LARGE(StandingsData!$M$10:$M$13,3),StandingsData!$M$10:$M$13,0))</f>
        <v>0</v>
      </c>
      <c r="L12">
        <f>INDEX(StandingsData!$J$10:$J$13,MATCH(LARGE(StandingsData!$M$10:$M$13,3),StandingsData!$M$10:$M$13,0))</f>
        <v>0</v>
      </c>
    </row>
    <row r="13" spans="1:26" x14ac:dyDescent="0.3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0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0</v>
      </c>
      <c r="J13">
        <f>INDEX(StandingsData!$H$10:$H$13,MATCH(LARGE(StandingsData!$M$10:$M$13,4),StandingsData!$M$10:$M$13,0))</f>
        <v>0</v>
      </c>
      <c r="K13">
        <f>INDEX(StandingsData!$I$10:$I$13,MATCH(LARGE(StandingsData!$M$10:$M$13,4),StandingsData!$M$10:$M$13,0))</f>
        <v>0</v>
      </c>
      <c r="L13">
        <f>INDEX(StandingsData!$J$10:$J$13,MATCH(LARGE(StandingsData!$M$10:$M$13,4),StandingsData!$M$10:$M$13,0))</f>
        <v>0</v>
      </c>
    </row>
    <row r="14" spans="1:26" x14ac:dyDescent="0.3">
      <c r="A14" t="s">
        <v>32</v>
      </c>
      <c r="B14">
        <v>1</v>
      </c>
      <c r="C14" t="str">
        <f>INDEX(StandingsData!$B$14:$B$17,MATCH(LARGE(StandingsData!$M$14:$M$17,1),StandingsData!$M$14:$M$17,0))</f>
        <v>Boldò Glimt</v>
      </c>
      <c r="D14">
        <f>INDEX(StandingsData!$K$14:$K$17,MATCH(LARGE(StandingsData!$M$14:$M$17,1),StandingsData!$M$14:$M$17,0))</f>
        <v>3</v>
      </c>
      <c r="E14">
        <f>INDEX(StandingsData!$C$14:$C$17,MATCH(LARGE(StandingsData!$M$14:$M$17,1),StandingsData!$M$14:$M$17,0))</f>
        <v>1</v>
      </c>
      <c r="F14">
        <f>INDEX(StandingsData!$D$14:$D$17,MATCH(LARGE(StandingsData!$M$14:$M$17,1),StandingsData!$M$14:$M$17,0))</f>
        <v>1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2</v>
      </c>
      <c r="K14">
        <f>INDEX(StandingsData!$I$14:$I$17,MATCH(LARGE(StandingsData!$M$14:$M$17,1),StandingsData!$M$14:$M$17,0))</f>
        <v>1</v>
      </c>
      <c r="L14">
        <f>INDEX(StandingsData!$J$14:$J$17,MATCH(LARGE(StandingsData!$M$14:$M$17,1),StandingsData!$M$14:$M$17,0))</f>
        <v>1</v>
      </c>
    </row>
    <row r="15" spans="1:26" x14ac:dyDescent="0.3">
      <c r="A15" t="s">
        <v>32</v>
      </c>
      <c r="B15">
        <v>2</v>
      </c>
      <c r="C15" t="str">
        <f>INDEX(StandingsData!$B$14:$B$17,MATCH(LARGE(StandingsData!$M$14:$M$17,2),StandingsData!$M$14:$M$17,0))</f>
        <v>Piadineria la Salsiccia</v>
      </c>
      <c r="D15">
        <f>INDEX(StandingsData!$K$14:$K$17,MATCH(LARGE(StandingsData!$M$14:$M$17,2),StandingsData!$M$14:$M$17,0))</f>
        <v>3</v>
      </c>
      <c r="E15">
        <f>INDEX(StandingsData!$C$14:$C$17,MATCH(LARGE(StandingsData!$M$14:$M$17,2),StandingsData!$M$14:$M$17,0))</f>
        <v>1</v>
      </c>
      <c r="F15">
        <f>INDEX(StandingsData!$D$14:$D$17,MATCH(LARGE(StandingsData!$M$14:$M$17,2),StandingsData!$M$14:$M$17,0))</f>
        <v>1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1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1</v>
      </c>
    </row>
    <row r="16" spans="1:26" x14ac:dyDescent="0.3">
      <c r="A16" t="s">
        <v>32</v>
      </c>
      <c r="B16">
        <v>3</v>
      </c>
      <c r="C16" t="str">
        <f>INDEX(StandingsData!$B$14:$B$17,MATCH(LARGE(StandingsData!$M$14:$M$17,3),StandingsData!$M$14:$M$17,0))</f>
        <v>All Blacks</v>
      </c>
      <c r="D16">
        <f>INDEX(StandingsData!$K$14:$K$17,MATCH(LARGE(StandingsData!$M$14:$M$17,3),StandingsData!$M$14:$M$17,0))</f>
        <v>0</v>
      </c>
      <c r="E16">
        <f>INDEX(StandingsData!$C$14:$C$17,MATCH(LARGE(StandingsData!$M$14:$M$17,3),StandingsData!$M$14:$M$17,0))</f>
        <v>1</v>
      </c>
      <c r="F16">
        <f>INDEX(StandingsData!$D$14:$D$17,MATCH(LARGE(StandingsData!$M$14:$M$17,3),StandingsData!$M$14:$M$17,0))</f>
        <v>0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1</v>
      </c>
      <c r="J16">
        <f>INDEX(StandingsData!$H$14:$H$17,MATCH(LARGE(StandingsData!$M$14:$M$17,3),StandingsData!$M$14:$M$17,0))</f>
        <v>1</v>
      </c>
      <c r="K16">
        <f>INDEX(StandingsData!$I$14:$I$17,MATCH(LARGE(StandingsData!$M$14:$M$17,3),StandingsData!$M$14:$M$17,0))</f>
        <v>2</v>
      </c>
      <c r="L16">
        <f>INDEX(StandingsData!$J$14:$J$17,MATCH(LARGE(StandingsData!$M$14:$M$17,3),StandingsData!$M$14:$M$17,0))</f>
        <v>-1</v>
      </c>
    </row>
    <row r="17" spans="1:12" x14ac:dyDescent="0.3">
      <c r="A17" t="s">
        <v>32</v>
      </c>
      <c r="B17">
        <v>4</v>
      </c>
      <c r="C17" t="str">
        <f>INDEX(StandingsData!$B$14:$B$17,MATCH(LARGE(StandingsData!$M$14:$M$17,4),StandingsData!$M$14:$M$17,0))</f>
        <v>Coca Juniors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1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1</v>
      </c>
      <c r="J17">
        <f>INDEX(StandingsData!$H$14:$H$17,MATCH(LARGE(StandingsData!$M$14:$M$17,4),StandingsData!$M$14:$M$17,0))</f>
        <v>0</v>
      </c>
      <c r="K17">
        <f>INDEX(StandingsData!$I$14:$I$17,MATCH(LARGE(StandingsData!$M$14:$M$17,4),StandingsData!$M$14:$M$17,0))</f>
        <v>1</v>
      </c>
      <c r="L17">
        <f>INDEX(StandingsData!$J$14:$J$17,MATCH(LARGE(StandingsData!$M$14:$M$17,4),StandingsData!$M$14:$M$17,0))</f>
        <v>-1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B1" workbookViewId="0">
      <selection activeCell="K9" sqref="K9"/>
    </sheetView>
  </sheetViews>
  <sheetFormatPr defaultRowHeight="14.4" x14ac:dyDescent="0.3"/>
  <cols>
    <col min="1" max="6" width="18" customWidth="1"/>
    <col min="7" max="8" width="28" customWidth="1"/>
    <col min="9" max="13" width="18" customWidth="1"/>
  </cols>
  <sheetData>
    <row r="1" spans="1:26" x14ac:dyDescent="0.3">
      <c r="A1" s="5" t="s">
        <v>243</v>
      </c>
      <c r="B1" s="5" t="s">
        <v>244</v>
      </c>
      <c r="C1" s="5" t="s">
        <v>1</v>
      </c>
      <c r="D1" s="5" t="s">
        <v>245</v>
      </c>
      <c r="E1" s="5" t="s">
        <v>246</v>
      </c>
      <c r="F1" s="5" t="s">
        <v>247</v>
      </c>
      <c r="G1" s="5" t="s">
        <v>248</v>
      </c>
      <c r="H1" s="5" t="s">
        <v>249</v>
      </c>
      <c r="I1" s="5" t="s">
        <v>250</v>
      </c>
      <c r="J1" s="5" t="s">
        <v>251</v>
      </c>
      <c r="K1" s="5" t="s">
        <v>56</v>
      </c>
      <c r="L1" s="5" t="s">
        <v>255</v>
      </c>
      <c r="M1" s="5" t="s">
        <v>256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313</v>
      </c>
      <c r="B2" t="s">
        <v>314</v>
      </c>
      <c r="E2" t="s">
        <v>258</v>
      </c>
      <c r="F2" s="12">
        <v>0.74027777777777781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 x14ac:dyDescent="0.3">
      <c r="A3" t="s">
        <v>315</v>
      </c>
      <c r="B3" t="s">
        <v>314</v>
      </c>
      <c r="E3" t="s">
        <v>260</v>
      </c>
      <c r="F3" s="12" t="s">
        <v>316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 x14ac:dyDescent="0.3">
      <c r="A4" t="s">
        <v>317</v>
      </c>
      <c r="B4" t="s">
        <v>314</v>
      </c>
      <c r="E4" t="s">
        <v>258</v>
      </c>
      <c r="F4" s="12" t="s">
        <v>318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 x14ac:dyDescent="0.3">
      <c r="A5" t="s">
        <v>319</v>
      </c>
      <c r="B5" t="s">
        <v>314</v>
      </c>
      <c r="E5" t="s">
        <v>260</v>
      </c>
      <c r="F5" s="12" t="s">
        <v>318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 x14ac:dyDescent="0.3">
      <c r="A6" t="s">
        <v>320</v>
      </c>
      <c r="B6" t="s">
        <v>321</v>
      </c>
      <c r="E6" t="s">
        <v>258</v>
      </c>
      <c r="F6" s="12" t="s">
        <v>322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 x14ac:dyDescent="0.3">
      <c r="A7" t="s">
        <v>323</v>
      </c>
      <c r="B7" t="s">
        <v>321</v>
      </c>
      <c r="E7" t="s">
        <v>260</v>
      </c>
      <c r="F7" s="12" t="s">
        <v>322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 x14ac:dyDescent="0.3">
      <c r="A8" t="s">
        <v>324</v>
      </c>
      <c r="B8" t="s">
        <v>325</v>
      </c>
      <c r="F8" s="12">
        <v>0.4548611111111111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75" activePane="bottomLeft" state="frozen"/>
      <selection pane="bottomLeft" activeCell="F84" sqref="F84"/>
    </sheetView>
  </sheetViews>
  <sheetFormatPr defaultRowHeight="14.4" x14ac:dyDescent="0.3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 x14ac:dyDescent="0.3">
      <c r="A1" s="5" t="s">
        <v>243</v>
      </c>
      <c r="B1" s="5" t="s">
        <v>284</v>
      </c>
      <c r="C1" s="5" t="s">
        <v>285</v>
      </c>
      <c r="D1" s="5" t="s">
        <v>58</v>
      </c>
      <c r="E1" s="5" t="s">
        <v>286</v>
      </c>
      <c r="F1" s="5" t="s">
        <v>287</v>
      </c>
      <c r="G1" s="5" t="s">
        <v>252</v>
      </c>
      <c r="H1" s="5" t="s">
        <v>288</v>
      </c>
      <c r="I1" s="5" t="s">
        <v>289</v>
      </c>
      <c r="J1" s="5" t="s">
        <v>290</v>
      </c>
      <c r="K1" s="5" t="s">
        <v>291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326</v>
      </c>
    </row>
    <row r="3" spans="1:26" x14ac:dyDescent="0.3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BDD91-BEDC-4021-839F-34CAAE8DEC38}">
  <sheetPr>
    <tabColor rgb="FFFFFF00"/>
  </sheetPr>
  <dimension ref="A1:C101"/>
  <sheetViews>
    <sheetView workbookViewId="0">
      <selection activeCell="A2" sqref="A2:C6"/>
    </sheetView>
  </sheetViews>
  <sheetFormatPr defaultRowHeight="14.4" x14ac:dyDescent="0.3"/>
  <cols>
    <col min="1" max="1" width="24.77734375" customWidth="1"/>
    <col min="2" max="2" width="28.77734375" customWidth="1"/>
    <col min="3" max="3" width="12.77734375" customWidth="1"/>
  </cols>
  <sheetData>
    <row r="1" spans="1:3" ht="25.05" customHeight="1" x14ac:dyDescent="0.3">
      <c r="A1" s="17" t="s">
        <v>388</v>
      </c>
      <c r="B1" s="17" t="s">
        <v>389</v>
      </c>
      <c r="C1" s="17" t="s">
        <v>390</v>
      </c>
    </row>
    <row r="2" spans="1:3" x14ac:dyDescent="0.3">
      <c r="A2" s="18"/>
      <c r="B2" s="18"/>
      <c r="C2" s="19"/>
    </row>
    <row r="3" spans="1:3" x14ac:dyDescent="0.3">
      <c r="A3" s="18"/>
      <c r="B3" s="18"/>
      <c r="C3" s="19"/>
    </row>
    <row r="4" spans="1:3" x14ac:dyDescent="0.3">
      <c r="A4" s="18"/>
      <c r="B4" s="18"/>
      <c r="C4" s="19"/>
    </row>
    <row r="5" spans="1:3" x14ac:dyDescent="0.3">
      <c r="A5" s="18"/>
      <c r="B5" s="18"/>
      <c r="C5" s="19"/>
    </row>
    <row r="6" spans="1:3" x14ac:dyDescent="0.3">
      <c r="A6" s="18"/>
      <c r="B6" s="18"/>
      <c r="C6" s="19"/>
    </row>
    <row r="7" spans="1:3" x14ac:dyDescent="0.3">
      <c r="A7" s="18"/>
      <c r="B7" s="18"/>
      <c r="C7" s="19"/>
    </row>
    <row r="8" spans="1:3" x14ac:dyDescent="0.3">
      <c r="A8" s="18"/>
      <c r="B8" s="18"/>
      <c r="C8" s="19"/>
    </row>
    <row r="9" spans="1:3" x14ac:dyDescent="0.3">
      <c r="A9" s="18"/>
      <c r="B9" s="18"/>
      <c r="C9" s="19"/>
    </row>
    <row r="10" spans="1:3" x14ac:dyDescent="0.3">
      <c r="A10" s="18"/>
      <c r="B10" s="18"/>
      <c r="C10" s="19"/>
    </row>
    <row r="11" spans="1:3" x14ac:dyDescent="0.3">
      <c r="A11" s="18"/>
      <c r="B11" s="18"/>
      <c r="C11" s="19"/>
    </row>
    <row r="12" spans="1:3" x14ac:dyDescent="0.3">
      <c r="A12" s="18"/>
      <c r="B12" s="18"/>
      <c r="C12" s="19"/>
    </row>
    <row r="13" spans="1:3" x14ac:dyDescent="0.3">
      <c r="A13" s="18"/>
      <c r="B13" s="18"/>
      <c r="C13" s="19"/>
    </row>
    <row r="14" spans="1:3" x14ac:dyDescent="0.3">
      <c r="A14" s="18"/>
      <c r="B14" s="18"/>
      <c r="C14" s="19"/>
    </row>
    <row r="15" spans="1:3" x14ac:dyDescent="0.3">
      <c r="A15" s="18"/>
      <c r="B15" s="18"/>
      <c r="C15" s="19"/>
    </row>
    <row r="16" spans="1:3" x14ac:dyDescent="0.3">
      <c r="A16" s="18"/>
      <c r="B16" s="18"/>
      <c r="C16" s="19"/>
    </row>
    <row r="17" spans="1:3" x14ac:dyDescent="0.3">
      <c r="A17" s="18"/>
      <c r="B17" s="18"/>
      <c r="C17" s="19"/>
    </row>
    <row r="18" spans="1:3" x14ac:dyDescent="0.3">
      <c r="A18" s="18"/>
      <c r="B18" s="18"/>
      <c r="C18" s="19"/>
    </row>
    <row r="19" spans="1:3" x14ac:dyDescent="0.3">
      <c r="A19" s="18"/>
      <c r="B19" s="18"/>
      <c r="C19" s="19"/>
    </row>
    <row r="20" spans="1:3" x14ac:dyDescent="0.3">
      <c r="A20" s="18"/>
      <c r="B20" s="18"/>
      <c r="C20" s="19"/>
    </row>
    <row r="21" spans="1:3" x14ac:dyDescent="0.3">
      <c r="A21" s="18"/>
      <c r="B21" s="18"/>
      <c r="C21" s="19"/>
    </row>
    <row r="22" spans="1:3" x14ac:dyDescent="0.3">
      <c r="A22" s="18"/>
      <c r="B22" s="18"/>
      <c r="C22" s="19"/>
    </row>
    <row r="23" spans="1:3" x14ac:dyDescent="0.3">
      <c r="A23" s="18"/>
      <c r="B23" s="18"/>
      <c r="C23" s="19"/>
    </row>
    <row r="24" spans="1:3" x14ac:dyDescent="0.3">
      <c r="A24" s="18"/>
      <c r="B24" s="18"/>
      <c r="C24" s="19"/>
    </row>
    <row r="25" spans="1:3" x14ac:dyDescent="0.3">
      <c r="A25" s="18"/>
      <c r="B25" s="18"/>
      <c r="C25" s="19"/>
    </row>
    <row r="26" spans="1:3" x14ac:dyDescent="0.3">
      <c r="A26" s="18"/>
      <c r="B26" s="18"/>
      <c r="C26" s="19"/>
    </row>
    <row r="27" spans="1:3" x14ac:dyDescent="0.3">
      <c r="A27" s="18"/>
      <c r="B27" s="18"/>
      <c r="C27" s="19"/>
    </row>
    <row r="28" spans="1:3" x14ac:dyDescent="0.3">
      <c r="A28" s="18"/>
      <c r="B28" s="18"/>
      <c r="C28" s="19"/>
    </row>
    <row r="29" spans="1:3" x14ac:dyDescent="0.3">
      <c r="A29" s="18"/>
      <c r="B29" s="18"/>
      <c r="C29" s="19"/>
    </row>
    <row r="30" spans="1:3" x14ac:dyDescent="0.3">
      <c r="A30" s="18"/>
      <c r="B30" s="18"/>
      <c r="C30" s="19"/>
    </row>
    <row r="31" spans="1:3" x14ac:dyDescent="0.3">
      <c r="A31" s="18"/>
      <c r="B31" s="18"/>
      <c r="C31" s="19"/>
    </row>
    <row r="32" spans="1:3" x14ac:dyDescent="0.3">
      <c r="A32" s="18"/>
      <c r="B32" s="18"/>
      <c r="C32" s="19"/>
    </row>
    <row r="33" spans="1:3" x14ac:dyDescent="0.3">
      <c r="A33" s="18"/>
      <c r="B33" s="18"/>
      <c r="C33" s="19"/>
    </row>
    <row r="34" spans="1:3" x14ac:dyDescent="0.3">
      <c r="A34" s="18"/>
      <c r="B34" s="18"/>
      <c r="C34" s="19"/>
    </row>
    <row r="35" spans="1:3" x14ac:dyDescent="0.3">
      <c r="A35" s="18"/>
      <c r="B35" s="18"/>
      <c r="C35" s="19"/>
    </row>
    <row r="36" spans="1:3" x14ac:dyDescent="0.3">
      <c r="A36" s="18"/>
      <c r="B36" s="18"/>
      <c r="C36" s="19"/>
    </row>
    <row r="37" spans="1:3" x14ac:dyDescent="0.3">
      <c r="A37" s="18"/>
      <c r="B37" s="18"/>
      <c r="C37" s="19"/>
    </row>
    <row r="38" spans="1:3" x14ac:dyDescent="0.3">
      <c r="A38" s="18"/>
      <c r="B38" s="18"/>
      <c r="C38" s="19"/>
    </row>
    <row r="39" spans="1:3" x14ac:dyDescent="0.3">
      <c r="A39" s="18"/>
      <c r="B39" s="18"/>
      <c r="C39" s="19"/>
    </row>
    <row r="40" spans="1:3" x14ac:dyDescent="0.3">
      <c r="A40" s="18"/>
      <c r="B40" s="18"/>
      <c r="C40" s="19"/>
    </row>
    <row r="41" spans="1:3" x14ac:dyDescent="0.3">
      <c r="A41" s="18"/>
      <c r="B41" s="18"/>
      <c r="C41" s="19"/>
    </row>
    <row r="42" spans="1:3" x14ac:dyDescent="0.3">
      <c r="A42" s="18"/>
      <c r="B42" s="18"/>
      <c r="C42" s="19"/>
    </row>
    <row r="43" spans="1:3" x14ac:dyDescent="0.3">
      <c r="A43" s="18"/>
      <c r="B43" s="18"/>
      <c r="C43" s="19"/>
    </row>
    <row r="44" spans="1:3" x14ac:dyDescent="0.3">
      <c r="A44" s="18"/>
      <c r="B44" s="18"/>
      <c r="C44" s="19"/>
    </row>
    <row r="45" spans="1:3" x14ac:dyDescent="0.3">
      <c r="A45" s="18"/>
      <c r="B45" s="18"/>
      <c r="C45" s="19"/>
    </row>
    <row r="46" spans="1:3" x14ac:dyDescent="0.3">
      <c r="A46" s="18"/>
      <c r="B46" s="18"/>
      <c r="C46" s="19"/>
    </row>
    <row r="47" spans="1:3" x14ac:dyDescent="0.3">
      <c r="A47" s="18"/>
      <c r="B47" s="18"/>
      <c r="C47" s="19"/>
    </row>
    <row r="48" spans="1:3" x14ac:dyDescent="0.3">
      <c r="A48" s="18"/>
      <c r="B48" s="18"/>
      <c r="C48" s="19"/>
    </row>
    <row r="49" spans="1:3" x14ac:dyDescent="0.3">
      <c r="A49" s="18"/>
      <c r="B49" s="18"/>
      <c r="C49" s="19"/>
    </row>
    <row r="50" spans="1:3" x14ac:dyDescent="0.3">
      <c r="A50" s="18"/>
      <c r="B50" s="18"/>
      <c r="C50" s="19"/>
    </row>
    <row r="51" spans="1:3" x14ac:dyDescent="0.3">
      <c r="A51" s="18"/>
      <c r="B51" s="18"/>
      <c r="C51" s="19"/>
    </row>
    <row r="52" spans="1:3" x14ac:dyDescent="0.3">
      <c r="A52" s="18"/>
      <c r="B52" s="18"/>
      <c r="C52" s="19"/>
    </row>
    <row r="53" spans="1:3" x14ac:dyDescent="0.3">
      <c r="A53" s="18"/>
      <c r="B53" s="18"/>
      <c r="C53" s="19"/>
    </row>
    <row r="54" spans="1:3" x14ac:dyDescent="0.3">
      <c r="A54" s="18"/>
      <c r="B54" s="18"/>
      <c r="C54" s="19"/>
    </row>
    <row r="55" spans="1:3" x14ac:dyDescent="0.3">
      <c r="A55" s="18"/>
      <c r="B55" s="18"/>
      <c r="C55" s="19"/>
    </row>
    <row r="56" spans="1:3" x14ac:dyDescent="0.3">
      <c r="A56" s="18"/>
      <c r="B56" s="18"/>
      <c r="C56" s="19"/>
    </row>
    <row r="57" spans="1:3" x14ac:dyDescent="0.3">
      <c r="A57" s="18"/>
      <c r="B57" s="18"/>
      <c r="C57" s="19"/>
    </row>
    <row r="58" spans="1:3" x14ac:dyDescent="0.3">
      <c r="A58" s="18"/>
      <c r="B58" s="18"/>
      <c r="C58" s="19"/>
    </row>
    <row r="59" spans="1:3" x14ac:dyDescent="0.3">
      <c r="A59" s="18"/>
      <c r="B59" s="18"/>
      <c r="C59" s="19"/>
    </row>
    <row r="60" spans="1:3" x14ac:dyDescent="0.3">
      <c r="A60" s="18"/>
      <c r="B60" s="18"/>
      <c r="C60" s="19"/>
    </row>
    <row r="61" spans="1:3" x14ac:dyDescent="0.3">
      <c r="A61" s="18"/>
      <c r="B61" s="18"/>
      <c r="C61" s="19"/>
    </row>
    <row r="62" spans="1:3" x14ac:dyDescent="0.3">
      <c r="A62" s="18"/>
      <c r="B62" s="18"/>
      <c r="C62" s="19"/>
    </row>
    <row r="63" spans="1:3" x14ac:dyDescent="0.3">
      <c r="A63" s="18"/>
      <c r="B63" s="18"/>
      <c r="C63" s="19"/>
    </row>
    <row r="64" spans="1:3" x14ac:dyDescent="0.3">
      <c r="A64" s="18"/>
      <c r="B64" s="18"/>
      <c r="C64" s="19"/>
    </row>
    <row r="65" spans="1:3" x14ac:dyDescent="0.3">
      <c r="A65" s="18"/>
      <c r="B65" s="18"/>
      <c r="C65" s="19"/>
    </row>
    <row r="66" spans="1:3" x14ac:dyDescent="0.3">
      <c r="A66" s="18"/>
      <c r="B66" s="18"/>
      <c r="C66" s="19"/>
    </row>
    <row r="67" spans="1:3" x14ac:dyDescent="0.3">
      <c r="A67" s="18"/>
      <c r="B67" s="18"/>
      <c r="C67" s="19"/>
    </row>
    <row r="68" spans="1:3" x14ac:dyDescent="0.3">
      <c r="A68" s="18"/>
      <c r="B68" s="18"/>
      <c r="C68" s="19"/>
    </row>
    <row r="69" spans="1:3" x14ac:dyDescent="0.3">
      <c r="A69" s="18"/>
      <c r="B69" s="18"/>
      <c r="C69" s="19"/>
    </row>
    <row r="70" spans="1:3" x14ac:dyDescent="0.3">
      <c r="A70" s="18"/>
      <c r="B70" s="18"/>
      <c r="C70" s="19"/>
    </row>
    <row r="71" spans="1:3" x14ac:dyDescent="0.3">
      <c r="A71" s="18"/>
      <c r="B71" s="18"/>
      <c r="C71" s="19"/>
    </row>
    <row r="72" spans="1:3" x14ac:dyDescent="0.3">
      <c r="A72" s="18"/>
      <c r="B72" s="18"/>
      <c r="C72" s="19"/>
    </row>
    <row r="73" spans="1:3" x14ac:dyDescent="0.3">
      <c r="A73" s="18"/>
      <c r="B73" s="18"/>
      <c r="C73" s="19"/>
    </row>
    <row r="74" spans="1:3" x14ac:dyDescent="0.3">
      <c r="A74" s="18"/>
      <c r="B74" s="18"/>
      <c r="C74" s="19"/>
    </row>
    <row r="75" spans="1:3" x14ac:dyDescent="0.3">
      <c r="A75" s="18"/>
      <c r="B75" s="18"/>
      <c r="C75" s="19"/>
    </row>
    <row r="76" spans="1:3" x14ac:dyDescent="0.3">
      <c r="A76" s="18"/>
      <c r="B76" s="18"/>
      <c r="C76" s="19"/>
    </row>
    <row r="77" spans="1:3" x14ac:dyDescent="0.3">
      <c r="A77" s="18"/>
      <c r="B77" s="18"/>
      <c r="C77" s="19"/>
    </row>
    <row r="78" spans="1:3" x14ac:dyDescent="0.3">
      <c r="A78" s="18"/>
      <c r="B78" s="18"/>
      <c r="C78" s="19"/>
    </row>
    <row r="79" spans="1:3" x14ac:dyDescent="0.3">
      <c r="A79" s="18"/>
      <c r="B79" s="18"/>
      <c r="C79" s="19"/>
    </row>
    <row r="80" spans="1:3" x14ac:dyDescent="0.3">
      <c r="A80" s="18"/>
      <c r="B80" s="18"/>
      <c r="C80" s="19"/>
    </row>
    <row r="81" spans="1:3" x14ac:dyDescent="0.3">
      <c r="A81" s="18"/>
      <c r="B81" s="18"/>
      <c r="C81" s="19"/>
    </row>
    <row r="82" spans="1:3" x14ac:dyDescent="0.3">
      <c r="A82" s="18"/>
      <c r="B82" s="18"/>
      <c r="C82" s="19"/>
    </row>
    <row r="83" spans="1:3" x14ac:dyDescent="0.3">
      <c r="A83" s="18"/>
      <c r="B83" s="18"/>
      <c r="C83" s="19"/>
    </row>
    <row r="84" spans="1:3" x14ac:dyDescent="0.3">
      <c r="A84" s="18"/>
      <c r="B84" s="18"/>
      <c r="C84" s="19"/>
    </row>
    <row r="85" spans="1:3" x14ac:dyDescent="0.3">
      <c r="A85" s="18"/>
      <c r="B85" s="18"/>
      <c r="C85" s="19"/>
    </row>
    <row r="86" spans="1:3" x14ac:dyDescent="0.3">
      <c r="A86" s="18"/>
      <c r="B86" s="18"/>
      <c r="C86" s="19"/>
    </row>
    <row r="87" spans="1:3" x14ac:dyDescent="0.3">
      <c r="A87" s="18"/>
      <c r="B87" s="18"/>
      <c r="C87" s="19"/>
    </row>
    <row r="88" spans="1:3" x14ac:dyDescent="0.3">
      <c r="A88" s="18"/>
      <c r="B88" s="18"/>
      <c r="C88" s="19"/>
    </row>
    <row r="89" spans="1:3" x14ac:dyDescent="0.3">
      <c r="A89" s="18"/>
      <c r="B89" s="18"/>
      <c r="C89" s="19"/>
    </row>
    <row r="90" spans="1:3" x14ac:dyDescent="0.3">
      <c r="A90" s="18"/>
      <c r="B90" s="18"/>
      <c r="C90" s="19"/>
    </row>
    <row r="91" spans="1:3" x14ac:dyDescent="0.3">
      <c r="A91" s="18"/>
      <c r="B91" s="18"/>
      <c r="C91" s="19"/>
    </row>
    <row r="92" spans="1:3" x14ac:dyDescent="0.3">
      <c r="A92" s="18"/>
      <c r="B92" s="18"/>
      <c r="C92" s="19"/>
    </row>
    <row r="93" spans="1:3" x14ac:dyDescent="0.3">
      <c r="A93" s="18"/>
      <c r="B93" s="18"/>
      <c r="C93" s="19"/>
    </row>
    <row r="94" spans="1:3" x14ac:dyDescent="0.3">
      <c r="A94" s="18"/>
      <c r="B94" s="18"/>
      <c r="C94" s="19"/>
    </row>
    <row r="95" spans="1:3" x14ac:dyDescent="0.3">
      <c r="A95" s="18"/>
      <c r="B95" s="18"/>
      <c r="C95" s="19"/>
    </row>
    <row r="96" spans="1:3" x14ac:dyDescent="0.3">
      <c r="A96" s="18"/>
      <c r="B96" s="18"/>
      <c r="C96" s="19"/>
    </row>
    <row r="97" spans="1:3" x14ac:dyDescent="0.3">
      <c r="A97" s="18"/>
      <c r="B97" s="18"/>
      <c r="C97" s="19"/>
    </row>
    <row r="98" spans="1:3" x14ac:dyDescent="0.3">
      <c r="A98" s="18"/>
      <c r="B98" s="18"/>
      <c r="C98" s="19"/>
    </row>
    <row r="99" spans="1:3" x14ac:dyDescent="0.3">
      <c r="A99" s="18"/>
      <c r="B99" s="18"/>
      <c r="C99" s="19"/>
    </row>
    <row r="100" spans="1:3" x14ac:dyDescent="0.3">
      <c r="A100" s="18"/>
      <c r="B100" s="18"/>
      <c r="C100" s="19"/>
    </row>
    <row r="101" spans="1:3" x14ac:dyDescent="0.3">
      <c r="A101" s="18"/>
      <c r="B101" s="18"/>
      <c r="C101" s="19"/>
    </row>
  </sheetData>
  <autoFilter ref="A1:C101" xr:uid="{77FBDD91-BEDC-4021-839F-34CAAE8DEC38}"/>
  <dataValidations count="1">
    <dataValidation type="whole" allowBlank="1" showInputMessage="1" showErrorMessage="1" errorTitle="Valore non valido" error="I punti devono essere un numero intero da 0 a 999." promptTitle="Punti No Bounce" prompt="Inserisci un numero intero da 0 a 999." sqref="C2:C101" xr:uid="{87CF629D-AF64-4405-B7D7-8CB451F4386C}">
      <formula1>0</formula1>
      <formula2>999</formula2>
    </dataValidation>
  </dataValidation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4.4" x14ac:dyDescent="0.3"/>
  <cols>
    <col min="1" max="18" width="28" customWidth="1"/>
  </cols>
  <sheetData>
    <row r="1" spans="1:26" x14ac:dyDescent="0.3">
      <c r="A1" s="5" t="s">
        <v>2</v>
      </c>
      <c r="B1" s="5" t="s">
        <v>327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</v>
      </c>
      <c r="B2" t="s">
        <v>328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BOGDAN ATAMANYUK</v>
      </c>
      <c r="E2" t="str">
        <f>IF(Rosters!H3="","",IF(Rosters!G3="","",Rosters!G3&amp;" - ")&amp;Rosters!H3&amp;IF(Rosters!I3="Yes"," (C)",""))</f>
        <v>MATTIA MERLO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10 - DAVIDE ZAGHI (C)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 x14ac:dyDescent="0.3">
      <c r="A3" t="s">
        <v>8</v>
      </c>
      <c r="B3" t="s">
        <v>329</v>
      </c>
      <c r="C3" t="str">
        <f>IF(Rosters!B4="","",IF(Rosters!A4="","",Rosters!A4&amp;" - ")&amp;Rosters!B4&amp;IF(Rosters!C4="Yes"," (C)",""))</f>
        <v>4 - GIOVANNI BALLO</v>
      </c>
      <c r="D3" t="str">
        <f>IF(Rosters!E4="","",IF(Rosters!D4="","",Rosters!D4&amp;" - ")&amp;Rosters!E4&amp;IF(Rosters!F4="Yes"," (C)",""))</f>
        <v>IVAN DENIS SHEVERAK</v>
      </c>
      <c r="E3" t="str">
        <f>IF(Rosters!H4="","",IF(Rosters!G4="","",Rosters!G4&amp;" - ")&amp;Rosters!H4&amp;IF(Rosters!I4="Yes"," (C)",""))</f>
        <v>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5 - 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ELIA SICCHIERO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 x14ac:dyDescent="0.3">
      <c r="A4" t="s">
        <v>10</v>
      </c>
      <c r="B4" t="s">
        <v>330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MOHAMED IAICH</v>
      </c>
      <c r="E4" t="str">
        <f>IF(Rosters!H5="","",IF(Rosters!G5="","",Rosters!G5&amp;" - ")&amp;Rosters!H5&amp;IF(Rosters!I5="Yes"," (C)",""))</f>
        <v>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3 - 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 x14ac:dyDescent="0.3">
      <c r="A5" t="s">
        <v>12</v>
      </c>
      <c r="B5" t="s">
        <v>331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DANIIL YAKIMENKO</v>
      </c>
      <c r="E5" t="str">
        <f>IF(Rosters!H6="","",IF(Rosters!G6="","",Rosters!G6&amp;" - ")&amp;Rosters!H6&amp;IF(Rosters!I6="Yes"," (C)",""))</f>
        <v>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20 - 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NICCOLO' PALTANIN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ALEX MENEGHELLO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 x14ac:dyDescent="0.3">
      <c r="A6" t="s">
        <v>15</v>
      </c>
      <c r="B6" t="s">
        <v>332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AHMED ZOUZAF</v>
      </c>
      <c r="E6" t="str">
        <f>IF(Rosters!H7="","",IF(Rosters!G7="","",Rosters!G7&amp;" - ")&amp;Rosters!H7&amp;IF(Rosters!I7="Yes"," (C)",""))</f>
        <v>EDDY MAZZETTO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8 - 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 x14ac:dyDescent="0.3">
      <c r="A7" t="s">
        <v>17</v>
      </c>
      <c r="B7" t="s">
        <v>333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YOUSSEF IAICH</v>
      </c>
      <c r="E7" t="str">
        <f>IF(Rosters!H8="","",IF(Rosters!G8="","",Rosters!G8&amp;" - ")&amp;Rosters!H8&amp;IF(Rosters!I8="Yes"," (C)",""))</f>
        <v>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7 - 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21 - MATTEO BARTOLOMEI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 x14ac:dyDescent="0.3">
      <c r="A8" t="s">
        <v>19</v>
      </c>
      <c r="B8" t="s">
        <v>334</v>
      </c>
      <c r="C8" t="str">
        <f>IF(Rosters!B9="","",IF(Rosters!A9="","",Rosters!A9&amp;" - ")&amp;Rosters!B9&amp;IF(Rosters!C9="Yes"," (C)",""))</f>
        <v>11 - SAMUELE DURRA</v>
      </c>
      <c r="D8" t="str">
        <f>IF(Rosters!E9="","",IF(Rosters!D9="","",Rosters!D9&amp;" - ")&amp;Rosters!E9&amp;IF(Rosters!F9="Yes"," (C)",""))</f>
        <v>HAMZA AGRIBI (C)</v>
      </c>
      <c r="E8" t="str">
        <f>IF(Rosters!H9="","",IF(Rosters!G9="","",Rosters!G9&amp;" - ")&amp;Rosters!H9&amp;IF(Rosters!I9="Yes"," (C)",""))</f>
        <v>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1 - 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/>
      </c>
      <c r="K8" t="str">
        <f>IF(Rosters!Z9="","",IF(Rosters!Y9="","",Rosters!Y9&amp;" - ")&amp;Rosters!Z9&amp;IF(Rosters!AA9="Yes"," (C)",""))</f>
        <v>10 - ANDREI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 x14ac:dyDescent="0.3">
      <c r="A9" t="s">
        <v>21</v>
      </c>
      <c r="B9" t="s">
        <v>335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KHALID BENNOUNE</v>
      </c>
      <c r="E9" t="str">
        <f>IF(Rosters!H10="","",IF(Rosters!G10="","",Rosters!G10&amp;" - ")&amp;Rosters!H10&amp;IF(Rosters!I10="Yes"," (C)",""))</f>
        <v>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4 - 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/>
      </c>
      <c r="K9" t="str">
        <f>IF(Rosters!Z10="","",IF(Rosters!Y10="","",Rosters!Y10&amp;" - ")&amp;Rosters!Z10&amp;IF(Rosters!AA10="Yes"," (C)",""))</f>
        <v>14 -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 x14ac:dyDescent="0.3">
      <c r="A10" t="s">
        <v>24</v>
      </c>
      <c r="B10" t="s">
        <v>336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YASSINE SOHAYB</v>
      </c>
      <c r="E10" t="str">
        <f>IF(Rosters!H11="","",IF(Rosters!G11="","",Rosters!G11&amp;" - ")&amp;Rosters!H11&amp;IF(Rosters!I11="Yes"," (C)",""))</f>
        <v>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6 - 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/>
      </c>
      <c r="K10" t="str">
        <f>IF(Rosters!Z11="","",IF(Rosters!Y11="","",Rosters!Y11&amp;" - ")&amp;Rosters!Z11&amp;IF(Rosters!AA11="Yes"," (C)",""))</f>
        <v>20 - TOMMASO ZANGIROLAMI</v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 x14ac:dyDescent="0.3">
      <c r="A11" t="s">
        <v>26</v>
      </c>
      <c r="B11" t="s">
        <v>337</v>
      </c>
      <c r="C11" t="str">
        <f>IF(Rosters!B12="","",IF(Rosters!A12="","",Rosters!A12&amp;" - ")&amp;Rosters!B12&amp;IF(Rosters!C12="Yes"," (C)",""))</f>
        <v>90 - MATTEO COL</v>
      </c>
      <c r="D11" t="str">
        <f>IF(Rosters!E12="","",IF(Rosters!D12="","",Rosters!D12&amp;" - ")&amp;Rosters!E12&amp;IF(Rosters!F12="Yes"," (C)",""))</f>
        <v>ABDESSAMAD BAGHROUCH</v>
      </c>
      <c r="E11" t="str">
        <f>IF(Rosters!H12="","",IF(Rosters!G12="","",Rosters!G12&amp;" - ")&amp;Rosters!H12&amp;IF(Rosters!I12="Yes"," (C)",""))</f>
        <v>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17 - DOMENICO IACOVINO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/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 x14ac:dyDescent="0.3">
      <c r="A12" t="s">
        <v>28</v>
      </c>
      <c r="B12" t="s">
        <v>338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16 - GIACOMO PROTTI</v>
      </c>
      <c r="I12" t="str">
        <f>IF(Rosters!T13="","",IF(Rosters!S13="","",Rosters!S13&amp;" - ")&amp;Rosters!T13&amp;IF(Rosters!U13="Yes"," (C)",""))</f>
        <v>17 -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>7 - MATTEO BOLZANI</v>
      </c>
    </row>
    <row r="13" spans="1:26" x14ac:dyDescent="0.3">
      <c r="A13" t="s">
        <v>30</v>
      </c>
      <c r="B13" t="s">
        <v>339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 x14ac:dyDescent="0.3">
      <c r="A14" t="s">
        <v>33</v>
      </c>
      <c r="B14" t="s">
        <v>340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>NICO PAVANI</v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 x14ac:dyDescent="0.3">
      <c r="A15" t="s">
        <v>35</v>
      </c>
      <c r="B15" t="s">
        <v>341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 x14ac:dyDescent="0.3">
      <c r="A16" t="s">
        <v>37</v>
      </c>
      <c r="B16" t="s">
        <v>342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 x14ac:dyDescent="0.3">
      <c r="A17" t="s">
        <v>39</v>
      </c>
      <c r="B17" t="s">
        <v>343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 x14ac:dyDescent="0.3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 x14ac:dyDescent="0.3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 x14ac:dyDescent="0.3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 x14ac:dyDescent="0.3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 x14ac:dyDescent="0.3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 x14ac:dyDescent="0.3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 x14ac:dyDescent="0.3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 x14ac:dyDescent="0.3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 x14ac:dyDescent="0.3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 x14ac:dyDescent="0.3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 x14ac:dyDescent="0.3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 x14ac:dyDescent="0.3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 x14ac:dyDescent="0.3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 x14ac:dyDescent="0.3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topLeftCell="A62" zoomScale="85" zoomScaleNormal="85" workbookViewId="0">
      <selection activeCell="G26" sqref="G26"/>
    </sheetView>
  </sheetViews>
  <sheetFormatPr defaultRowHeight="14.4" x14ac:dyDescent="0.3"/>
  <cols>
    <col min="1" max="1" width="12" customWidth="1"/>
    <col min="2" max="2" width="14" customWidth="1"/>
    <col min="3" max="3" width="24" customWidth="1"/>
    <col min="4" max="4" width="10" customWidth="1"/>
    <col min="5" max="5" width="21.664062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 x14ac:dyDescent="0.3">
      <c r="A1" s="6" t="s">
        <v>344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22" t="s">
        <v>345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1"/>
      <c r="N3" s="22" t="s">
        <v>346</v>
      </c>
      <c r="O3" s="21"/>
      <c r="P3" s="21"/>
      <c r="Q3" s="2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" t="s">
        <v>347</v>
      </c>
      <c r="B4" s="7" t="s">
        <v>348</v>
      </c>
      <c r="C4" s="7" t="s">
        <v>349</v>
      </c>
      <c r="D4" s="7" t="s">
        <v>350</v>
      </c>
      <c r="E4" s="7" t="s">
        <v>351</v>
      </c>
      <c r="F4" s="7" t="s">
        <v>352</v>
      </c>
      <c r="G4" s="7" t="s">
        <v>353</v>
      </c>
      <c r="H4" s="7" t="s">
        <v>354</v>
      </c>
      <c r="I4" s="7" t="s">
        <v>355</v>
      </c>
      <c r="J4" s="7" t="s">
        <v>356</v>
      </c>
      <c r="K4" s="7" t="s">
        <v>357</v>
      </c>
      <c r="L4" s="7" t="s">
        <v>358</v>
      </c>
      <c r="M4" s="1"/>
      <c r="N4" s="7" t="s">
        <v>348</v>
      </c>
      <c r="O4" s="7" t="s">
        <v>359</v>
      </c>
      <c r="P4" s="7" t="s">
        <v>349</v>
      </c>
      <c r="Q4" s="7" t="s">
        <v>360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 x14ac:dyDescent="0.3">
      <c r="A5" s="1" t="str">
        <f>Standings!A2</f>
        <v>A</v>
      </c>
      <c r="B5" s="1">
        <f>Standings!B2</f>
        <v>1</v>
      </c>
      <c r="C5" s="1" t="str">
        <f>Standings!C2</f>
        <v>Fatine FC</v>
      </c>
      <c r="D5" s="1">
        <f>Standings!D2</f>
        <v>0</v>
      </c>
      <c r="E5" s="1">
        <f>Standings!E2</f>
        <v>0</v>
      </c>
      <c r="F5" s="1">
        <f>Standings!F2</f>
        <v>0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0</v>
      </c>
      <c r="K5" s="1">
        <f>Standings!K2</f>
        <v>0</v>
      </c>
      <c r="L5" s="1">
        <f>Standings!L2</f>
        <v>0</v>
      </c>
      <c r="M5" s="1"/>
      <c r="N5" s="1">
        <f>IF(TopScorers!A2="","",TopScorers!A2)</f>
        <v>1</v>
      </c>
      <c r="O5" s="1" t="str">
        <f>IF(TopScorers!B2="","",TopScorers!B2)</f>
        <v>MATTEO ZAMBERLAN</v>
      </c>
      <c r="P5" s="1" t="str">
        <f>IF(TopScorers!C2="","",TopScorers!C2)</f>
        <v>Vecchie Glorie Rovigo</v>
      </c>
      <c r="Q5" s="1">
        <f>IF(TopScorers!D2="","",TopScorers!D2)</f>
        <v>3</v>
      </c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 t="str">
        <f>Standings!A3</f>
        <v>A</v>
      </c>
      <c r="B6" s="1">
        <f>Standings!B3</f>
        <v>2</v>
      </c>
      <c r="C6" s="1" t="str">
        <f>Standings!C3</f>
        <v>FC Internazionale Rovigo</v>
      </c>
      <c r="D6" s="1">
        <f>Standings!D3</f>
        <v>0</v>
      </c>
      <c r="E6" s="1">
        <f>Standings!E3</f>
        <v>0</v>
      </c>
      <c r="F6" s="1">
        <f>Standings!F3</f>
        <v>0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0</v>
      </c>
      <c r="K6" s="1">
        <f>Standings!K3</f>
        <v>0</v>
      </c>
      <c r="L6" s="1">
        <f>Standings!L3</f>
        <v>0</v>
      </c>
      <c r="M6" s="1"/>
      <c r="N6" s="1">
        <f>IF(TopScorers!A3="","",TopScorers!A3)</f>
        <v>2</v>
      </c>
      <c r="O6" s="1" t="str">
        <f>IF(TopScorers!B3="","",TopScorers!B3)</f>
        <v>DAVIDE ZAGHI</v>
      </c>
      <c r="P6" s="1" t="str">
        <f>IF(TopScorers!C3="","",TopScorers!C3)</f>
        <v>Vecchie Glorie Rovigo</v>
      </c>
      <c r="Q6" s="1">
        <f>IF(TopScorers!D3="","",TopScorers!D3)</f>
        <v>2</v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 x14ac:dyDescent="0.3">
      <c r="A7" s="1" t="str">
        <f>Standings!A4</f>
        <v>A</v>
      </c>
      <c r="B7" s="1">
        <f>Standings!B4</f>
        <v>3</v>
      </c>
      <c r="C7" s="1" t="str">
        <f>Standings!C4</f>
        <v>Moviola Utd</v>
      </c>
      <c r="D7" s="1">
        <f>Standings!D4</f>
        <v>0</v>
      </c>
      <c r="E7" s="1">
        <f>Standings!E4</f>
        <v>0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0</v>
      </c>
      <c r="J7" s="1">
        <f>Standings!J4</f>
        <v>0</v>
      </c>
      <c r="K7" s="1">
        <f>Standings!K4</f>
        <v>0</v>
      </c>
      <c r="L7" s="1">
        <f>Standings!L4</f>
        <v>0</v>
      </c>
      <c r="M7" s="1"/>
      <c r="N7" s="1">
        <f>IF(TopScorers!A4="","",TopScorers!A4)</f>
        <v>3</v>
      </c>
      <c r="O7" s="1" t="str">
        <f>IF(TopScorers!B4="","",TopScorers!B4)</f>
        <v>LUCA CECCONELLO</v>
      </c>
      <c r="P7" s="1" t="str">
        <f>IF(TopScorers!C4="","",TopScorers!C4)</f>
        <v>Boldò Glimt</v>
      </c>
      <c r="Q7" s="1">
        <f>IF(TopScorers!D4="","",TopScorers!D4)</f>
        <v>2</v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 x14ac:dyDescent="0.3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0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0</v>
      </c>
      <c r="J8" s="1">
        <f>Standings!J5</f>
        <v>0</v>
      </c>
      <c r="K8" s="1">
        <f>Standings!K5</f>
        <v>0</v>
      </c>
      <c r="L8" s="1">
        <f>Standings!L5</f>
        <v>0</v>
      </c>
      <c r="M8" s="1"/>
      <c r="N8" s="1">
        <f>IF(TopScorers!A5="","",TopScorers!A5)</f>
        <v>4</v>
      </c>
      <c r="O8" s="1" t="str">
        <f>IF(TopScorers!B5="","",TopScorers!B5)</f>
        <v>JACOPO VOLTOLINA</v>
      </c>
      <c r="P8" s="1" t="str">
        <f>IF(TopScorers!C5="","",TopScorers!C5)</f>
        <v>Vecchie Glorie Rovigo</v>
      </c>
      <c r="Q8" s="1">
        <f>IF(TopScorers!D5="","",TopScorers!D5)</f>
        <v>1</v>
      </c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 t="str">
        <f>Standings!A6</f>
        <v>B</v>
      </c>
      <c r="B9" s="1">
        <f>Standings!B6</f>
        <v>1</v>
      </c>
      <c r="C9" s="1" t="str">
        <f>Standings!C6</f>
        <v>Vecchie Glorie Rovigo</v>
      </c>
      <c r="D9" s="1">
        <f>Standings!D6</f>
        <v>3</v>
      </c>
      <c r="E9" s="1">
        <f>Standings!E6</f>
        <v>1</v>
      </c>
      <c r="F9" s="1">
        <f>Standings!F6</f>
        <v>1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10</v>
      </c>
      <c r="K9" s="1">
        <f>Standings!K6</f>
        <v>0</v>
      </c>
      <c r="L9" s="1">
        <f>Standings!L6</f>
        <v>10</v>
      </c>
      <c r="M9" s="1"/>
      <c r="N9" s="1">
        <f>IF(TopScorers!A6="","",TopScorers!A6)</f>
        <v>5</v>
      </c>
      <c r="O9" s="1" t="str">
        <f>IF(TopScorers!B6="","",TopScorers!B6)</f>
        <v>MATTEO DALL'ARA</v>
      </c>
      <c r="P9" s="1" t="str">
        <f>IF(TopScorers!C6="","",TopScorers!C6)</f>
        <v>Vecchie Glorie Rovigo</v>
      </c>
      <c r="Q9" s="1">
        <f>IF(TopScorers!D6="","",TopScorers!D6)</f>
        <v>1</v>
      </c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 t="str">
        <f>Standings!A7</f>
        <v>B</v>
      </c>
      <c r="B10" s="1">
        <f>Standings!B7</f>
        <v>2</v>
      </c>
      <c r="C10" s="1" t="str">
        <f>Standings!C7</f>
        <v>AS Bancatore</v>
      </c>
      <c r="D10" s="1">
        <f>Standings!D7</f>
        <v>0</v>
      </c>
      <c r="E10" s="1">
        <f>Standings!E7</f>
        <v>0</v>
      </c>
      <c r="F10" s="1">
        <f>Standings!F7</f>
        <v>0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0</v>
      </c>
      <c r="K10" s="1">
        <f>Standings!K7</f>
        <v>0</v>
      </c>
      <c r="L10" s="1">
        <f>Standings!L7</f>
        <v>0</v>
      </c>
      <c r="M10" s="1"/>
      <c r="N10" s="1">
        <f>IF(TopScorers!A7="","",TopScorers!A7)</f>
        <v>6</v>
      </c>
      <c r="O10" s="1" t="str">
        <f>IF(TopScorers!B7="","",TopScorers!B7)</f>
        <v>LEONARDO FUSCO</v>
      </c>
      <c r="P10" s="1" t="str">
        <f>IF(TopScorers!C7="","",TopScorers!C7)</f>
        <v>Vecchie Glorie Rovigo</v>
      </c>
      <c r="Q10" s="1">
        <f>IF(TopScorers!D7="","",TopScorers!D7)</f>
        <v>1</v>
      </c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 t="str">
        <f>Standings!A8</f>
        <v>B</v>
      </c>
      <c r="B11" s="1">
        <f>Standings!B8</f>
        <v>3</v>
      </c>
      <c r="C11" s="1" t="str">
        <f>Standings!C8</f>
        <v>Beverton</v>
      </c>
      <c r="D11" s="1">
        <f>Standings!D8</f>
        <v>0</v>
      </c>
      <c r="E11" s="1">
        <f>Standings!E8</f>
        <v>0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0</v>
      </c>
      <c r="J11" s="1">
        <f>Standings!J8</f>
        <v>0</v>
      </c>
      <c r="K11" s="1">
        <f>Standings!K8</f>
        <v>0</v>
      </c>
      <c r="L11" s="1">
        <f>Standings!L8</f>
        <v>0</v>
      </c>
      <c r="M11" s="1"/>
      <c r="N11" s="1">
        <f>IF(TopScorers!A8="","",TopScorers!A8)</f>
        <v>7</v>
      </c>
      <c r="O11" s="1" t="str">
        <f>IF(TopScorers!B8="","",TopScorers!B8)</f>
        <v>DENIS TIMPANARO</v>
      </c>
      <c r="P11" s="1" t="str">
        <f>IF(TopScorers!C8="","",TopScorers!C8)</f>
        <v>Vecchie Glorie Rovigo</v>
      </c>
      <c r="Q11" s="1">
        <f>IF(TopScorers!D8="","",TopScorers!D8)</f>
        <v>1</v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 x14ac:dyDescent="0.3">
      <c r="A12" s="1" t="str">
        <f>Standings!A9</f>
        <v>B</v>
      </c>
      <c r="B12" s="1">
        <f>Standings!B9</f>
        <v>4</v>
      </c>
      <c r="C12" s="1" t="str">
        <f>Standings!C9</f>
        <v>Totani</v>
      </c>
      <c r="D12" s="1">
        <f>Standings!D9</f>
        <v>0</v>
      </c>
      <c r="E12" s="1">
        <f>Standings!E9</f>
        <v>1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1</v>
      </c>
      <c r="J12" s="1">
        <f>Standings!J9</f>
        <v>0</v>
      </c>
      <c r="K12" s="1">
        <f>Standings!K9</f>
        <v>10</v>
      </c>
      <c r="L12" s="1">
        <f>Standings!L9</f>
        <v>-10</v>
      </c>
      <c r="M12" s="1"/>
      <c r="N12" s="1">
        <f>IF(TopScorers!A9="","",TopScorers!A9)</f>
        <v>8</v>
      </c>
      <c r="O12" s="1" t="str">
        <f>IF(TopScorers!B9="","",TopScorers!B9)</f>
        <v>DOMENICO IACOVINO</v>
      </c>
      <c r="P12" s="1" t="str">
        <f>IF(TopScorers!C9="","",TopScorers!C9)</f>
        <v>Vecchie Glorie Rovigo</v>
      </c>
      <c r="Q12" s="1">
        <f>IF(TopScorers!D9="","",TopScorers!D9)</f>
        <v>1</v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 x14ac:dyDescent="0.3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0</v>
      </c>
      <c r="E13" s="1">
        <f>Standings!E10</f>
        <v>0</v>
      </c>
      <c r="F13" s="1">
        <f>Standings!F10</f>
        <v>0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0</v>
      </c>
      <c r="K13" s="1">
        <f>Standings!K10</f>
        <v>0</v>
      </c>
      <c r="L13" s="1">
        <f>Standings!L10</f>
        <v>0</v>
      </c>
      <c r="M13" s="1"/>
      <c r="N13" s="1">
        <f>IF(TopScorers!A10="","",TopScorers!A10)</f>
        <v>9</v>
      </c>
      <c r="O13" s="1" t="str">
        <f>IF(TopScorers!B10="","",TopScorers!B10)</f>
        <v>NICOLA BRESCIANI</v>
      </c>
      <c r="P13" s="1" t="str">
        <f>IF(TopScorers!C10="","",TopScorers!C10)</f>
        <v>All Blacks</v>
      </c>
      <c r="Q13" s="1">
        <f>IF(TopScorers!D10="","",TopScorers!D10)</f>
        <v>1</v>
      </c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 t="str">
        <f>Standings!A11</f>
        <v>C</v>
      </c>
      <c r="B14" s="1">
        <f>Standings!B11</f>
        <v>2</v>
      </c>
      <c r="C14" s="1" t="str">
        <f>Standings!C11</f>
        <v>Pink 5ive</v>
      </c>
      <c r="D14" s="1">
        <f>Standings!D11</f>
        <v>0</v>
      </c>
      <c r="E14" s="1">
        <f>Standings!E11</f>
        <v>0</v>
      </c>
      <c r="F14" s="1">
        <f>Standings!F11</f>
        <v>0</v>
      </c>
      <c r="G14" s="1">
        <f>Standings!G11</f>
        <v>0</v>
      </c>
      <c r="H14" s="1">
        <f>Standings!H11</f>
        <v>0</v>
      </c>
      <c r="I14" s="1">
        <f>Standings!I11</f>
        <v>0</v>
      </c>
      <c r="J14" s="1">
        <f>Standings!J11</f>
        <v>0</v>
      </c>
      <c r="K14" s="1">
        <f>Standings!K11</f>
        <v>0</v>
      </c>
      <c r="L14" s="1">
        <f>Standings!L11</f>
        <v>0</v>
      </c>
      <c r="M14" s="1"/>
      <c r="N14" s="1">
        <f>IF(TopScorers!A11="","",TopScorers!A11)</f>
        <v>10</v>
      </c>
      <c r="O14" s="1" t="str">
        <f>IF(TopScorers!B11="","",TopScorers!B11)</f>
        <v>MATTIA AYRTON MARIOTTO</v>
      </c>
      <c r="P14" s="1" t="str">
        <f>IF(TopScorers!C11="","",TopScorers!C11)</f>
        <v>Piadineria la Salsiccia</v>
      </c>
      <c r="Q14" s="1">
        <f>IF(TopScorers!D11="","",TopScorers!D11)</f>
        <v>1</v>
      </c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 t="str">
        <f>Standings!A12</f>
        <v>C</v>
      </c>
      <c r="B15" s="1">
        <f>Standings!B12</f>
        <v>3</v>
      </c>
      <c r="C15" s="1" t="str">
        <f>Standings!C12</f>
        <v>Barrio Boys</v>
      </c>
      <c r="D15" s="1">
        <f>Standings!D12</f>
        <v>0</v>
      </c>
      <c r="E15" s="1">
        <f>Standings!E12</f>
        <v>0</v>
      </c>
      <c r="F15" s="1">
        <f>Standings!F12</f>
        <v>0</v>
      </c>
      <c r="G15" s="1">
        <f>Standings!G12</f>
        <v>0</v>
      </c>
      <c r="H15" s="1">
        <f>Standings!H12</f>
        <v>0</v>
      </c>
      <c r="I15" s="1">
        <f>Standings!I12</f>
        <v>0</v>
      </c>
      <c r="J15" s="1">
        <f>Standings!J12</f>
        <v>0</v>
      </c>
      <c r="K15" s="1">
        <f>Standings!K12</f>
        <v>0</v>
      </c>
      <c r="L15" s="1">
        <f>Standings!L12</f>
        <v>0</v>
      </c>
      <c r="M15" s="1"/>
      <c r="N15" s="1">
        <f>IF(TopScorers!A12="","",TopScorers!A12)</f>
        <v>11</v>
      </c>
      <c r="O15" s="1" t="str">
        <f>IF(TopScorers!B12="","",TopScorers!B12)</f>
        <v/>
      </c>
      <c r="P15" s="1" t="str">
        <f>IF(TopScorers!C12="","",TopScorers!C12)</f>
        <v/>
      </c>
      <c r="Q15" s="1" t="str">
        <f>IF(TopScorers!D12="","",TopScorers!D12)</f>
        <v/>
      </c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0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0</v>
      </c>
      <c r="J16" s="1">
        <f>Standings!J13</f>
        <v>0</v>
      </c>
      <c r="K16" s="1">
        <f>Standings!K13</f>
        <v>0</v>
      </c>
      <c r="L16" s="1">
        <f>Standings!L13</f>
        <v>0</v>
      </c>
      <c r="M16" s="1"/>
      <c r="N16" s="1">
        <f>IF(TopScorers!A13="","",TopScorers!A13)</f>
        <v>12</v>
      </c>
      <c r="O16" s="1" t="str">
        <f>IF(TopScorers!B13="","",TopScorers!B13)</f>
        <v/>
      </c>
      <c r="P16" s="1" t="str">
        <f>IF(TopScorers!C13="","",TopScorers!C13)</f>
        <v/>
      </c>
      <c r="Q16" s="1" t="str">
        <f>IF(TopScorers!D13="","",TopScorers!D13)</f>
        <v/>
      </c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" t="str">
        <f>Standings!A14</f>
        <v>D</v>
      </c>
      <c r="B17" s="1">
        <f>Standings!B14</f>
        <v>1</v>
      </c>
      <c r="C17" s="1" t="str">
        <f>Standings!C14</f>
        <v>Boldò Glimt</v>
      </c>
      <c r="D17" s="1">
        <f>Standings!D14</f>
        <v>3</v>
      </c>
      <c r="E17" s="1">
        <f>Standings!E14</f>
        <v>1</v>
      </c>
      <c r="F17" s="1">
        <f>Standings!F14</f>
        <v>1</v>
      </c>
      <c r="G17" s="1">
        <f>Standings!G14</f>
        <v>0</v>
      </c>
      <c r="H17" s="1">
        <f>Standings!H14</f>
        <v>0</v>
      </c>
      <c r="I17" s="1">
        <f>Standings!I14</f>
        <v>0</v>
      </c>
      <c r="J17" s="1">
        <f>Standings!J14</f>
        <v>2</v>
      </c>
      <c r="K17" s="1">
        <f>Standings!K14</f>
        <v>1</v>
      </c>
      <c r="L17" s="1">
        <f>Standings!L14</f>
        <v>1</v>
      </c>
      <c r="M17" s="1"/>
      <c r="N17" s="1">
        <f>IF(TopScorers!A14="","",TopScorers!A14)</f>
        <v>13</v>
      </c>
      <c r="O17" s="1" t="str">
        <f>IF(TopScorers!B14="","",TopScorers!B14)</f>
        <v/>
      </c>
      <c r="P17" s="1" t="str">
        <f>IF(TopScorers!C14="","",TopScorers!C14)</f>
        <v/>
      </c>
      <c r="Q17" s="1" t="str">
        <f>IF(TopScorers!D14="","",TopScorers!D14)</f>
        <v/>
      </c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1" t="str">
        <f>Standings!A15</f>
        <v>D</v>
      </c>
      <c r="B18" s="1">
        <f>Standings!B15</f>
        <v>2</v>
      </c>
      <c r="C18" s="1" t="str">
        <f>Standings!C15</f>
        <v>Piadineria la Salsiccia</v>
      </c>
      <c r="D18" s="1">
        <f>Standings!D15</f>
        <v>3</v>
      </c>
      <c r="E18" s="1">
        <f>Standings!E15</f>
        <v>1</v>
      </c>
      <c r="F18" s="1">
        <f>Standings!F15</f>
        <v>1</v>
      </c>
      <c r="G18" s="1">
        <f>Standings!G15</f>
        <v>0</v>
      </c>
      <c r="H18" s="1">
        <f>Standings!H15</f>
        <v>0</v>
      </c>
      <c r="I18" s="1">
        <f>Standings!I15</f>
        <v>0</v>
      </c>
      <c r="J18" s="1">
        <f>Standings!J15</f>
        <v>1</v>
      </c>
      <c r="K18" s="1">
        <f>Standings!K15</f>
        <v>0</v>
      </c>
      <c r="L18" s="1">
        <f>Standings!L15</f>
        <v>1</v>
      </c>
      <c r="M18" s="1"/>
      <c r="N18" s="1">
        <f>IF(TopScorers!A15="","",TopScorers!A15)</f>
        <v>14</v>
      </c>
      <c r="O18" s="1" t="str">
        <f>IF(TopScorers!B15="","",TopScorers!B15)</f>
        <v/>
      </c>
      <c r="P18" s="1" t="str">
        <f>IF(TopScorers!C15="","",TopScorers!C15)</f>
        <v/>
      </c>
      <c r="Q18" s="1" t="str">
        <f>IF(TopScorers!D15="","",TopScorers!D15)</f>
        <v/>
      </c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1" t="str">
        <f>Standings!A16</f>
        <v>D</v>
      </c>
      <c r="B19" s="1">
        <f>Standings!B16</f>
        <v>3</v>
      </c>
      <c r="C19" s="1" t="str">
        <f>Standings!C16</f>
        <v>All Blacks</v>
      </c>
      <c r="D19" s="1">
        <f>Standings!D16</f>
        <v>0</v>
      </c>
      <c r="E19" s="1">
        <f>Standings!E16</f>
        <v>1</v>
      </c>
      <c r="F19" s="1">
        <f>Standings!F16</f>
        <v>0</v>
      </c>
      <c r="G19" s="1">
        <f>Standings!G16</f>
        <v>0</v>
      </c>
      <c r="H19" s="1">
        <f>Standings!H16</f>
        <v>0</v>
      </c>
      <c r="I19" s="1">
        <f>Standings!I16</f>
        <v>1</v>
      </c>
      <c r="J19" s="1">
        <f>Standings!J16</f>
        <v>1</v>
      </c>
      <c r="K19" s="1">
        <f>Standings!K16</f>
        <v>2</v>
      </c>
      <c r="L19" s="1">
        <f>Standings!L16</f>
        <v>-1</v>
      </c>
      <c r="M19" s="1"/>
      <c r="N19" s="1">
        <f>IF(TopScorers!A16="","",TopScorers!A16)</f>
        <v>15</v>
      </c>
      <c r="O19" s="1" t="str">
        <f>IF(TopScorers!B16="","",TopScorers!B16)</f>
        <v/>
      </c>
      <c r="P19" s="1" t="str">
        <f>IF(TopScorers!C16="","",TopScorers!C16)</f>
        <v/>
      </c>
      <c r="Q19" s="1" t="str">
        <f>IF(TopScorers!D16="","",TopScorers!D16)</f>
        <v/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 x14ac:dyDescent="0.3">
      <c r="A20" s="1" t="str">
        <f>Standings!A17</f>
        <v>D</v>
      </c>
      <c r="B20" s="1">
        <f>Standings!B17</f>
        <v>4</v>
      </c>
      <c r="C20" s="1" t="str">
        <f>Standings!C17</f>
        <v>Coca Juniors</v>
      </c>
      <c r="D20" s="1">
        <f>Standings!D17</f>
        <v>0</v>
      </c>
      <c r="E20" s="1">
        <f>Standings!E17</f>
        <v>1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1</v>
      </c>
      <c r="J20" s="1">
        <f>Standings!J17</f>
        <v>0</v>
      </c>
      <c r="K20" s="1">
        <f>Standings!K17</f>
        <v>1</v>
      </c>
      <c r="L20" s="1">
        <f>Standings!L17</f>
        <v>-1</v>
      </c>
      <c r="M20" s="1"/>
      <c r="N20" s="1">
        <f>IF(TopScorers!A17="","",TopScorers!A17)</f>
        <v>16</v>
      </c>
      <c r="O20" s="1" t="str">
        <f>IF(TopScorers!B17="","",TopScorers!B17)</f>
        <v/>
      </c>
      <c r="P20" s="1" t="str">
        <f>IF(TopScorers!C17="","",TopScorers!C17)</f>
        <v/>
      </c>
      <c r="Q20" s="1" t="str">
        <f>IF(TopScorers!D17="","",TopScorers!D17)</f>
        <v/>
      </c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/>
      </c>
      <c r="P21" s="1" t="str">
        <f>IF(TopScorers!C18="","",TopScorers!C18)</f>
        <v/>
      </c>
      <c r="Q21" s="1" t="str">
        <f>IF(TopScorers!D18="","",TopScorers!D18)</f>
        <v/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/>
      </c>
      <c r="P22" s="5" t="str">
        <f>IF(TopScorers!C19="","",TopScorers!C19)</f>
        <v/>
      </c>
      <c r="Q22" s="1" t="str">
        <f>IF(TopScorers!D19="","",TopScorers!D19)</f>
        <v/>
      </c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3">
      <c r="A23" s="22" t="s">
        <v>361</v>
      </c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1"/>
      <c r="U23" s="1"/>
      <c r="V23" s="1"/>
      <c r="W23" s="1"/>
      <c r="X23" s="1"/>
      <c r="Y23" s="1"/>
      <c r="Z23" s="1"/>
    </row>
    <row r="24" spans="1:26" ht="28.8" customHeight="1" x14ac:dyDescent="0.3">
      <c r="A24" s="7" t="s">
        <v>362</v>
      </c>
      <c r="B24" s="7" t="s">
        <v>363</v>
      </c>
      <c r="C24" s="7" t="s">
        <v>347</v>
      </c>
      <c r="D24" s="7" t="s">
        <v>364</v>
      </c>
      <c r="E24" s="7" t="s">
        <v>365</v>
      </c>
      <c r="F24" s="7" t="s">
        <v>366</v>
      </c>
      <c r="G24" s="7" t="s">
        <v>367</v>
      </c>
      <c r="H24" s="7" t="s">
        <v>368</v>
      </c>
      <c r="I24" s="7" t="s">
        <v>369</v>
      </c>
      <c r="J24" s="7" t="s">
        <v>370</v>
      </c>
      <c r="K24" s="7" t="s">
        <v>371</v>
      </c>
      <c r="L24" s="7" t="s">
        <v>372</v>
      </c>
      <c r="M24" s="7" t="s">
        <v>373</v>
      </c>
      <c r="N24" s="7" t="s">
        <v>374</v>
      </c>
      <c r="O24" s="7" t="s">
        <v>375</v>
      </c>
      <c r="P24" s="7" t="s">
        <v>376</v>
      </c>
      <c r="Q24" s="7" t="s">
        <v>377</v>
      </c>
      <c r="R24" s="7" t="s">
        <v>378</v>
      </c>
      <c r="S24" s="7" t="s">
        <v>379</v>
      </c>
      <c r="T24" s="1"/>
      <c r="U24" s="1"/>
      <c r="V24" s="1"/>
      <c r="W24" s="1"/>
      <c r="X24" s="1"/>
      <c r="Y24" s="1"/>
      <c r="Z24" s="1"/>
    </row>
    <row r="25" spans="1:26" ht="28.8" customHeight="1" x14ac:dyDescent="0.3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>
        <f>IF(Matches!I2="","",Matches!I2)</f>
        <v>1</v>
      </c>
      <c r="J25" s="1">
        <f>IF(Matches!J2="","",Matches!J2)</f>
        <v>2</v>
      </c>
      <c r="K25" s="1" t="str">
        <f>IF(Matches!K2="","",Matches!K2)</f>
        <v/>
      </c>
      <c r="L25" s="1" t="str">
        <f>Matches!L2</f>
        <v>Complete</v>
      </c>
      <c r="M25" s="1">
        <f>IF(Matches!M2="","",Matches!M2)</f>
        <v>0</v>
      </c>
      <c r="N25" s="1">
        <f>IF(Matches!N2="","",Matches!N2)</f>
        <v>3</v>
      </c>
      <c r="O25" s="1" t="str">
        <f>IF(Matches!O2="","",Matches!O2)</f>
        <v>Boldò Glimt</v>
      </c>
      <c r="P25" s="1" t="str">
        <f>IF(Matches!P2="","",Matches!P2)</f>
        <v>All Blacks 1 - 2 Boldò Glimt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 x14ac:dyDescent="0.3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>
        <f>IF(Matches!I3="","",Matches!I3)</f>
        <v>0</v>
      </c>
      <c r="J26" s="1">
        <f>IF(Matches!J3="","",Matches!J3)</f>
        <v>1</v>
      </c>
      <c r="K26" s="1" t="str">
        <f>IF(Matches!K3="","",Matches!K3)</f>
        <v/>
      </c>
      <c r="L26" s="1" t="str">
        <f>Matches!L3</f>
        <v>Complete</v>
      </c>
      <c r="M26" s="1">
        <f>IF(Matches!M3="","",Matches!M3)</f>
        <v>0</v>
      </c>
      <c r="N26" s="1">
        <f>IF(Matches!N3="","",Matches!N3)</f>
        <v>3</v>
      </c>
      <c r="O26" s="1" t="str">
        <f>IF(Matches!O3="","",Matches!O3)</f>
        <v>Piadineria la Salsiccia</v>
      </c>
      <c r="P26" s="1" t="str">
        <f>IF(Matches!P3="","",Matches!P3)</f>
        <v>Coca Juniors 0 - 1 Piadineria la Salsiccia</v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 x14ac:dyDescent="0.3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>
        <f>IF(Matches!I4="","",Matches!I4)</f>
        <v>0</v>
      </c>
      <c r="J27" s="1">
        <f>IF(Matches!J4="","",Matches!J4)</f>
        <v>10</v>
      </c>
      <c r="K27" s="1" t="str">
        <f>IF(Matches!K4="","",Matches!K4)</f>
        <v/>
      </c>
      <c r="L27" s="1" t="str">
        <f>Matches!L4</f>
        <v>Complete</v>
      </c>
      <c r="M27" s="1">
        <f>IF(Matches!M4="","",Matches!M4)</f>
        <v>0</v>
      </c>
      <c r="N27" s="1">
        <f>IF(Matches!N4="","",Matches!N4)</f>
        <v>3</v>
      </c>
      <c r="O27" s="1" t="str">
        <f>IF(Matches!O4="","",Matches!O4)</f>
        <v>Vecchie Glorie Rovigo</v>
      </c>
      <c r="P27" s="1" t="str">
        <f>IF(Matches!P4="","",Matches!P4)</f>
        <v>Totani 0 - 10 Vecchie Glorie Rovigo</v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 x14ac:dyDescent="0.3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 t="str">
        <f>IF(Matches!I5="","",Matches!I5)</f>
        <v/>
      </c>
      <c r="J28" s="1" t="str">
        <f>IF(Matches!J5="","",Matches!J5)</f>
        <v/>
      </c>
      <c r="K28" s="1" t="str">
        <f>IF(Matches!K5="","",Matches!K5)</f>
        <v/>
      </c>
      <c r="L28" s="1" t="str">
        <f>Matches!L5</f>
        <v>Pending</v>
      </c>
      <c r="M28" s="1" t="str">
        <f>IF(Matches!M5="","",Matches!M5)</f>
        <v/>
      </c>
      <c r="N28" s="1" t="str">
        <f>IF(Matches!N5="","",Matches!N5)</f>
        <v/>
      </c>
      <c r="O28" s="1" t="str">
        <f>IF(Matches!O5="","",Matches!O5)</f>
        <v/>
      </c>
      <c r="P28" s="1" t="str">
        <f>IF(Matches!P5="","",Matches!P5)</f>
        <v/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 x14ac:dyDescent="0.3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 t="str">
        <f>IF(Matches!I6="","",Matches!I6)</f>
        <v/>
      </c>
      <c r="J29" s="1" t="str">
        <f>IF(Matches!J6="","",Matches!J6)</f>
        <v/>
      </c>
      <c r="K29" s="1" t="str">
        <f>IF(Matches!K6="","",Matches!K6)</f>
        <v/>
      </c>
      <c r="L29" s="1" t="str">
        <f>Matches!L6</f>
        <v>Pending</v>
      </c>
      <c r="M29" s="1" t="str">
        <f>IF(Matches!M6="","",Matches!M6)</f>
        <v/>
      </c>
      <c r="N29" s="1" t="str">
        <f>IF(Matches!N6="","",Matches!N6)</f>
        <v/>
      </c>
      <c r="O29" s="1" t="str">
        <f>IF(Matches!O6="","",Matches!O6)</f>
        <v/>
      </c>
      <c r="P29" s="1" t="str">
        <f>IF(Matches!P6="","",Matches!P6)</f>
        <v/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 x14ac:dyDescent="0.3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 t="str">
        <f>IF(Matches!I7="","",Matches!I7)</f>
        <v/>
      </c>
      <c r="J30" s="1" t="str">
        <f>IF(Matches!J7="","",Matches!J7)</f>
        <v/>
      </c>
      <c r="K30" s="1" t="str">
        <f>IF(Matches!K7="","",Matches!K7)</f>
        <v/>
      </c>
      <c r="L30" s="1" t="str">
        <f>Matches!L7</f>
        <v>Pending</v>
      </c>
      <c r="M30" s="1" t="str">
        <f>IF(Matches!M7="","",Matches!M7)</f>
        <v/>
      </c>
      <c r="N30" s="1" t="str">
        <f>IF(Matches!N7="","",Matches!N7)</f>
        <v/>
      </c>
      <c r="O30" s="1" t="str">
        <f>IF(Matches!O7="","",Matches!O7)</f>
        <v/>
      </c>
      <c r="P30" s="1" t="str">
        <f>IF(Matches!P7="","",Matches!P7)</f>
        <v/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 x14ac:dyDescent="0.3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 t="str">
        <f>IF(Matches!I8="","",Matches!I8)</f>
        <v/>
      </c>
      <c r="J31" s="1" t="str">
        <f>IF(Matches!J8="","",Matches!J8)</f>
        <v/>
      </c>
      <c r="K31" s="1" t="str">
        <f>IF(Matches!K8="","",Matches!K8)</f>
        <v/>
      </c>
      <c r="L31" s="1" t="str">
        <f>Matches!L8</f>
        <v>Pending</v>
      </c>
      <c r="M31" s="1" t="str">
        <f>IF(Matches!M8="","",Matches!M8)</f>
        <v/>
      </c>
      <c r="N31" s="1" t="str">
        <f>IF(Matches!N8="","",Matches!N8)</f>
        <v/>
      </c>
      <c r="O31" s="1" t="str">
        <f>IF(Matches!O8="","",Matches!O8)</f>
        <v/>
      </c>
      <c r="P31" s="1" t="str">
        <f>IF(Matches!P8="","",Matches!P8)</f>
        <v/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 x14ac:dyDescent="0.3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 t="str">
        <f>IF(Matches!I9="","",Matches!I9)</f>
        <v/>
      </c>
      <c r="J32" s="1" t="str">
        <f>IF(Matches!J9="","",Matches!J9)</f>
        <v/>
      </c>
      <c r="K32" s="1" t="str">
        <f>IF(Matches!K9="","",Matches!K9)</f>
        <v/>
      </c>
      <c r="L32" s="1" t="str">
        <f>Matches!L9</f>
        <v>Pending</v>
      </c>
      <c r="M32" s="1" t="str">
        <f>IF(Matches!M9="","",Matches!M9)</f>
        <v/>
      </c>
      <c r="N32" s="1" t="str">
        <f>IF(Matches!N9="","",Matches!N9)</f>
        <v/>
      </c>
      <c r="O32" s="1" t="str">
        <f>IF(Matches!O9="","",Matches!O9)</f>
        <v/>
      </c>
      <c r="P32" s="1" t="str">
        <f>IF(Matches!P9="","",Matches!P9)</f>
        <v/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 x14ac:dyDescent="0.3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 t="str">
        <f>IF(Matches!I10="","",Matches!I10)</f>
        <v/>
      </c>
      <c r="J33" s="1" t="str">
        <f>IF(Matches!J10="","",Matches!J10)</f>
        <v/>
      </c>
      <c r="K33" s="1" t="str">
        <f>IF(Matches!K10="","",Matches!K10)</f>
        <v/>
      </c>
      <c r="L33" s="1" t="str">
        <f>Matches!L10</f>
        <v>Pending</v>
      </c>
      <c r="M33" s="1" t="str">
        <f>IF(Matches!M10="","",Matches!M10)</f>
        <v/>
      </c>
      <c r="N33" s="1" t="str">
        <f>IF(Matches!N10="","",Matches!N10)</f>
        <v/>
      </c>
      <c r="O33" s="1" t="str">
        <f>IF(Matches!O10="","",Matches!O10)</f>
        <v/>
      </c>
      <c r="P33" s="1" t="str">
        <f>IF(Matches!P10="","",Matches!P10)</f>
        <v/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 x14ac:dyDescent="0.3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 t="str">
        <f>IF(Matches!I11="","",Matches!I11)</f>
        <v/>
      </c>
      <c r="J34" s="1" t="str">
        <f>IF(Matches!J11="","",Matches!J11)</f>
        <v/>
      </c>
      <c r="K34" s="1" t="str">
        <f>IF(Matches!K11="","",Matches!K11)</f>
        <v/>
      </c>
      <c r="L34" s="1" t="str">
        <f>Matches!L11</f>
        <v>Pending</v>
      </c>
      <c r="M34" s="1" t="str">
        <f>IF(Matches!M11="","",Matches!M11)</f>
        <v/>
      </c>
      <c r="N34" s="1" t="str">
        <f>IF(Matches!N11="","",Matches!N11)</f>
        <v/>
      </c>
      <c r="O34" s="1" t="str">
        <f>IF(Matches!O11="","",Matches!O11)</f>
        <v/>
      </c>
      <c r="P34" s="1" t="str">
        <f>IF(Matches!P11="","",Matches!P11)</f>
        <v/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 t="str">
        <f>IF(Matches!I13="","",Matches!I13)</f>
        <v/>
      </c>
      <c r="J36" s="1" t="str">
        <f>IF(Matches!J13="","",Matches!J13)</f>
        <v/>
      </c>
      <c r="K36" s="1" t="str">
        <f>IF(Matches!K13="","",Matches!K13)</f>
        <v/>
      </c>
      <c r="L36" s="1" t="str">
        <f>Matches!L13</f>
        <v>Pending</v>
      </c>
      <c r="M36" s="1" t="str">
        <f>IF(Matches!M13="","",Matches!M13)</f>
        <v/>
      </c>
      <c r="N36" s="1" t="str">
        <f>IF(Matches!N13="","",Matches!N13)</f>
        <v/>
      </c>
      <c r="O36" s="1" t="str">
        <f>IF(Matches!O13="","",Matches!O13)</f>
        <v/>
      </c>
      <c r="P36" s="1" t="str">
        <f>IF(Matches!P13="","",Matches!P13)</f>
        <v/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3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3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3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3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3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3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3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3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3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0.69930555555555551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3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3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3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3">
      <c r="A51" s="22" t="s">
        <v>380</v>
      </c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1">
        <f>IF(TopScorers!A48="","",TopScorers!A48)</f>
        <v>47</v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 x14ac:dyDescent="0.3">
      <c r="A52" s="7" t="s">
        <v>362</v>
      </c>
      <c r="B52" s="7" t="s">
        <v>363</v>
      </c>
      <c r="C52" s="7" t="s">
        <v>347</v>
      </c>
      <c r="D52" s="7" t="s">
        <v>364</v>
      </c>
      <c r="E52" s="7" t="s">
        <v>365</v>
      </c>
      <c r="F52" s="7" t="s">
        <v>366</v>
      </c>
      <c r="G52" s="1" t="s">
        <v>367</v>
      </c>
      <c r="H52" s="1" t="s">
        <v>368</v>
      </c>
      <c r="I52" s="1" t="s">
        <v>369</v>
      </c>
      <c r="J52" s="1" t="s">
        <v>370</v>
      </c>
      <c r="K52" s="1" t="s">
        <v>371</v>
      </c>
      <c r="L52" s="1" t="s">
        <v>375</v>
      </c>
      <c r="M52" s="1" t="s">
        <v>376</v>
      </c>
      <c r="N52" s="1">
        <f>IF(TopScorers!A49="","",TopScorers!A49)</f>
        <v>48</v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 x14ac:dyDescent="0.3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0.74027777777777781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3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3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3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 x14ac:dyDescent="0.3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3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3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0.4548611111111111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3">
      <c r="A61" s="22" t="s">
        <v>381</v>
      </c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 x14ac:dyDescent="0.3">
      <c r="A62" s="7" t="s">
        <v>362</v>
      </c>
      <c r="B62" s="7" t="s">
        <v>382</v>
      </c>
      <c r="C62" s="7" t="s">
        <v>383</v>
      </c>
      <c r="D62" s="7" t="s">
        <v>384</v>
      </c>
      <c r="E62" s="7" t="s">
        <v>359</v>
      </c>
      <c r="F62" s="7" t="s">
        <v>385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3">
      <c r="A63" s="1" t="str">
        <f>IF(Goals!A2="","",Goals!A2)</f>
        <v>M01</v>
      </c>
      <c r="B63" s="1" t="str">
        <f>IF(Goals!A2="","",Goals!B2)</f>
        <v>All Blacks</v>
      </c>
      <c r="C63" s="1">
        <f>IF(Goals!A2="","",Goals!C2)</f>
        <v>1</v>
      </c>
      <c r="D63" s="1" t="str">
        <f>IF(Goals!A2="","",Goals!D2)</f>
        <v>Goal</v>
      </c>
      <c r="E63" s="1" t="str">
        <f>IF(Goals!A2="","",Goals!E2)</f>
        <v>5 - NICOLA BRESCIANI</v>
      </c>
      <c r="F63" s="1" t="str">
        <f>IF(Goals!A2="","",Goals!F2)</f>
        <v>All Blacks</v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3">
      <c r="A64" s="1" t="str">
        <f>IF(Goals!A3="","",Goals!A3)</f>
        <v>M01</v>
      </c>
      <c r="B64" s="1" t="str">
        <f>IF(Goals!A3="","",Goals!B3)</f>
        <v>Boldò Glimt</v>
      </c>
      <c r="C64" s="1">
        <f>IF(Goals!A3="","",Goals!C3)</f>
        <v>1</v>
      </c>
      <c r="D64" s="1" t="str">
        <f>IF(Goals!A3="","",Goals!D3)</f>
        <v>Goal</v>
      </c>
      <c r="E64" s="1" t="str">
        <f>IF(Goals!A3="","",Goals!E3)</f>
        <v>21 - LUCA CECCONELLO</v>
      </c>
      <c r="F64" s="1" t="str">
        <f>IF(Goals!A3="","",Goals!F3)</f>
        <v>Boldò Glimt</v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 x14ac:dyDescent="0.3">
      <c r="A65" s="1" t="str">
        <f>IF(Goals!A4="","",Goals!A4)</f>
        <v>M01</v>
      </c>
      <c r="B65" s="1" t="str">
        <f>IF(Goals!A4="","",Goals!B4)</f>
        <v>Boldò Glimt</v>
      </c>
      <c r="C65" s="1">
        <f>IF(Goals!A4="","",Goals!C4)</f>
        <v>2</v>
      </c>
      <c r="D65" s="1" t="str">
        <f>IF(Goals!A4="","",Goals!D4)</f>
        <v>Goal</v>
      </c>
      <c r="E65" s="1" t="str">
        <f>IF(Goals!A4="","",Goals!E4)</f>
        <v>21 - LUCA CECCONELLO</v>
      </c>
      <c r="F65" s="1" t="str">
        <f>IF(Goals!A4="","",Goals!F4)</f>
        <v>Boldò Glimt</v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 x14ac:dyDescent="0.3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 x14ac:dyDescent="0.3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 x14ac:dyDescent="0.3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 x14ac:dyDescent="0.3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 x14ac:dyDescent="0.3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3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3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3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3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 x14ac:dyDescent="0.3">
      <c r="A75" s="1" t="str">
        <f>IF(Goals!A14="","",Goals!A14)</f>
        <v>M02</v>
      </c>
      <c r="B75" s="1" t="str">
        <f>IF(Goals!A14="","",Goals!B14)</f>
        <v>Piadineria la Salsiccia</v>
      </c>
      <c r="C75" s="1">
        <f>IF(Goals!A14="","",Goals!C14)</f>
        <v>1</v>
      </c>
      <c r="D75" s="1" t="str">
        <f>IF(Goals!A14="","",Goals!D14)</f>
        <v>Goal</v>
      </c>
      <c r="E75" s="1" t="str">
        <f>IF(Goals!A14="","",Goals!E14)</f>
        <v>8 - MATTIA AYRTON MARIOTTO</v>
      </c>
      <c r="F75" s="1" t="str">
        <f>IF(Goals!A14="","",Goals!F14)</f>
        <v>Piadineria la Salsiccia</v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 x14ac:dyDescent="0.3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 x14ac:dyDescent="0.3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 x14ac:dyDescent="0.3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 x14ac:dyDescent="0.3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 x14ac:dyDescent="0.3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3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3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3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3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3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3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 x14ac:dyDescent="0.3">
      <c r="A87" s="1" t="str">
        <f>IF(Goals!A26="","",Goals!A26)</f>
        <v>M03</v>
      </c>
      <c r="B87" s="1" t="str">
        <f>IF(Goals!A26="","",Goals!B26)</f>
        <v>Vecchie Glorie Rovigo</v>
      </c>
      <c r="C87" s="1">
        <f>IF(Goals!A26="","",Goals!C26)</f>
        <v>1</v>
      </c>
      <c r="D87" s="1" t="str">
        <f>IF(Goals!A26="","",Goals!D26)</f>
        <v>Goal</v>
      </c>
      <c r="E87" s="1" t="str">
        <f>IF(Goals!A26="","",Goals!E26)</f>
        <v>3 - MATTEO ZAMBERLAN</v>
      </c>
      <c r="F87" s="1" t="str">
        <f>IF(Goals!A26="","",Goals!F26)</f>
        <v>Vecchie Glorie Rovigo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3">
      <c r="A88" s="1" t="str">
        <f>IF(Goals!A27="","",Goals!A27)</f>
        <v>M03</v>
      </c>
      <c r="B88" s="1" t="str">
        <f>IF(Goals!A27="","",Goals!B27)</f>
        <v>Vecchie Glorie Rovigo</v>
      </c>
      <c r="C88" s="1">
        <f>IF(Goals!A27="","",Goals!C27)</f>
        <v>2</v>
      </c>
      <c r="D88" s="1" t="str">
        <f>IF(Goals!A27="","",Goals!D27)</f>
        <v>Goal</v>
      </c>
      <c r="E88" s="1" t="str">
        <f>IF(Goals!A27="","",Goals!E27)</f>
        <v>3 - MATTEO ZAMBERLAN</v>
      </c>
      <c r="F88" s="1" t="str">
        <f>IF(Goals!A27="","",Goals!F27)</f>
        <v>Vecchie Glorie Rovigo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 x14ac:dyDescent="0.3">
      <c r="A89" s="1" t="str">
        <f>IF(Goals!A28="","",Goals!A28)</f>
        <v>M03</v>
      </c>
      <c r="B89" s="1" t="str">
        <f>IF(Goals!A28="","",Goals!B28)</f>
        <v>Vecchie Glorie Rovigo</v>
      </c>
      <c r="C89" s="1">
        <f>IF(Goals!A28="","",Goals!C28)</f>
        <v>3</v>
      </c>
      <c r="D89" s="1" t="str">
        <f>IF(Goals!A28="","",Goals!D28)</f>
        <v>Goal</v>
      </c>
      <c r="E89" s="1" t="str">
        <f>IF(Goals!A28="","",Goals!E28)</f>
        <v>3 - MATTEO ZAMBERLAN</v>
      </c>
      <c r="F89" s="1" t="str">
        <f>IF(Goals!A28="","",Goals!F28)</f>
        <v>Vecchie Glorie Rovigo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 x14ac:dyDescent="0.3">
      <c r="A90" s="1" t="str">
        <f>IF(Goals!A29="","",Goals!A29)</f>
        <v>M03</v>
      </c>
      <c r="B90" s="1" t="str">
        <f>IF(Goals!A29="","",Goals!B29)</f>
        <v>Vecchie Glorie Rovigo</v>
      </c>
      <c r="C90" s="1">
        <f>IF(Goals!A29="","",Goals!C29)</f>
        <v>4</v>
      </c>
      <c r="D90" s="1" t="str">
        <f>IF(Goals!A29="","",Goals!D29)</f>
        <v>Goal</v>
      </c>
      <c r="E90" s="1" t="str">
        <f>IF(Goals!A29="","",Goals!E29)</f>
        <v>10 - DAVIDE ZAGHI (C)</v>
      </c>
      <c r="F90" s="1" t="str">
        <f>IF(Goals!A29="","",Goals!F29)</f>
        <v>Vecchie Glorie Rovigo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 x14ac:dyDescent="0.3">
      <c r="A91" s="1" t="str">
        <f>IF(Goals!A30="","",Goals!A30)</f>
        <v>M03</v>
      </c>
      <c r="B91" s="1" t="str">
        <f>IF(Goals!A30="","",Goals!B30)</f>
        <v>Vecchie Glorie Rovigo</v>
      </c>
      <c r="C91" s="1">
        <f>IF(Goals!A30="","",Goals!C30)</f>
        <v>5</v>
      </c>
      <c r="D91" s="1" t="str">
        <f>IF(Goals!A30="","",Goals!D30)</f>
        <v>Goal</v>
      </c>
      <c r="E91" s="1" t="str">
        <f>IF(Goals!A30="","",Goals!E30)</f>
        <v>10 - DAVIDE ZAGHI (C)</v>
      </c>
      <c r="F91" s="1" t="str">
        <f>IF(Goals!A30="","",Goals!F30)</f>
        <v>Vecchie Glorie Rovigo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 x14ac:dyDescent="0.3">
      <c r="A92" s="1" t="str">
        <f>IF(Goals!A31="","",Goals!A31)</f>
        <v>M03</v>
      </c>
      <c r="B92" s="1" t="str">
        <f>IF(Goals!A31="","",Goals!B31)</f>
        <v>Vecchie Glorie Rovigo</v>
      </c>
      <c r="C92" s="1">
        <f>IF(Goals!A31="","",Goals!C31)</f>
        <v>6</v>
      </c>
      <c r="D92" s="1" t="str">
        <f>IF(Goals!A31="","",Goals!D31)</f>
        <v>Goal</v>
      </c>
      <c r="E92" s="1" t="str">
        <f>IF(Goals!A31="","",Goals!E31)</f>
        <v>20 - MATTEO DALL'ARA</v>
      </c>
      <c r="F92" s="1" t="str">
        <f>IF(Goals!A31="","",Goals!F31)</f>
        <v>Vecchie Glorie Rovigo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 x14ac:dyDescent="0.3">
      <c r="A93" s="1" t="str">
        <f>IF(Goals!A32="","",Goals!A32)</f>
        <v>M03</v>
      </c>
      <c r="B93" s="1" t="str">
        <f>IF(Goals!A32="","",Goals!B32)</f>
        <v>Vecchie Glorie Rovigo</v>
      </c>
      <c r="C93" s="1">
        <f>IF(Goals!A32="","",Goals!C32)</f>
        <v>7</v>
      </c>
      <c r="D93" s="1" t="str">
        <f>IF(Goals!A32="","",Goals!D32)</f>
        <v>Goal</v>
      </c>
      <c r="E93" s="1" t="str">
        <f>IF(Goals!A32="","",Goals!E32)</f>
        <v>5 - JACOPO VOLTOLINA</v>
      </c>
      <c r="F93" s="1" t="str">
        <f>IF(Goals!A32="","",Goals!F32)</f>
        <v>Vecchie Glorie Rovigo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3">
      <c r="A94" s="1" t="str">
        <f>IF(Goals!A33="","",Goals!A33)</f>
        <v>M03</v>
      </c>
      <c r="B94" s="1" t="str">
        <f>IF(Goals!A33="","",Goals!B33)</f>
        <v>Vecchie Glorie Rovigo</v>
      </c>
      <c r="C94" s="1">
        <f>IF(Goals!A33="","",Goals!C33)</f>
        <v>8</v>
      </c>
      <c r="D94" s="1" t="str">
        <f>IF(Goals!A33="","",Goals!D33)</f>
        <v>Goal</v>
      </c>
      <c r="E94" s="1" t="str">
        <f>IF(Goals!A33="","",Goals!E33)</f>
        <v>8 - LEONARDO FUSCO</v>
      </c>
      <c r="F94" s="1" t="str">
        <f>IF(Goals!A33="","",Goals!F33)</f>
        <v>Vecchie Glorie Rovigo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3">
      <c r="A95" s="1" t="str">
        <f>IF(Goals!A34="","",Goals!A34)</f>
        <v>M03</v>
      </c>
      <c r="B95" s="1" t="str">
        <f>IF(Goals!A34="","",Goals!B34)</f>
        <v>Vecchie Glorie Rovigo</v>
      </c>
      <c r="C95" s="1">
        <f>IF(Goals!A34="","",Goals!C34)</f>
        <v>9</v>
      </c>
      <c r="D95" s="1" t="str">
        <f>IF(Goals!A34="","",Goals!D34)</f>
        <v>Goal</v>
      </c>
      <c r="E95" s="1" t="str">
        <f>IF(Goals!A34="","",Goals!E34)</f>
        <v>17 - DOMENICO IACOVINO</v>
      </c>
      <c r="F95" s="1" t="str">
        <f>IF(Goals!A34="","",Goals!F34)</f>
        <v>Vecchie Glorie Rovigo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3">
      <c r="A96" s="1" t="str">
        <f>IF(Goals!A35="","",Goals!A35)</f>
        <v>M03</v>
      </c>
      <c r="B96" s="1" t="str">
        <f>IF(Goals!A35="","",Goals!B35)</f>
        <v>Vecchie Glorie Rovigo</v>
      </c>
      <c r="C96" s="1">
        <f>IF(Goals!A35="","",Goals!C35)</f>
        <v>10</v>
      </c>
      <c r="D96" s="1" t="str">
        <f>IF(Goals!A35="","",Goals!D35)</f>
        <v>Goal</v>
      </c>
      <c r="E96" s="1" t="str">
        <f>IF(Goals!A35="","",Goals!E35)</f>
        <v>7 - DENIS TIMPANARO</v>
      </c>
      <c r="F96" s="1" t="str">
        <f>IF(Goals!A35="","",Goals!F35)</f>
        <v>Vecchie Glorie Rovigo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3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3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 x14ac:dyDescent="0.3">
      <c r="A99" s="1" t="str">
        <f>IF(Goals!A38="","",Goals!A38)</f>
        <v/>
      </c>
      <c r="B99" s="1" t="str">
        <f>IF(Goals!A38="","",Goals!B38)</f>
        <v/>
      </c>
      <c r="C99" s="1" t="str">
        <f>IF(Goals!A38="","",Goals!C38)</f>
        <v/>
      </c>
      <c r="D99" s="1" t="str">
        <f>IF(Goals!A38="","",Goals!D38)</f>
        <v/>
      </c>
      <c r="E99" s="1" t="str">
        <f>IF(Goals!A38="","",Goals!E38)</f>
        <v/>
      </c>
      <c r="F99" s="1" t="str">
        <f>IF(Goals!A38="","",Goals!F38)</f>
        <v/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 x14ac:dyDescent="0.3">
      <c r="A100" s="1" t="str">
        <f>IF(Goals!A39="","",Goals!A39)</f>
        <v/>
      </c>
      <c r="B100" s="1" t="str">
        <f>IF(Goals!A39="","",Goals!B39)</f>
        <v/>
      </c>
      <c r="C100" s="1" t="str">
        <f>IF(Goals!A39="","",Goals!C39)</f>
        <v/>
      </c>
      <c r="D100" s="1" t="str">
        <f>IF(Goals!A39="","",Goals!D39)</f>
        <v/>
      </c>
      <c r="E100" s="1" t="str">
        <f>IF(Goals!A39="","",Goals!E39)</f>
        <v/>
      </c>
      <c r="F100" s="1" t="str">
        <f>IF(Goals!A39="","",Goals!F39)</f>
        <v/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 x14ac:dyDescent="0.3">
      <c r="A101" s="1" t="str">
        <f>IF(Goals!A40="","",Goals!A40)</f>
        <v/>
      </c>
      <c r="B101" s="1" t="str">
        <f>IF(Goals!A40="","",Goals!B40)</f>
        <v/>
      </c>
      <c r="C101" s="1" t="str">
        <f>IF(Goals!A40="","",Goals!C40)</f>
        <v/>
      </c>
      <c r="D101" s="1" t="str">
        <f>IF(Goals!A40="","",Goals!D40)</f>
        <v/>
      </c>
      <c r="E101" s="1" t="str">
        <f>IF(Goals!A40="","",Goals!E40)</f>
        <v/>
      </c>
      <c r="F101" s="1" t="str">
        <f>IF(Goals!A40="","",Goals!F40)</f>
        <v/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 x14ac:dyDescent="0.3">
      <c r="A102" s="1" t="str">
        <f>IF(Goals!A41="","",Goals!A41)</f>
        <v/>
      </c>
      <c r="B102" s="1" t="str">
        <f>IF(Goals!A41="","",Goals!B41)</f>
        <v/>
      </c>
      <c r="C102" s="1" t="str">
        <f>IF(Goals!A41="","",Goals!C41)</f>
        <v/>
      </c>
      <c r="D102" s="1" t="str">
        <f>IF(Goals!A41="","",Goals!D41)</f>
        <v/>
      </c>
      <c r="E102" s="1" t="str">
        <f>IF(Goals!A41="","",Goals!E41)</f>
        <v/>
      </c>
      <c r="F102" s="1" t="str">
        <f>IF(Goals!A41="","",Goals!F41)</f>
        <v/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 x14ac:dyDescent="0.3">
      <c r="A103" s="1" t="str">
        <f>IF(Goals!A42="","",Goals!A42)</f>
        <v/>
      </c>
      <c r="B103" s="1" t="str">
        <f>IF(Goals!A42="","",Goals!B42)</f>
        <v/>
      </c>
      <c r="C103" s="1" t="str">
        <f>IF(Goals!A42="","",Goals!C42)</f>
        <v/>
      </c>
      <c r="D103" s="1" t="str">
        <f>IF(Goals!A42="","",Goals!D42)</f>
        <v/>
      </c>
      <c r="E103" s="1" t="str">
        <f>IF(Goals!A42="","",Goals!E42)</f>
        <v/>
      </c>
      <c r="F103" s="1" t="str">
        <f>IF(Goals!A42="","",Goals!F42)</f>
        <v/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 x14ac:dyDescent="0.3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 x14ac:dyDescent="0.3">
      <c r="A111" s="1" t="str">
        <f>IF(Goals!A50="","",Goals!A50)</f>
        <v/>
      </c>
      <c r="B111" s="1" t="str">
        <f>IF(Goals!A50="","",Goals!B50)</f>
        <v/>
      </c>
      <c r="C111" s="1" t="str">
        <f>IF(Goals!A50="","",Goals!C50)</f>
        <v/>
      </c>
      <c r="D111" s="1" t="str">
        <f>IF(Goals!A50="","",Goals!D50)</f>
        <v/>
      </c>
      <c r="E111" s="1" t="str">
        <f>IF(Goals!A50="","",Goals!E50)</f>
        <v/>
      </c>
      <c r="F111" s="1" t="str">
        <f>IF(Goals!A50="","",Goals!F50)</f>
        <v/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 x14ac:dyDescent="0.3">
      <c r="A112" s="1" t="str">
        <f>IF(Goals!A51="","",Goals!A51)</f>
        <v/>
      </c>
      <c r="B112" s="1" t="str">
        <f>IF(Goals!A51="","",Goals!B51)</f>
        <v/>
      </c>
      <c r="C112" s="1" t="str">
        <f>IF(Goals!A51="","",Goals!C51)</f>
        <v/>
      </c>
      <c r="D112" s="1" t="str">
        <f>IF(Goals!A51="","",Goals!D51)</f>
        <v/>
      </c>
      <c r="E112" s="1" t="str">
        <f>IF(Goals!A51="","",Goals!E51)</f>
        <v/>
      </c>
      <c r="F112" s="1" t="str">
        <f>IF(Goals!A51="","",Goals!F51)</f>
        <v/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 x14ac:dyDescent="0.3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 x14ac:dyDescent="0.3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 x14ac:dyDescent="0.3">
      <c r="A123" s="1" t="str">
        <f>IF(Goals!A62="","",Goals!A62)</f>
        <v/>
      </c>
      <c r="B123" s="1" t="str">
        <f>IF(Goals!A62="","",Goals!B62)</f>
        <v/>
      </c>
      <c r="C123" s="1" t="str">
        <f>IF(Goals!A62="","",Goals!C62)</f>
        <v/>
      </c>
      <c r="D123" s="1" t="str">
        <f>IF(Goals!A62="","",Goals!D62)</f>
        <v/>
      </c>
      <c r="E123" s="1" t="str">
        <f>IF(Goals!A62="","",Goals!E62)</f>
        <v/>
      </c>
      <c r="F123" s="1" t="str">
        <f>IF(Goals!A62="","",Goals!F62)</f>
        <v/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 t="str">
        <f>IF(Goals!A63="","",Goals!A63)</f>
        <v/>
      </c>
      <c r="B124" s="1" t="str">
        <f>IF(Goals!A63="","",Goals!B63)</f>
        <v/>
      </c>
      <c r="C124" s="1" t="str">
        <f>IF(Goals!A63="","",Goals!C63)</f>
        <v/>
      </c>
      <c r="D124" s="1" t="str">
        <f>IF(Goals!A63="","",Goals!D63)</f>
        <v/>
      </c>
      <c r="E124" s="1" t="str">
        <f>IF(Goals!A63="","",Goals!E63)</f>
        <v/>
      </c>
      <c r="F124" s="1" t="str">
        <f>IF(Goals!A63="","",Goals!F63)</f>
        <v/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 t="str">
        <f>IF(Goals!A64="","",Goals!A64)</f>
        <v/>
      </c>
      <c r="B125" s="1" t="str">
        <f>IF(Goals!A64="","",Goals!B64)</f>
        <v/>
      </c>
      <c r="C125" s="1" t="str">
        <f>IF(Goals!A64="","",Goals!C64)</f>
        <v/>
      </c>
      <c r="D125" s="1" t="str">
        <f>IF(Goals!A64="","",Goals!D64)</f>
        <v/>
      </c>
      <c r="E125" s="1" t="str">
        <f>IF(Goals!A64="","",Goals!E64)</f>
        <v/>
      </c>
      <c r="F125" s="1" t="str">
        <f>IF(Goals!A64="","",Goals!F64)</f>
        <v/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 t="str">
        <f>IF(Goals!A65="","",Goals!A65)</f>
        <v/>
      </c>
      <c r="B126" s="1" t="str">
        <f>IF(Goals!A65="","",Goals!B65)</f>
        <v/>
      </c>
      <c r="C126" s="1" t="str">
        <f>IF(Goals!A65="","",Goals!C65)</f>
        <v/>
      </c>
      <c r="D126" s="1" t="str">
        <f>IF(Goals!A65="","",Goals!D65)</f>
        <v/>
      </c>
      <c r="E126" s="1" t="str">
        <f>IF(Goals!A65="","",Goals!E65)</f>
        <v/>
      </c>
      <c r="F126" s="1" t="str">
        <f>IF(Goals!A65="","",Goals!F65)</f>
        <v/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 t="str">
        <f>IF(Goals!A66="","",Goals!A66)</f>
        <v/>
      </c>
      <c r="B127" s="1" t="str">
        <f>IF(Goals!A66="","",Goals!B66)</f>
        <v/>
      </c>
      <c r="C127" s="1" t="str">
        <f>IF(Goals!A66="","",Goals!C66)</f>
        <v/>
      </c>
      <c r="D127" s="1" t="str">
        <f>IF(Goals!A66="","",Goals!D66)</f>
        <v/>
      </c>
      <c r="E127" s="1" t="str">
        <f>IF(Goals!A66="","",Goals!E66)</f>
        <v/>
      </c>
      <c r="F127" s="1" t="str">
        <f>IF(Goals!A66="","",Goals!F66)</f>
        <v/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 t="str">
        <f>IF(Goals!A74="","",Goals!A74)</f>
        <v/>
      </c>
      <c r="B135" s="1" t="str">
        <f>IF(Goals!A74="","",Goals!B74)</f>
        <v/>
      </c>
      <c r="C135" s="1" t="str">
        <f>IF(Goals!A74="","",Goals!C74)</f>
        <v/>
      </c>
      <c r="D135" s="1" t="str">
        <f>IF(Goals!A74="","",Goals!D74)</f>
        <v/>
      </c>
      <c r="E135" s="1" t="str">
        <f>IF(Goals!A74="","",Goals!E74)</f>
        <v/>
      </c>
      <c r="F135" s="1" t="str">
        <f>IF(Goals!A74="","",Goals!F74)</f>
        <v/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 t="str">
        <f>IF(Goals!A75="","",Goals!A75)</f>
        <v/>
      </c>
      <c r="B136" s="1" t="str">
        <f>IF(Goals!A75="","",Goals!B75)</f>
        <v/>
      </c>
      <c r="C136" s="1" t="str">
        <f>IF(Goals!A75="","",Goals!C75)</f>
        <v/>
      </c>
      <c r="D136" s="1" t="str">
        <f>IF(Goals!A75="","",Goals!D75)</f>
        <v/>
      </c>
      <c r="E136" s="1" t="str">
        <f>IF(Goals!A75="","",Goals!E75)</f>
        <v/>
      </c>
      <c r="F136" s="1" t="str">
        <f>IF(Goals!A75="","",Goals!F75)</f>
        <v/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 x14ac:dyDescent="0.3">
      <c r="A137" s="1" t="str">
        <f>IF(Goals!A76="","",Goals!A76)</f>
        <v/>
      </c>
      <c r="B137" s="1" t="str">
        <f>IF(Goals!A76="","",Goals!B76)</f>
        <v/>
      </c>
      <c r="C137" s="1" t="str">
        <f>IF(Goals!A76="","",Goals!C76)</f>
        <v/>
      </c>
      <c r="D137" s="1" t="str">
        <f>IF(Goals!A76="","",Goals!D76)</f>
        <v/>
      </c>
      <c r="E137" s="1" t="str">
        <f>IF(Goals!A76="","",Goals!E76)</f>
        <v/>
      </c>
      <c r="F137" s="1" t="str">
        <f>IF(Goals!A76="","",Goals!F76)</f>
        <v/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 x14ac:dyDescent="0.3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 x14ac:dyDescent="0.3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 x14ac:dyDescent="0.3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 x14ac:dyDescent="0.3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 x14ac:dyDescent="0.3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 x14ac:dyDescent="0.3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 x14ac:dyDescent="0.3">
      <c r="A147" s="1" t="str">
        <f>IF(Goals!A86="","",Goals!A86)</f>
        <v/>
      </c>
      <c r="B147" s="1" t="str">
        <f>IF(Goals!A86="","",Goals!B86)</f>
        <v/>
      </c>
      <c r="C147" s="1" t="str">
        <f>IF(Goals!A86="","",Goals!C86)</f>
        <v/>
      </c>
      <c r="D147" s="1" t="str">
        <f>IF(Goals!A86="","",Goals!D86)</f>
        <v/>
      </c>
      <c r="E147" s="1" t="str">
        <f>IF(Goals!A86="","",Goals!E86)</f>
        <v/>
      </c>
      <c r="F147" s="1" t="str">
        <f>IF(Goals!A86="","",Goals!F86)</f>
        <v/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 x14ac:dyDescent="0.3">
      <c r="A148" s="1" t="str">
        <f>IF(Goals!A87="","",Goals!A87)</f>
        <v/>
      </c>
      <c r="B148" s="1" t="str">
        <f>IF(Goals!A87="","",Goals!B87)</f>
        <v/>
      </c>
      <c r="C148" s="1" t="str">
        <f>IF(Goals!A87="","",Goals!C87)</f>
        <v/>
      </c>
      <c r="D148" s="1" t="str">
        <f>IF(Goals!A87="","",Goals!D87)</f>
        <v/>
      </c>
      <c r="E148" s="1" t="str">
        <f>IF(Goals!A87="","",Goals!E87)</f>
        <v/>
      </c>
      <c r="F148" s="1" t="str">
        <f>IF(Goals!A87="","",Goals!F87)</f>
        <v/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 x14ac:dyDescent="0.3">
      <c r="A149" s="1" t="str">
        <f>IF(Goals!A88="","",Goals!A88)</f>
        <v/>
      </c>
      <c r="B149" s="1" t="str">
        <f>IF(Goals!A88="","",Goals!B88)</f>
        <v/>
      </c>
      <c r="C149" s="1" t="str">
        <f>IF(Goals!A88="","",Goals!C88)</f>
        <v/>
      </c>
      <c r="D149" s="1" t="str">
        <f>IF(Goals!A88="","",Goals!D88)</f>
        <v/>
      </c>
      <c r="E149" s="1" t="str">
        <f>IF(Goals!A88="","",Goals!E88)</f>
        <v/>
      </c>
      <c r="F149" s="1" t="str">
        <f>IF(Goals!A88="","",Goals!F88)</f>
        <v/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 x14ac:dyDescent="0.3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 x14ac:dyDescent="0.3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 x14ac:dyDescent="0.3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 x14ac:dyDescent="0.3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 x14ac:dyDescent="0.3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 x14ac:dyDescent="0.3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 t="str">
        <f>IF(Goals!A98="","",Goals!A98)</f>
        <v/>
      </c>
      <c r="B159" s="1" t="str">
        <f>IF(Goals!A98="","",Goals!B98)</f>
        <v/>
      </c>
      <c r="C159" s="1" t="str">
        <f>IF(Goals!A98="","",Goals!C98)</f>
        <v/>
      </c>
      <c r="D159" s="1" t="str">
        <f>IF(Goals!A98="","",Goals!D98)</f>
        <v/>
      </c>
      <c r="E159" s="1" t="str">
        <f>IF(Goals!A98="","",Goals!E98)</f>
        <v/>
      </c>
      <c r="F159" s="1" t="str">
        <f>IF(Goals!A98="","",Goals!F98)</f>
        <v/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 t="str">
        <f>IF(Goals!A99="","",Goals!A99)</f>
        <v/>
      </c>
      <c r="B160" s="1" t="str">
        <f>IF(Goals!A99="","",Goals!B99)</f>
        <v/>
      </c>
      <c r="C160" s="1" t="str">
        <f>IF(Goals!A99="","",Goals!C99)</f>
        <v/>
      </c>
      <c r="D160" s="1" t="str">
        <f>IF(Goals!A99="","",Goals!D99)</f>
        <v/>
      </c>
      <c r="E160" s="1" t="str">
        <f>IF(Goals!A99="","",Goals!E99)</f>
        <v/>
      </c>
      <c r="F160" s="1" t="str">
        <f>IF(Goals!A99="","",Goals!F99)</f>
        <v/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 t="str">
        <f>IF(Goals!A100="","",Goals!A100)</f>
        <v/>
      </c>
      <c r="B161" s="1" t="str">
        <f>IF(Goals!A100="","",Goals!B100)</f>
        <v/>
      </c>
      <c r="C161" s="1" t="str">
        <f>IF(Goals!A100="","",Goals!C100)</f>
        <v/>
      </c>
      <c r="D161" s="1" t="str">
        <f>IF(Goals!A100="","",Goals!D100)</f>
        <v/>
      </c>
      <c r="E161" s="1" t="str">
        <f>IF(Goals!A100="","",Goals!E100)</f>
        <v/>
      </c>
      <c r="F161" s="1" t="str">
        <f>IF(Goals!A100="","",Goals!F100)</f>
        <v/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 x14ac:dyDescent="0.3">
      <c r="A162" s="1" t="str">
        <f>IF(Goals!A101="","",Goals!A101)</f>
        <v/>
      </c>
      <c r="B162" s="1" t="str">
        <f>IF(Goals!A101="","",Goals!B101)</f>
        <v/>
      </c>
      <c r="C162" s="1" t="str">
        <f>IF(Goals!A101="","",Goals!C101)</f>
        <v/>
      </c>
      <c r="D162" s="1" t="str">
        <f>IF(Goals!A101="","",Goals!D101)</f>
        <v/>
      </c>
      <c r="E162" s="1" t="str">
        <f>IF(Goals!A101="","",Goals!E101)</f>
        <v/>
      </c>
      <c r="F162" s="1" t="str">
        <f>IF(Goals!A101="","",Goals!F101)</f>
        <v/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 x14ac:dyDescent="0.3">
      <c r="A163" s="1" t="str">
        <f>IF(Goals!A102="","",Goals!A102)</f>
        <v/>
      </c>
      <c r="B163" s="1" t="str">
        <f>IF(Goals!A102="","",Goals!B102)</f>
        <v/>
      </c>
      <c r="C163" s="1" t="str">
        <f>IF(Goals!A102="","",Goals!C102)</f>
        <v/>
      </c>
      <c r="D163" s="1" t="str">
        <f>IF(Goals!A102="","",Goals!D102)</f>
        <v/>
      </c>
      <c r="E163" s="1" t="str">
        <f>IF(Goals!A102="","",Goals!E102)</f>
        <v/>
      </c>
      <c r="F163" s="1" t="str">
        <f>IF(Goals!A102="","",Goals!F102)</f>
        <v/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 x14ac:dyDescent="0.3">
      <c r="A164" s="1" t="str">
        <f>IF(Goals!A103="","",Goals!A103)</f>
        <v/>
      </c>
      <c r="B164" s="1" t="str">
        <f>IF(Goals!A103="","",Goals!B103)</f>
        <v/>
      </c>
      <c r="C164" s="1" t="str">
        <f>IF(Goals!A103="","",Goals!C103)</f>
        <v/>
      </c>
      <c r="D164" s="1" t="str">
        <f>IF(Goals!A103="","",Goals!D103)</f>
        <v/>
      </c>
      <c r="E164" s="1" t="str">
        <f>IF(Goals!A103="","",Goals!E103)</f>
        <v/>
      </c>
      <c r="F164" s="1" t="str">
        <f>IF(Goals!A103="","",Goals!F103)</f>
        <v/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 x14ac:dyDescent="0.3">
      <c r="A165" s="1" t="str">
        <f>IF(Goals!A104="","",Goals!A104)</f>
        <v/>
      </c>
      <c r="B165" s="1" t="str">
        <f>IF(Goals!A104="","",Goals!B104)</f>
        <v/>
      </c>
      <c r="C165" s="1" t="str">
        <f>IF(Goals!A104="","",Goals!C104)</f>
        <v/>
      </c>
      <c r="D165" s="1" t="str">
        <f>IF(Goals!A104="","",Goals!D104)</f>
        <v/>
      </c>
      <c r="E165" s="1" t="str">
        <f>IF(Goals!A104="","",Goals!E104)</f>
        <v/>
      </c>
      <c r="F165" s="1" t="str">
        <f>IF(Goals!A104="","",Goals!F104)</f>
        <v/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 t="str">
        <f>IF(Goals!A105="","",Goals!A105)</f>
        <v/>
      </c>
      <c r="B166" s="1" t="str">
        <f>IF(Goals!A105="","",Goals!B105)</f>
        <v/>
      </c>
      <c r="C166" s="1" t="str">
        <f>IF(Goals!A105="","",Goals!C105)</f>
        <v/>
      </c>
      <c r="D166" s="1" t="str">
        <f>IF(Goals!A105="","",Goals!D105)</f>
        <v/>
      </c>
      <c r="E166" s="1" t="str">
        <f>IF(Goals!A105="","",Goals!E105)</f>
        <v/>
      </c>
      <c r="F166" s="1" t="str">
        <f>IF(Goals!A105="","",Goals!F105)</f>
        <v/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 t="str">
        <f>IF(Goals!A106="","",Goals!A106)</f>
        <v/>
      </c>
      <c r="B167" s="1" t="str">
        <f>IF(Goals!A106="","",Goals!B106)</f>
        <v/>
      </c>
      <c r="C167" s="1" t="str">
        <f>IF(Goals!A106="","",Goals!C106)</f>
        <v/>
      </c>
      <c r="D167" s="1" t="str">
        <f>IF(Goals!A106="","",Goals!D106)</f>
        <v/>
      </c>
      <c r="E167" s="1" t="str">
        <f>IF(Goals!A106="","",Goals!E106)</f>
        <v/>
      </c>
      <c r="F167" s="1" t="str">
        <f>IF(Goals!A106="","",Goals!F106)</f>
        <v/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 t="str">
        <f>IF(Goals!A110="","",Goals!A110)</f>
        <v/>
      </c>
      <c r="B171" s="1" t="str">
        <f>IF(Goals!A110="","",Goals!B110)</f>
        <v/>
      </c>
      <c r="C171" s="1" t="str">
        <f>IF(Goals!A110="","",Goals!C110)</f>
        <v/>
      </c>
      <c r="D171" s="1" t="str">
        <f>IF(Goals!A110="","",Goals!D110)</f>
        <v/>
      </c>
      <c r="E171" s="1" t="str">
        <f>IF(Goals!A110="","",Goals!E110)</f>
        <v/>
      </c>
      <c r="F171" s="1" t="str">
        <f>IF(Goals!A110="","",Goals!F110)</f>
        <v/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 x14ac:dyDescent="0.3">
      <c r="A172" s="1" t="str">
        <f>IF(Goals!A111="","",Goals!A111)</f>
        <v/>
      </c>
      <c r="B172" s="1" t="str">
        <f>IF(Goals!A111="","",Goals!B111)</f>
        <v/>
      </c>
      <c r="C172" s="1" t="str">
        <f>IF(Goals!A111="","",Goals!C111)</f>
        <v/>
      </c>
      <c r="D172" s="1" t="str">
        <f>IF(Goals!A111="","",Goals!D111)</f>
        <v/>
      </c>
      <c r="E172" s="1" t="str">
        <f>IF(Goals!A111="","",Goals!E111)</f>
        <v/>
      </c>
      <c r="F172" s="1" t="str">
        <f>IF(Goals!A111="","",Goals!F111)</f>
        <v/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 x14ac:dyDescent="0.3">
      <c r="A173" s="1" t="str">
        <f>IF(Goals!A112="","",Goals!A112)</f>
        <v/>
      </c>
      <c r="B173" s="1" t="str">
        <f>IF(Goals!A112="","",Goals!B112)</f>
        <v/>
      </c>
      <c r="C173" s="1" t="str">
        <f>IF(Goals!A112="","",Goals!C112)</f>
        <v/>
      </c>
      <c r="D173" s="1" t="str">
        <f>IF(Goals!A112="","",Goals!D112)</f>
        <v/>
      </c>
      <c r="E173" s="1" t="str">
        <f>IF(Goals!A112="","",Goals!E112)</f>
        <v/>
      </c>
      <c r="F173" s="1" t="str">
        <f>IF(Goals!A112="","",Goals!F112)</f>
        <v/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 x14ac:dyDescent="0.3">
      <c r="A174" s="1" t="str">
        <f>IF(Goals!A113="","",Goals!A113)</f>
        <v/>
      </c>
      <c r="B174" s="1" t="str">
        <f>IF(Goals!A113="","",Goals!B113)</f>
        <v/>
      </c>
      <c r="C174" s="1" t="str">
        <f>IF(Goals!A113="","",Goals!C113)</f>
        <v/>
      </c>
      <c r="D174" s="1" t="str">
        <f>IF(Goals!A113="","",Goals!D113)</f>
        <v/>
      </c>
      <c r="E174" s="1" t="str">
        <f>IF(Goals!A113="","",Goals!E113)</f>
        <v/>
      </c>
      <c r="F174" s="1" t="str">
        <f>IF(Goals!A113="","",Goals!F113)</f>
        <v/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 x14ac:dyDescent="0.3">
      <c r="A175" s="1" t="str">
        <f>IF(Goals!A114="","",Goals!A114)</f>
        <v/>
      </c>
      <c r="B175" s="1" t="str">
        <f>IF(Goals!A114="","",Goals!B114)</f>
        <v/>
      </c>
      <c r="C175" s="1" t="str">
        <f>IF(Goals!A114="","",Goals!C114)</f>
        <v/>
      </c>
      <c r="D175" s="1" t="str">
        <f>IF(Goals!A114="","",Goals!D114)</f>
        <v/>
      </c>
      <c r="E175" s="1" t="str">
        <f>IF(Goals!A114="","",Goals!E114)</f>
        <v/>
      </c>
      <c r="F175" s="1" t="str">
        <f>IF(Goals!A114="","",Goals!F114)</f>
        <v/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 t="str">
        <f>IF(Goals!A122="","",Goals!A122)</f>
        <v/>
      </c>
      <c r="B183" s="1" t="str">
        <f>IF(Goals!A122="","",Goals!B122)</f>
        <v/>
      </c>
      <c r="C183" s="1" t="str">
        <f>IF(Goals!A122="","",Goals!C122)</f>
        <v/>
      </c>
      <c r="D183" s="1" t="str">
        <f>IF(Goals!A122="","",Goals!D122)</f>
        <v/>
      </c>
      <c r="E183" s="1" t="str">
        <f>IF(Goals!A122="","",Goals!E122)</f>
        <v/>
      </c>
      <c r="F183" s="1" t="str">
        <f>IF(Goals!A122="","",Goals!F122)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 t="str">
        <f>IF(Goals!A123="","",Goals!A123)</f>
        <v/>
      </c>
      <c r="B184" s="1" t="str">
        <f>IF(Goals!A123="","",Goals!B123)</f>
        <v/>
      </c>
      <c r="C184" s="1" t="str">
        <f>IF(Goals!A123="","",Goals!C123)</f>
        <v/>
      </c>
      <c r="D184" s="1" t="str">
        <f>IF(Goals!A123="","",Goals!D123)</f>
        <v/>
      </c>
      <c r="E184" s="1" t="str">
        <f>IF(Goals!A123="","",Goals!E123)</f>
        <v/>
      </c>
      <c r="F184" s="1" t="str">
        <f>IF(Goals!A123="","",Goals!F123)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 t="str">
        <f>IF(Goals!A146="","",Goals!A146)</f>
        <v/>
      </c>
      <c r="B207" s="1" t="str">
        <f>IF(Goals!A146="","",Goals!B146)</f>
        <v/>
      </c>
      <c r="C207" s="1" t="str">
        <f>IF(Goals!A146="","",Goals!C146)</f>
        <v/>
      </c>
      <c r="D207" s="1" t="str">
        <f>IF(Goals!A146="","",Goals!D146)</f>
        <v/>
      </c>
      <c r="E207" s="1" t="str">
        <f>IF(Goals!A146="","",Goals!E146)</f>
        <v/>
      </c>
      <c r="F207" s="1" t="str">
        <f>IF(Goals!A146="","",Goals!F146)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 t="str">
        <f>IF(Goals!A147="","",Goals!A147)</f>
        <v/>
      </c>
      <c r="B208" s="1" t="str">
        <f>IF(Goals!A147="","",Goals!B147)</f>
        <v/>
      </c>
      <c r="C208" s="1" t="str">
        <f>IF(Goals!A147="","",Goals!C147)</f>
        <v/>
      </c>
      <c r="D208" s="1" t="str">
        <f>IF(Goals!A147="","",Goals!D147)</f>
        <v/>
      </c>
      <c r="E208" s="1" t="str">
        <f>IF(Goals!A147="","",Goals!E147)</f>
        <v/>
      </c>
      <c r="F208" s="1" t="str">
        <f>IF(Goals!A147="","",Goals!F147)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 t="str">
        <f>IF(Goals!A158="","",Goals!A158)</f>
        <v/>
      </c>
      <c r="B219" s="1" t="str">
        <f>IF(Goals!A158="","",Goals!B158)</f>
        <v/>
      </c>
      <c r="C219" s="1" t="str">
        <f>IF(Goals!A158="","",Goals!C158)</f>
        <v/>
      </c>
      <c r="D219" s="1" t="str">
        <f>IF(Goals!A158="","",Goals!D158)</f>
        <v/>
      </c>
      <c r="E219" s="1" t="str">
        <f>IF(Goals!A158="","",Goals!E158)</f>
        <v/>
      </c>
      <c r="F219" s="1" t="str">
        <f>IF(Goals!A158="","",Goals!F158)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 t="str">
        <f>IF(Goals!A159="","",Goals!A159)</f>
        <v/>
      </c>
      <c r="B220" s="1" t="str">
        <f>IF(Goals!A159="","",Goals!B159)</f>
        <v/>
      </c>
      <c r="C220" s="1" t="str">
        <f>IF(Goals!A159="","",Goals!C159)</f>
        <v/>
      </c>
      <c r="D220" s="1" t="str">
        <f>IF(Goals!A159="","",Goals!D159)</f>
        <v/>
      </c>
      <c r="E220" s="1" t="str">
        <f>IF(Goals!A159="","",Goals!E159)</f>
        <v/>
      </c>
      <c r="F220" s="1" t="str">
        <f>IF(Goals!A159="","",Goals!F159)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 t="str">
        <f>IF(Goals!A160="","",Goals!A160)</f>
        <v/>
      </c>
      <c r="B221" s="1" t="str">
        <f>IF(Goals!A160="","",Goals!B160)</f>
        <v/>
      </c>
      <c r="C221" s="1" t="str">
        <f>IF(Goals!A160="","",Goals!C160)</f>
        <v/>
      </c>
      <c r="D221" s="1" t="str">
        <f>IF(Goals!A160="","",Goals!D160)</f>
        <v/>
      </c>
      <c r="E221" s="1" t="str">
        <f>IF(Goals!A160="","",Goals!E160)</f>
        <v/>
      </c>
      <c r="F221" s="1" t="str">
        <f>IF(Goals!A160="","",Goals!F160)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 t="str">
        <f>IF(Goals!A161="","",Goals!A161)</f>
        <v/>
      </c>
      <c r="B222" s="1" t="str">
        <f>IF(Goals!A161="","",Goals!B161)</f>
        <v/>
      </c>
      <c r="C222" s="1" t="str">
        <f>IF(Goals!A161="","",Goals!C161)</f>
        <v/>
      </c>
      <c r="D222" s="1" t="str">
        <f>IF(Goals!A161="","",Goals!D161)</f>
        <v/>
      </c>
      <c r="E222" s="1" t="str">
        <f>IF(Goals!A161="","",Goals!E161)</f>
        <v/>
      </c>
      <c r="F222" s="1" t="str">
        <f>IF(Goals!A161="","",Goals!F161)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 t="str">
        <f>IF(Goals!A162="","",Goals!A162)</f>
        <v/>
      </c>
      <c r="B223" s="1" t="str">
        <f>IF(Goals!A162="","",Goals!B162)</f>
        <v/>
      </c>
      <c r="C223" s="1" t="str">
        <f>IF(Goals!A162="","",Goals!C162)</f>
        <v/>
      </c>
      <c r="D223" s="1" t="str">
        <f>IF(Goals!A162="","",Goals!D162)</f>
        <v/>
      </c>
      <c r="E223" s="1" t="str">
        <f>IF(Goals!A162="","",Goals!E162)</f>
        <v/>
      </c>
      <c r="F223" s="1" t="str">
        <f>IF(Goals!A162="","",Goals!F162)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 t="str">
        <f>IF(Goals!A163="","",Goals!A163)</f>
        <v/>
      </c>
      <c r="B224" s="1" t="str">
        <f>IF(Goals!A163="","",Goals!B163)</f>
        <v/>
      </c>
      <c r="C224" s="1" t="str">
        <f>IF(Goals!A163="","",Goals!C163)</f>
        <v/>
      </c>
      <c r="D224" s="1" t="str">
        <f>IF(Goals!A163="","",Goals!D163)</f>
        <v/>
      </c>
      <c r="E224" s="1" t="str">
        <f>IF(Goals!A163="","",Goals!E163)</f>
        <v/>
      </c>
      <c r="F224" s="1" t="str">
        <f>IF(Goals!A163="","",Goals!F163)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 t="str">
        <f>IF(Goals!A170="","",Goals!A170)</f>
        <v/>
      </c>
      <c r="B231" s="1" t="str">
        <f>IF(Goals!A170="","",Goals!B170)</f>
        <v/>
      </c>
      <c r="C231" s="1" t="str">
        <f>IF(Goals!A170="","",Goals!C170)</f>
        <v/>
      </c>
      <c r="D231" s="1" t="str">
        <f>IF(Goals!A170="","",Goals!D170)</f>
        <v/>
      </c>
      <c r="E231" s="1" t="str">
        <f>IF(Goals!A170="","",Goals!E170)</f>
        <v/>
      </c>
      <c r="F231" s="1" t="str">
        <f>IF(Goals!A170="","",Goals!F170)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 t="str">
        <f>IF(Goals!A171="","",Goals!A171)</f>
        <v/>
      </c>
      <c r="B232" s="1" t="str">
        <f>IF(Goals!A171="","",Goals!B171)</f>
        <v/>
      </c>
      <c r="C232" s="1" t="str">
        <f>IF(Goals!A171="","",Goals!C171)</f>
        <v/>
      </c>
      <c r="D232" s="1" t="str">
        <f>IF(Goals!A171="","",Goals!D171)</f>
        <v/>
      </c>
      <c r="E232" s="1" t="str">
        <f>IF(Goals!A171="","",Goals!E171)</f>
        <v/>
      </c>
      <c r="F232" s="1" t="str">
        <f>IF(Goals!A171="","",Goals!F171)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 t="str">
        <f>IF(Goals!A172="","",Goals!A172)</f>
        <v/>
      </c>
      <c r="B233" s="1" t="str">
        <f>IF(Goals!A172="","",Goals!B172)</f>
        <v/>
      </c>
      <c r="C233" s="1" t="str">
        <f>IF(Goals!A172="","",Goals!C172)</f>
        <v/>
      </c>
      <c r="D233" s="1" t="str">
        <f>IF(Goals!A172="","",Goals!D172)</f>
        <v/>
      </c>
      <c r="E233" s="1" t="str">
        <f>IF(Goals!A172="","",Goals!E172)</f>
        <v/>
      </c>
      <c r="F233" s="1" t="str">
        <f>IF(Goals!A172="","",Goals!F172)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 t="str">
        <f>IF(Goals!A173="","",Goals!A173)</f>
        <v/>
      </c>
      <c r="B234" s="1" t="str">
        <f>IF(Goals!A173="","",Goals!B173)</f>
        <v/>
      </c>
      <c r="C234" s="1" t="str">
        <f>IF(Goals!A173="","",Goals!C173)</f>
        <v/>
      </c>
      <c r="D234" s="1" t="str">
        <f>IF(Goals!A173="","",Goals!D173)</f>
        <v/>
      </c>
      <c r="E234" s="1" t="str">
        <f>IF(Goals!A173="","",Goals!E173)</f>
        <v/>
      </c>
      <c r="F234" s="1" t="str">
        <f>IF(Goals!A173="","",Goals!F173)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 t="str">
        <f>IF(Goals!A174="","",Goals!A174)</f>
        <v/>
      </c>
      <c r="B235" s="1" t="str">
        <f>IF(Goals!A174="","",Goals!B174)</f>
        <v/>
      </c>
      <c r="C235" s="1" t="str">
        <f>IF(Goals!A174="","",Goals!C174)</f>
        <v/>
      </c>
      <c r="D235" s="1" t="str">
        <f>IF(Goals!A174="","",Goals!D174)</f>
        <v/>
      </c>
      <c r="E235" s="1" t="str">
        <f>IF(Goals!A174="","",Goals!E174)</f>
        <v/>
      </c>
      <c r="F235" s="1" t="str">
        <f>IF(Goals!A174="","",Goals!F174)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 x14ac:dyDescent="0.3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 x14ac:dyDescent="0.3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 x14ac:dyDescent="0.3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 x14ac:dyDescent="0.3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 x14ac:dyDescent="0.3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 x14ac:dyDescent="0.3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 x14ac:dyDescent="0.3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 x14ac:dyDescent="0.3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 x14ac:dyDescent="0.3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 x14ac:dyDescent="0.3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 x14ac:dyDescent="0.3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 x14ac:dyDescent="0.3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 x14ac:dyDescent="0.3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 x14ac:dyDescent="0.3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 x14ac:dyDescent="0.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 x14ac:dyDescent="0.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NoBounce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Daniele Moretto</cp:lastModifiedBy>
  <dcterms:created xsi:type="dcterms:W3CDTF">2026-06-27T07:20:54Z</dcterms:created>
  <dcterms:modified xsi:type="dcterms:W3CDTF">2026-07-04T12:48:36Z</dcterms:modified>
</cp:coreProperties>
</file>