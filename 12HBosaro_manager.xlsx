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A1349321-AF29-4F28-A392-A00C4C578EB2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18" i="5" l="1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C63" i="7" s="1"/>
  <c r="C124" i="15" s="1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172" i="7" l="1"/>
  <c r="B233" i="15"/>
  <c r="F173" i="7"/>
  <c r="D70" i="8" s="1"/>
  <c r="E70" i="8" s="1"/>
  <c r="B234" i="15"/>
  <c r="F233" i="15"/>
  <c r="H172" i="7"/>
  <c r="B232" i="15"/>
  <c r="F171" i="7"/>
  <c r="F170" i="7"/>
  <c r="D7" i="8" s="1"/>
  <c r="E7" i="8" s="1"/>
  <c r="C170" i="7"/>
  <c r="C231" i="15" s="1"/>
  <c r="C173" i="7"/>
  <c r="C234" i="15" s="1"/>
  <c r="C172" i="7"/>
  <c r="C233" i="15" s="1"/>
  <c r="C171" i="7"/>
  <c r="C232" i="15" s="1"/>
  <c r="B235" i="15"/>
  <c r="F174" i="7"/>
  <c r="D66" i="8" s="1"/>
  <c r="E66" i="8" s="1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D281" i="8" s="1"/>
  <c r="E281" i="8" s="1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20" i="8"/>
  <c r="E220" i="8" s="1"/>
  <c r="D219" i="8"/>
  <c r="E219" i="8" s="1"/>
  <c r="D218" i="8"/>
  <c r="E218" i="8" s="1"/>
  <c r="F123" i="7"/>
  <c r="D213" i="8" s="1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D250" i="8"/>
  <c r="E250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4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F234" i="15" l="1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<sst xmlns="http://schemas.openxmlformats.org/spreadsheetml/2006/main" count="980" uniqueCount="465">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</sst>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R1" workbookViewId="0">
      <pane ySplit="2" topLeftCell="A3" activePane="bottomLeft" state="frozen"/>
      <selection pane="bottomLeft" activeCell="Z19" sqref="Z19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20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abSelected="1" topLeftCell="C7" workbookViewId="0">
      <selection activeCell="K19" sqref="K19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107" workbookViewId="0">
      <selection activeCell="E146" sqref="E146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1</v>
      </c>
      <c r="E5">
        <f t="shared" si="0"/>
        <v>99999.994999999995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1</v>
      </c>
      <c r="E7">
        <f t="shared" si="0"/>
        <v>99999.993000000002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1</v>
      </c>
      <c r="E33">
        <f t="shared" si="0"/>
        <v>99999.967000000004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2</v>
      </c>
      <c r="E65">
        <f t="shared" si="0"/>
        <v>199999.935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1</v>
      </c>
      <c r="E66">
        <f t="shared" ref="E66:E129" si="1">IF(A66="",0,D66*100000-ROW()/1000)</f>
        <v>99999.933999999994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5</v>
      </c>
      <c r="E187">
        <f t="shared" si="2"/>
        <v>499999.81300000002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2</v>
      </c>
      <c r="E192">
        <f t="shared" si="2"/>
        <v>199999.80799999999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1</v>
      </c>
      <c r="E213">
        <f t="shared" si="3"/>
        <v>99999.786999999997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0</v>
      </c>
      <c r="E220">
        <f t="shared" si="3"/>
        <v>-0.22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3</v>
      </c>
      <c r="E243">
        <f t="shared" si="3"/>
        <v>299999.75699999998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1</v>
      </c>
      <c r="E281">
        <f t="shared" si="4"/>
        <v>99999.718999999997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1</v>
      </c>
      <c r="E309">
        <f t="shared" si="4"/>
        <v>99999.691000000006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1</v>
      </c>
      <c r="E310">
        <f t="shared" si="4"/>
        <v>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5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NICOLA BRESCIANI</v>
      </c>
      <c r="C3" t="str">
        <f>IF($A3="","",INDEX(ScorerData!$B$2:$B$481,MATCH(LARGE(ScorerData!$E$2:$E$481,$A3),ScorerData!$E$2:$E$481,0)))</f>
        <v>All Blacks</v>
      </c>
      <c r="D3">
        <f>IF($A3="","",INDEX(ScorerData!$D$2:$D$481,MATCH(LARGE(ScorerData!$E$2:$E$481,$A3),ScorerData!$E$2:$E$481,0)))</f>
        <v>4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DAVIDE ZAGHI</v>
      </c>
      <c r="C4" t="str">
        <f>IF($A4="","",INDEX(ScorerData!$B$2:$B$481,MATCH(LARGE(ScorerData!$E$2:$E$481,$A4),ScorerData!$E$2:$E$481,0)))</f>
        <v>Vecchie Glorie Rovigo</v>
      </c>
      <c r="D4">
        <f>IF($A4="","",INDEX(ScorerData!$D$2:$D$481,MATCH(LARGE(ScorerData!$E$2:$E$481,$A4),ScorerData!$E$2:$E$481,0)))</f>
        <v>3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MATTEO ZAMBERLAN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3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LEONARDO MAGGIO</v>
      </c>
      <c r="C6" t="str">
        <f>IF($A6="","",INDEX(ScorerData!$B$2:$B$481,MATCH(LARGE(ScorerData!$E$2:$E$481,$A6),ScorerData!$E$2:$E$481,0)))</f>
        <v>Leoni di Ricky</v>
      </c>
      <c r="D6">
        <f>IF($A6="","",INDEX(ScorerData!$D$2:$D$481,MATCH(LARGE(ScorerData!$E$2:$E$481,$A6),ScorerData!$E$2:$E$481,0)))</f>
        <v>3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FILIPPO SCARANELLO</v>
      </c>
      <c r="C7" t="str">
        <f>IF($A7="","",INDEX(ScorerData!$B$2:$B$481,MATCH(LARGE(ScorerData!$E$2:$E$481,$A7),ScorerData!$E$2:$E$481,0)))</f>
        <v>Moviola Utd</v>
      </c>
      <c r="D7">
        <f>IF($A7="","",INDEX(ScorerData!$D$2:$D$481,MATCH(LARGE(ScorerData!$E$2:$E$481,$A7),ScorerData!$E$2:$E$481,0)))</f>
        <v>2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NICOLA BARONI</v>
      </c>
      <c r="C8" t="str">
        <f>IF($A8="","",INDEX(ScorerData!$B$2:$B$481,MATCH(LARGE(ScorerData!$E$2:$E$481,$A8),ScorerData!$E$2:$E$481,0)))</f>
        <v>AS Bancatore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VLAD GABRIEL DUMINICA</v>
      </c>
      <c r="C9" t="str">
        <f>IF($A9="","",INDEX(ScorerData!$B$2:$B$481,MATCH(LARGE(ScorerData!$E$2:$E$481,$A9),ScorerData!$E$2:$E$481,0)))</f>
        <v>Leoni di Ricky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NICHOLAS MOSCHINI</v>
      </c>
      <c r="C10" t="str">
        <f>IF($A10="","",INDEX(ScorerData!$B$2:$B$481,MATCH(LARGE(ScorerData!$E$2:$E$481,$A10),ScorerData!$E$2:$E$481,0)))</f>
        <v>All Blacks</v>
      </c>
      <c r="D10">
        <f>IF($A10="","",INDEX(ScorerData!$D$2:$D$481,MATCH(LARGE(ScorerData!$E$2:$E$481,$A10),ScorerData!$E$2:$E$481,0)))</f>
        <v>2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LUCA CECCONELLO</v>
      </c>
      <c r="C11" t="str">
        <f>IF($A11="","",INDEX(ScorerData!$B$2:$B$481,MATCH(LARGE(ScorerData!$E$2:$E$481,$A11),ScorerData!$E$2:$E$481,0)))</f>
        <v>Boldò Glimt</v>
      </c>
      <c r="D11">
        <f>IF($A11="","",INDEX(ScorerData!$D$2:$D$481,MATCH(LARGE(ScorerData!$E$2:$E$481,$A11),ScorerData!$E$2:$E$481,0)))</f>
        <v>2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GIOVANNI BALLO</v>
      </c>
      <c r="C12" t="str">
        <f>IF($A12="","",INDEX(ScorerData!$B$2:$B$481,MATCH(LARGE(ScorerData!$E$2:$E$481,$A12),ScorerData!$E$2:$E$481,0)))</f>
        <v>Fatine FC</v>
      </c>
      <c r="D12">
        <f>IF($A12="","",INDEX(ScorerData!$D$2:$D$481,MATCH(LARGE(ScorerData!$E$2:$E$481,$A12),ScorerData!$E$2:$E$481,0)))</f>
        <v>1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NICHOLAS MILAN</v>
      </c>
      <c r="C13" t="str">
        <f>IF($A13="","",INDEX(ScorerData!$B$2:$B$481,MATCH(LARGE(ScorerData!$E$2:$E$481,$A13),ScorerData!$E$2:$E$481,0)))</f>
        <v>Fatine FC</v>
      </c>
      <c r="D13">
        <f>IF($A13="","",INDEX(ScorerData!$D$2:$D$481,MATCH(LARGE(ScorerData!$E$2:$E$481,$A13),ScorerData!$E$2:$E$481,0)))</f>
        <v>1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LUCA MARINI</v>
      </c>
      <c r="C14" t="str">
        <f>IF($A14="","",INDEX(ScorerData!$B$2:$B$481,MATCH(LARGE(ScorerData!$E$2:$E$481,$A14),ScorerData!$E$2:$E$481,0)))</f>
        <v>Fatine FC</v>
      </c>
      <c r="D14">
        <f>IF($A14="","",INDEX(ScorerData!$D$2:$D$481,MATCH(LARGE(ScorerData!$E$2:$E$481,$A14),ScorerData!$E$2:$E$481,0)))</f>
        <v>1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IVAN DENIS SHEVERAK</v>
      </c>
      <c r="C15" t="str">
        <f>IF($A15="","",INDEX(ScorerData!$B$2:$B$481,MATCH(LARGE(ScorerData!$E$2:$E$481,$A15),ScorerData!$E$2:$E$481,0)))</f>
        <v>FC Internazionale Rovigo</v>
      </c>
      <c r="D15">
        <f>IF($A15="","",INDEX(ScorerData!$D$2:$D$481,MATCH(LARGE(ScorerData!$E$2:$E$481,$A15),ScorerData!$E$2:$E$481,0)))</f>
        <v>1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LUCA BACCO</v>
      </c>
      <c r="C16" t="str">
        <f>IF($A16="","",INDEX(ScorerData!$B$2:$B$481,MATCH(LARGE(ScorerData!$E$2:$E$481,$A16),ScorerData!$E$2:$E$481,0)))</f>
        <v>Moviola Utd</v>
      </c>
      <c r="D16">
        <f>IF($A16="","",INDEX(ScorerData!$D$2:$D$481,MATCH(LARGE(ScorerData!$E$2:$E$481,$A16),ScorerData!$E$2:$E$481,0)))</f>
        <v>1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EDDY MAZZETTO</v>
      </c>
      <c r="C17" t="str">
        <f>IF($A17="","",INDEX(ScorerData!$B$2:$B$481,MATCH(LARGE(ScorerData!$E$2:$E$481,$A17),ScorerData!$E$2:$E$481,0)))</f>
        <v>Moviola Utd</v>
      </c>
      <c r="D17">
        <f>IF($A17="","",INDEX(ScorerData!$D$2:$D$481,MATCH(LARGE(ScorerData!$E$2:$E$481,$A17),ScorerData!$E$2:$E$481,0)))</f>
        <v>1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MATTEO NATALI</v>
      </c>
      <c r="C18" t="str">
        <f>IF($A18="","",INDEX(ScorerData!$B$2:$B$481,MATCH(LARGE(ScorerData!$E$2:$E$481,$A18),ScorerData!$E$2:$E$481,0)))</f>
        <v>Moviola Utd</v>
      </c>
      <c r="D18">
        <f>IF($A18="","",INDEX(ScorerData!$D$2:$D$481,MATCH(LARGE(ScorerData!$E$2:$E$481,$A18),ScorerData!$E$2:$E$481,0)))</f>
        <v>1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FRANCESCO DADDATO</v>
      </c>
      <c r="C19" t="str">
        <f>IF($A19="","",INDEX(ScorerData!$B$2:$B$481,MATCH(LARGE(ScorerData!$E$2:$E$481,$A19),ScorerData!$E$2:$E$481,0)))</f>
        <v>Moviola Utd</v>
      </c>
      <c r="D19">
        <f>IF($A19="","",INDEX(ScorerData!$D$2:$D$481,MATCH(LARGE(ScorerData!$E$2:$E$481,$A19),ScorerData!$E$2:$E$481,0)))</f>
        <v>1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NICO PAVANI</v>
      </c>
      <c r="C20" t="str">
        <f>IF($A20="","",INDEX(ScorerData!$B$2:$B$481,MATCH(LARGE(ScorerData!$E$2:$E$481,$A20),ScorerData!$E$2:$E$481,0)))</f>
        <v>Moviola Utd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JACOPO VOLTOLINA</v>
      </c>
      <c r="C21" t="str">
        <f>IF($A21="","",INDEX(ScorerData!$B$2:$B$481,MATCH(LARGE(ScorerData!$E$2:$E$481,$A21),ScorerData!$E$2:$E$481,0)))</f>
        <v>Vecchie Glorie Rovigo</v>
      </c>
      <c r="D21">
        <f>IF($A21="","",INDEX(ScorerData!$D$2:$D$481,MATCH(LARGE(ScorerData!$E$2:$E$481,$A21),ScorerData!$E$2:$E$481,0)))</f>
        <v>1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MATTEO DALL'ARA</v>
      </c>
      <c r="C22" t="str">
        <f>IF($A22="","",INDEX(ScorerData!$B$2:$B$481,MATCH(LARGE(ScorerData!$E$2:$E$481,$A22),ScorerData!$E$2:$E$481,0)))</f>
        <v>Vecchie Glorie Rovigo</v>
      </c>
      <c r="D22">
        <f>IF($A22="","",INDEX(ScorerData!$D$2:$D$481,MATCH(LARGE(ScorerData!$E$2:$E$481,$A22),ScorerData!$E$2:$E$481,0)))</f>
        <v>1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LEONARDO FUSCO</v>
      </c>
      <c r="C23" t="str">
        <f>IF($A23="","",INDEX(ScorerData!$B$2:$B$481,MATCH(LARGE(ScorerData!$E$2:$E$481,$A23),ScorerData!$E$2:$E$481,0)))</f>
        <v>Vecchie Glorie Rovigo</v>
      </c>
      <c r="D23">
        <f>IF($A23="","",INDEX(ScorerData!$D$2:$D$481,MATCH(LARGE(ScorerData!$E$2:$E$481,$A23),ScorerData!$E$2:$E$481,0)))</f>
        <v>1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DENIS TIMPANARO</v>
      </c>
      <c r="C24" t="str">
        <f>IF($A24="","",INDEX(ScorerData!$B$2:$B$481,MATCH(LARGE(ScorerData!$E$2:$E$481,$A24),ScorerData!$E$2:$E$481,0)))</f>
        <v>Vecchie Glorie Rovigo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DOMENICO IACOVINO</v>
      </c>
      <c r="C25" t="str">
        <f>IF($A25="","",INDEX(ScorerData!$B$2:$B$481,MATCH(LARGE(ScorerData!$E$2:$E$481,$A25),ScorerData!$E$2:$E$481,0)))</f>
        <v>Vecchie Glorie Rovigo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MATTEO LONGO</v>
      </c>
      <c r="C26" t="str">
        <f>IF($A26="","",INDEX(ScorerData!$B$2:$B$481,MATCH(LARGE(ScorerData!$E$2:$E$481,$A26),ScorerData!$E$2:$E$481,0)))</f>
        <v>AS Bancatore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MATTEO SAVIOLI</v>
      </c>
      <c r="C27" t="str">
        <f>IF($A27="","",INDEX(ScorerData!$B$2:$B$481,MATCH(LARGE(ScorerData!$E$2:$E$481,$A27),ScorerData!$E$2:$E$481,0)))</f>
        <v>AS Bancatore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GIANLUCA FREZZATI</v>
      </c>
      <c r="C28" t="str">
        <f>IF($A28="","",INDEX(ScorerData!$B$2:$B$481,MATCH(LARGE(ScorerData!$E$2:$E$481,$A28),ScorerData!$E$2:$E$481,0)))</f>
        <v>AS Bancatore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SAMUEL BONSU</v>
      </c>
      <c r="C29" t="str">
        <f>IF($A29="","",INDEX(ScorerData!$B$2:$B$481,MATCH(LARGE(ScorerData!$E$2:$E$481,$A29),ScorerData!$E$2:$E$481,0)))</f>
        <v>Beverton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ANDREI BARZAGHIDEANU</v>
      </c>
      <c r="C30" t="str">
        <f>IF($A30="","",INDEX(ScorerData!$B$2:$B$481,MATCH(LARGE(ScorerData!$E$2:$E$481,$A30),ScorerData!$E$2:$E$481,0)))</f>
        <v>Leoni di Ricky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NICCOLO' PALTANIN</v>
      </c>
      <c r="C31" t="str">
        <f>IF($A31="","",INDEX(ScorerData!$B$2:$B$481,MATCH(LARGE(ScorerData!$E$2:$E$481,$A31),ScorerData!$E$2:$E$481,0)))</f>
        <v>Pink 5ive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MATTEO CAMPION</v>
      </c>
      <c r="C32" t="str">
        <f>IF($A32="","",INDEX(ScorerData!$B$2:$B$481,MATCH(LARGE(ScorerData!$E$2:$E$481,$A32),ScorerData!$E$2:$E$481,0)))</f>
        <v>Pink 5ive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LUCA BERNARDINELLO</v>
      </c>
      <c r="C33" t="str">
        <f>IF($A33="","",INDEX(ScorerData!$B$2:$B$481,MATCH(LARGE(ScorerData!$E$2:$E$481,$A33),ScorerData!$E$2:$E$481,0)))</f>
        <v>Pink 5ive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MATTIA COLTRO</v>
      </c>
      <c r="C34" t="str">
        <f>IF($A34="","",INDEX(ScorerData!$B$2:$B$481,MATCH(LARGE(ScorerData!$E$2:$E$481,$A34),ScorerData!$E$2:$E$481,0)))</f>
        <v>Pink 5ive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FRANCESCO BERARDI</v>
      </c>
      <c r="C35" t="str">
        <f>IF($A35="","",INDEX(ScorerData!$B$2:$B$481,MATCH(LARGE(ScorerData!$E$2:$E$481,$A35),ScorerData!$E$2:$E$481,0)))</f>
        <v>Barrio Boys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EDOARDO CAVALLARI</v>
      </c>
      <c r="C36" t="str">
        <f>IF($A36="","",INDEX(ScorerData!$B$2:$B$481,MATCH(LARGE(ScorerData!$E$2:$E$481,$A36),ScorerData!$E$2:$E$481,0)))</f>
        <v>Barrio Boys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MATTEO FERRO</v>
      </c>
      <c r="C37" t="str">
        <f>IF($A37="","",INDEX(ScorerData!$B$2:$B$481,MATCH(LARGE(ScorerData!$E$2:$E$481,$A37),ScorerData!$E$2:$E$481,0)))</f>
        <v>Barrio Boys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OTMAN SOUATI</v>
      </c>
      <c r="C38" t="str">
        <f>IF($A38="","",INDEX(ScorerData!$B$2:$B$481,MATCH(LARGE(ScorerData!$E$2:$E$481,$A38),ScorerData!$E$2:$E$481,0)))</f>
        <v>Cani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ISMAIL ECHCHARI</v>
      </c>
      <c r="C39" t="str">
        <f>IF($A39="","",INDEX(ScorerData!$B$2:$B$481,MATCH(LARGE(ScorerData!$E$2:$E$481,$A39),ScorerData!$E$2:$E$481,0)))</f>
        <v>Cani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DAVIDE BEDESCHI</v>
      </c>
      <c r="C40" t="str">
        <f>IF($A40="","",INDEX(ScorerData!$B$2:$B$481,MATCH(LARGE(ScorerData!$E$2:$E$481,$A40),ScorerData!$E$2:$E$481,0)))</f>
        <v>All Blacks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FILIPPO CLEMENTE</v>
      </c>
      <c r="C41" t="str">
        <f>IF($A41="","",INDEX(ScorerData!$B$2:$B$481,MATCH(LARGE(ScorerData!$E$2:$E$481,$A41),ScorerData!$E$2:$E$481,0)))</f>
        <v>All Blacks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KEVIN DOBROZI</v>
      </c>
      <c r="C42" t="str">
        <f>IF($A42="","",INDEX(ScorerData!$B$2:$B$481,MATCH(LARGE(ScorerData!$E$2:$E$481,$A42),ScorerData!$E$2:$E$481,0)))</f>
        <v>Coca Juniors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EMANUELE VERONESE</v>
      </c>
      <c r="C43" t="str">
        <f>IF($A43="","",INDEX(ScorerData!$B$2:$B$481,MATCH(LARGE(ScorerData!$E$2:$E$481,$A43),ScorerData!$E$2:$E$481,0)))</f>
        <v>Coca Juniors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MATTIA AYRTON MARIOTTO</v>
      </c>
      <c r="C44" t="str">
        <f>IF($A44="","",INDEX(ScorerData!$B$2:$B$481,MATCH(LARGE(ScorerData!$E$2:$E$481,$A44),ScorerData!$E$2:$E$481,0)))</f>
        <v>Piadineria la Salsiccia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2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3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-2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2999802.9980000001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1</v>
      </c>
      <c r="I3">
        <f>SUMIFS(Matches!$J$2:$J$25,Matches!$G$2:$G$25,$B3,Matches!$L$2:$L$25,"Complete")+SUMIFS(Matches!$I$2:$I$25,Matches!$H$2:$H$25,$B3,Matches!$L$2:$L$25,"Complete")</f>
        <v>2</v>
      </c>
      <c r="J3">
        <f t="shared" si="0"/>
        <v>-1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-99.003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2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7</v>
      </c>
      <c r="I4">
        <f>SUMIFS(Matches!$J$2:$J$25,Matches!$G$2:$G$25,$B4,Matches!$L$2:$L$25,"Complete")+SUMIFS(Matches!$I$2:$I$25,Matches!$H$2:$H$25,$B4,Matches!$L$2:$L$25,"Complete")</f>
        <v>1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6</v>
      </c>
      <c r="L4" s="2">
        <f>0</f>
        <v>0</v>
      </c>
      <c r="M4">
        <f t="shared" si="1"/>
        <v>6000606.9960000003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1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3</v>
      </c>
      <c r="J5">
        <f t="shared" si="0"/>
        <v>-3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-300.005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15</v>
      </c>
      <c r="J6">
        <f t="shared" si="0"/>
        <v>-15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-1500.0060000000001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2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1</v>
      </c>
      <c r="J7">
        <f t="shared" si="0"/>
        <v>10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5001010.9929999998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10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6001009.9919999996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2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1</v>
      </c>
      <c r="I9">
        <f>SUMIFS(Matches!$J$2:$J$25,Matches!$G$2:$G$25,$B9,Matches!$L$2:$L$25,"Complete")+SUMIFS(Matches!$I$2:$I$25,Matches!$H$2:$H$25,$B9,Matches!$L$2:$L$25,"Complete")</f>
        <v>6</v>
      </c>
      <c r="J9">
        <f t="shared" si="0"/>
        <v>-5</v>
      </c>
      <c r="K9">
        <f>SUMIFS(Matches!$M$2:$M$25,Matches!$G$2:$G$25,$B9,Matches!$L$2:$L$25,"Complete")+SUMIFS(Matches!$N$2:$N$25,Matches!$H$2:$H$25,$B9,Matches!$L$2:$L$25,"Complete")</f>
        <v>1</v>
      </c>
      <c r="L9" s="2">
        <f>0</f>
        <v>0</v>
      </c>
      <c r="M9">
        <f t="shared" si="1"/>
        <v>999500.99100000004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2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6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5</v>
      </c>
      <c r="K10">
        <f>SUMIFS(Matches!$M$2:$M$25,Matches!$G$2:$G$25,$B10,Matches!$L$2:$L$25,"Complete")+SUMIFS(Matches!$N$2:$N$25,Matches!$H$2:$H$25,$B10,Matches!$L$2:$L$25,"Complete")</f>
        <v>4</v>
      </c>
      <c r="L10" s="2">
        <f>0</f>
        <v>0</v>
      </c>
      <c r="M10">
        <f t="shared" si="1"/>
        <v>4000505.99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2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4</v>
      </c>
      <c r="I11">
        <f>SUMIFS(Matches!$J$2:$J$25,Matches!$G$2:$G$25,$B11,Matches!$L$2:$L$25,"Complete")+SUMIFS(Matches!$I$2:$I$25,Matches!$H$2:$H$25,$B11,Matches!$L$2:$L$25,"Complete")</f>
        <v>7</v>
      </c>
      <c r="J11">
        <f t="shared" si="0"/>
        <v>-3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2999703.9890000001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2</v>
      </c>
      <c r="D12">
        <f>COUNTIFS(Matches!$G$2:$G$25,$B12,Matches!$L$2:$L$25,"Complete",Matches!$M$2:$M$25,3)+COUNTIFS(Matches!$H$2:$H$25,$B12,Matches!$L$2:$L$25,"Complete",Matches!$N$2:$N$25,3)</f>
        <v>1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3</v>
      </c>
      <c r="I12">
        <f>SUMIFS(Matches!$J$2:$J$25,Matches!$G$2:$G$25,$B12,Matches!$L$2:$L$25,"Complete")+SUMIFS(Matches!$I$2:$I$25,Matches!$H$2:$H$25,$B12,Matches!$L$2:$L$25,"Complete")</f>
        <v>1</v>
      </c>
      <c r="J12">
        <f t="shared" si="0"/>
        <v>2</v>
      </c>
      <c r="K12">
        <f>SUMIFS(Matches!$M$2:$M$25,Matches!$G$2:$G$25,$B12,Matches!$L$2:$L$25,"Complete")+SUMIFS(Matches!$N$2:$N$25,Matches!$H$2:$H$25,$B12,Matches!$L$2:$L$25,"Complete")</f>
        <v>5</v>
      </c>
      <c r="L12" s="2">
        <f>0</f>
        <v>0</v>
      </c>
      <c r="M12">
        <f t="shared" si="1"/>
        <v>5000202.9879999999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2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2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6</v>
      </c>
      <c r="J13">
        <f t="shared" si="0"/>
        <v>-4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-398.01299999999998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3</v>
      </c>
      <c r="L14" s="2">
        <f>0</f>
        <v>0</v>
      </c>
      <c r="M14">
        <f t="shared" si="1"/>
        <v>3000407.986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2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1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5</v>
      </c>
      <c r="L15" s="2">
        <f>0</f>
        <v>0</v>
      </c>
      <c r="M15">
        <f t="shared" si="1"/>
        <v>5000101.9850000003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2</v>
      </c>
      <c r="I16">
        <f>SUMIFS(Matches!$J$2:$J$25,Matches!$G$2:$G$25,$B16,Matches!$L$2:$L$25,"Complete")+SUMIFS(Matches!$I$2:$I$25,Matches!$H$2:$H$25,$B16,Matches!$L$2:$L$25,"Complete")</f>
        <v>8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-598.01599999999996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2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4</v>
      </c>
      <c r="L17" s="2">
        <f>0</f>
        <v>0</v>
      </c>
      <c r="M17">
        <f t="shared" si="1"/>
        <v>4000100.983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6</v>
      </c>
      <c r="E2">
        <f>INDEX(StandingsData!$C$2:$C$5,MATCH(LARGE(StandingsData!$M$2:$M$5,1),StandingsData!$M$2:$M$5,0))</f>
        <v>2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7</v>
      </c>
      <c r="K2">
        <f>INDEX(StandingsData!$I$2:$I$5,MATCH(LARGE(StandingsData!$M$2:$M$5,1),StandingsData!$M$2:$M$5,0))</f>
        <v>1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2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3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-2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1</v>
      </c>
      <c r="K4">
        <f>INDEX(StandingsData!$I$2:$I$5,MATCH(LARGE(StandingsData!$M$2:$M$5,3),StandingsData!$M$2:$M$5,0))</f>
        <v>2</v>
      </c>
      <c r="L4">
        <f>INDEX(StandingsData!$J$2:$J$5,MATCH(LARGE(StandingsData!$M$2:$M$5,3),StandingsData!$M$2:$M$5,0))</f>
        <v>-1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3</v>
      </c>
      <c r="L5">
        <f>INDEX(StandingsData!$J$2:$J$5,MATCH(LARGE(StandingsData!$M$2:$M$5,4),StandingsData!$M$2:$M$5,0))</f>
        <v>-3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2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1</v>
      </c>
      <c r="L7">
        <f>INDEX(StandingsData!$J$6:$J$9,MATCH(LARGE(StandingsData!$M$6:$M$9,2),StandingsData!$M$6:$M$9,0))</f>
        <v>10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1</v>
      </c>
      <c r="E8">
        <f>INDEX(StandingsData!$C$6:$C$9,MATCH(LARGE(StandingsData!$M$6:$M$9,3),StandingsData!$M$6:$M$9,0))</f>
        <v>2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1</v>
      </c>
      <c r="K8">
        <f>INDEX(StandingsData!$I$6:$I$9,MATCH(LARGE(StandingsData!$M$6:$M$9,3),StandingsData!$M$6:$M$9,0))</f>
        <v>6</v>
      </c>
      <c r="L8">
        <f>INDEX(StandingsData!$J$6:$J$9,MATCH(LARGE(StandingsData!$M$6:$M$9,3),StandingsData!$M$6:$M$9,0))</f>
        <v>-5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15</v>
      </c>
      <c r="L9">
        <f>INDEX(StandingsData!$J$6:$J$9,MATCH(LARGE(StandingsData!$M$6:$M$9,4),StandingsData!$M$6:$M$9,0))</f>
        <v>-15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5</v>
      </c>
      <c r="E10">
        <f>INDEX(StandingsData!$C$10:$C$13,MATCH(LARGE(StandingsData!$M$10:$M$13,1),StandingsData!$M$10:$M$13,0))</f>
        <v>2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3</v>
      </c>
      <c r="K10">
        <f>INDEX(StandingsData!$I$10:$I$13,MATCH(LARGE(StandingsData!$M$10:$M$13,1),StandingsData!$M$10:$M$13,0))</f>
        <v>1</v>
      </c>
      <c r="L10">
        <f>INDEX(StandingsData!$J$10:$J$13,MATCH(LARGE(StandingsData!$M$10:$M$13,1),StandingsData!$M$10:$M$13,0))</f>
        <v>2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4</v>
      </c>
      <c r="E11">
        <f>INDEX(StandingsData!$C$10:$C$13,MATCH(LARGE(StandingsData!$M$10:$M$13,2),StandingsData!$M$10:$M$13,0))</f>
        <v>2</v>
      </c>
      <c r="F11">
        <f>INDEX(StandingsData!$D$10:$D$13,MATCH(LARGE(StandingsData!$M$10:$M$13,2),StandingsData!$M$10:$M$13,0))</f>
        <v>1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6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5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2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1</v>
      </c>
      <c r="J12">
        <f>INDEX(StandingsData!$H$10:$H$13,MATCH(LARGE(StandingsData!$M$10:$M$13,3),StandingsData!$M$10:$M$13,0))</f>
        <v>4</v>
      </c>
      <c r="K12">
        <f>INDEX(StandingsData!$I$10:$I$13,MATCH(LARGE(StandingsData!$M$10:$M$13,3),StandingsData!$M$10:$M$13,0))</f>
        <v>7</v>
      </c>
      <c r="L12">
        <f>INDEX(StandingsData!$J$10:$J$13,MATCH(LARGE(StandingsData!$M$10:$M$13,3),StandingsData!$M$10:$M$13,0))</f>
        <v>-3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2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2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6</v>
      </c>
      <c r="L13">
        <f>INDEX(StandingsData!$J$10:$J$13,MATCH(LARGE(StandingsData!$M$10:$M$13,4),StandingsData!$M$10:$M$13,0))</f>
        <v>-4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5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1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2</v>
      </c>
      <c r="K14">
        <f>INDEX(StandingsData!$I$14:$I$17,MATCH(LARGE(StandingsData!$M$14:$M$17,1),StandingsData!$M$14:$M$17,0))</f>
        <v>1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4</v>
      </c>
      <c r="E15">
        <f>INDEX(StandingsData!$C$14:$C$17,MATCH(LARGE(StandingsData!$M$14:$M$17,2),StandingsData!$M$14:$M$17,0))</f>
        <v>2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3</v>
      </c>
      <c r="E16">
        <f>INDEX(StandingsData!$C$14:$C$17,MATCH(LARGE(StandingsData!$M$14:$M$17,3),StandingsData!$M$14:$M$17,0))</f>
        <v>2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2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2</v>
      </c>
      <c r="K17">
        <f>INDEX(StandingsData!$I$14:$I$17,MATCH(LARGE(StandingsData!$M$14:$M$17,4),StandingsData!$M$14:$M$17,0))</f>
        <v>8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C10" sqref="C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6</v>
      </c>
      <c r="E5" s="1">
        <f>Standings!E2</f>
        <v>2</v>
      </c>
      <c r="F5" s="1">
        <f>Standings!F2</f>
        <v>2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7</v>
      </c>
      <c r="K5" s="1">
        <f>Standings!K2</f>
        <v>1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5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3</v>
      </c>
      <c r="E6" s="1">
        <f>Standings!E3</f>
        <v>2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3</v>
      </c>
      <c r="K6" s="1">
        <f>Standings!K3</f>
        <v>5</v>
      </c>
      <c r="L6" s="1">
        <f>Standings!L3</f>
        <v>-2</v>
      </c>
      <c r="M6" s="1"/>
      <c r="N6" s="1">
        <f>IF(TopScorers!A3="","",TopScorers!A3)</f>
        <v>2</v>
      </c>
      <c r="O6" s="1" t="str">
        <f>IF(TopScorers!B3="","",TopScorers!B3)</f>
        <v>NICOLA BRESCIANI</v>
      </c>
      <c r="P6" s="1" t="str">
        <f>IF(TopScorers!C3="","",TopScorers!C3)</f>
        <v>All Blacks</v>
      </c>
      <c r="Q6" s="1">
        <f>IF(TopScorers!D3="","",TopScorers!D3)</f>
        <v>4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1</v>
      </c>
      <c r="K7" s="1">
        <f>Standings!K4</f>
        <v>2</v>
      </c>
      <c r="L7" s="1">
        <f>Standings!L4</f>
        <v>-1</v>
      </c>
      <c r="M7" s="1"/>
      <c r="N7" s="1">
        <f>IF(TopScorers!A4="","",TopScorers!A4)</f>
        <v>3</v>
      </c>
      <c r="O7" s="1" t="str">
        <f>IF(TopScorers!B4="","",TopScorers!B4)</f>
        <v>DAVIDE ZAGHI</v>
      </c>
      <c r="P7" s="1" t="str">
        <f>IF(TopScorers!C4="","",TopScorers!C4)</f>
        <v>Vecchie Glorie Rovigo</v>
      </c>
      <c r="Q7" s="1">
        <f>IF(TopScorers!D4="","",TopScorers!D4)</f>
        <v>3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3</v>
      </c>
      <c r="L8" s="1">
        <f>Standings!L5</f>
        <v>-3</v>
      </c>
      <c r="M8" s="1"/>
      <c r="N8" s="1">
        <f>IF(TopScorers!A5="","",TopScorers!A5)</f>
        <v>4</v>
      </c>
      <c r="O8" s="1" t="str">
        <f>IF(TopScorers!B5="","",TopScorers!B5)</f>
        <v>MATTEO ZAMBERLAN</v>
      </c>
      <c r="P8" s="1" t="str">
        <f>IF(TopScorers!C5="","",TopScorers!C5)</f>
        <v>Vecchie Glorie Rovigo</v>
      </c>
      <c r="Q8" s="1">
        <f>IF(TopScorers!D5="","",TopScorers!D5)</f>
        <v>3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10</v>
      </c>
      <c r="K9" s="1">
        <f>Standings!K6</f>
        <v>0</v>
      </c>
      <c r="L9" s="1">
        <f>Standings!L6</f>
        <v>10</v>
      </c>
      <c r="M9" s="1"/>
      <c r="N9" s="1">
        <f>IF(TopScorers!A6="","",TopScorers!A6)</f>
        <v>5</v>
      </c>
      <c r="O9" s="1" t="str">
        <f>IF(TopScorers!B6="","",TopScorers!B6)</f>
        <v>LEONARDO MAGGIO</v>
      </c>
      <c r="P9" s="1" t="str">
        <f>IF(TopScorers!C6="","",TopScorers!C6)</f>
        <v>Leoni di Ricky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2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0</v>
      </c>
      <c r="J10" s="1">
        <f>Standings!J7</f>
        <v>11</v>
      </c>
      <c r="K10" s="1">
        <f>Standings!K7</f>
        <v>1</v>
      </c>
      <c r="L10" s="1">
        <f>Standings!L7</f>
        <v>10</v>
      </c>
      <c r="M10" s="1"/>
      <c r="N10" s="1">
        <f>IF(TopScorers!A7="","",TopScorers!A7)</f>
        <v>6</v>
      </c>
      <c r="O10" s="1" t="str">
        <f>IF(TopScorers!B7="","",TopScorers!B7)</f>
        <v>FILIPPO SCARANELLO</v>
      </c>
      <c r="P10" s="1" t="str">
        <f>IF(TopScorers!C7="","",TopScorers!C7)</f>
        <v>Moviola Utd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1</v>
      </c>
      <c r="E11" s="1">
        <f>Standings!E8</f>
        <v>2</v>
      </c>
      <c r="F11" s="1">
        <f>Standings!F8</f>
        <v>0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1</v>
      </c>
      <c r="K11" s="1">
        <f>Standings!K8</f>
        <v>6</v>
      </c>
      <c r="L11" s="1">
        <f>Standings!L8</f>
        <v>-5</v>
      </c>
      <c r="M11" s="1"/>
      <c r="N11" s="1">
        <f>IF(TopScorers!A8="","",TopScorers!A8)</f>
        <v>7</v>
      </c>
      <c r="O11" s="1" t="str">
        <f>IF(TopScorers!B8="","",TopScorers!B8)</f>
        <v>NICOLA BARONI</v>
      </c>
      <c r="P11" s="1" t="str">
        <f>IF(TopScorers!C8="","",TopScorers!C8)</f>
        <v>AS Bancatore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0</v>
      </c>
      <c r="K12" s="1">
        <f>Standings!K9</f>
        <v>15</v>
      </c>
      <c r="L12" s="1">
        <f>Standings!L9</f>
        <v>-15</v>
      </c>
      <c r="M12" s="1"/>
      <c r="N12" s="1">
        <f>IF(TopScorers!A9="","",TopScorers!A9)</f>
        <v>8</v>
      </c>
      <c r="O12" s="1" t="str">
        <f>IF(TopScorers!B9="","",TopScorers!B9)</f>
        <v>VLAD GABRIEL DUMINICA</v>
      </c>
      <c r="P12" s="1" t="str">
        <f>IF(TopScorers!C9="","",TopScorers!C9)</f>
        <v>Leoni di Ricky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5</v>
      </c>
      <c r="E13" s="1">
        <f>Standings!E10</f>
        <v>2</v>
      </c>
      <c r="F13" s="1">
        <f>Standings!F10</f>
        <v>1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3</v>
      </c>
      <c r="K13" s="1">
        <f>Standings!K10</f>
        <v>1</v>
      </c>
      <c r="L13" s="1">
        <f>Standings!L10</f>
        <v>2</v>
      </c>
      <c r="M13" s="1"/>
      <c r="N13" s="1">
        <f>IF(TopScorers!A10="","",TopScorers!A10)</f>
        <v>9</v>
      </c>
      <c r="O13" s="1" t="str">
        <f>IF(TopScorers!B10="","",TopScorers!B10)</f>
        <v>NICHOLAS MOSCHINI</v>
      </c>
      <c r="P13" s="1" t="str">
        <f>IF(TopScorers!C10="","",TopScorers!C10)</f>
        <v>All Blacks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4</v>
      </c>
      <c r="E14" s="1">
        <f>Standings!E11</f>
        <v>2</v>
      </c>
      <c r="F14" s="1">
        <f>Standings!F11</f>
        <v>1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6</v>
      </c>
      <c r="K14" s="1">
        <f>Standings!K11</f>
        <v>1</v>
      </c>
      <c r="L14" s="1">
        <f>Standings!L11</f>
        <v>5</v>
      </c>
      <c r="M14" s="1"/>
      <c r="N14" s="1">
        <f>IF(TopScorers!A11="","",TopScorers!A11)</f>
        <v>10</v>
      </c>
      <c r="O14" s="1" t="str">
        <f>IF(TopScorers!B11="","",TopScorers!B11)</f>
        <v>LUCA CECCONELLO</v>
      </c>
      <c r="P14" s="1" t="str">
        <f>IF(TopScorers!C11="","",TopScorers!C11)</f>
        <v>Boldò Glimt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2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1</v>
      </c>
      <c r="J15" s="1">
        <f>Standings!J12</f>
        <v>4</v>
      </c>
      <c r="K15" s="1">
        <f>Standings!K12</f>
        <v>7</v>
      </c>
      <c r="L15" s="1">
        <f>Standings!L12</f>
        <v>-3</v>
      </c>
      <c r="M15" s="1"/>
      <c r="N15" s="1">
        <f>IF(TopScorers!A12="","",TopScorers!A12)</f>
        <v>11</v>
      </c>
      <c r="O15" s="1" t="str">
        <f>IF(TopScorers!B12="","",TopScorers!B12)</f>
        <v>GIOVANNI BALLO</v>
      </c>
      <c r="P15" s="1" t="str">
        <f>IF(TopScorers!C12="","",TopScorers!C12)</f>
        <v>Fatine FC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2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2</v>
      </c>
      <c r="J16" s="1">
        <f>Standings!J13</f>
        <v>2</v>
      </c>
      <c r="K16" s="1">
        <f>Standings!K13</f>
        <v>6</v>
      </c>
      <c r="L16" s="1">
        <f>Standings!L13</f>
        <v>-4</v>
      </c>
      <c r="M16" s="1"/>
      <c r="N16" s="1">
        <f>IF(TopScorers!A13="","",TopScorers!A13)</f>
        <v>12</v>
      </c>
      <c r="O16" s="1" t="str">
        <f>IF(TopScorers!B13="","",TopScorers!B13)</f>
        <v>NICHOLAS MILAN</v>
      </c>
      <c r="P16" s="1" t="str">
        <f>IF(TopScorers!C13="","",TopScorers!C13)</f>
        <v>Fatine FC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5</v>
      </c>
      <c r="E17" s="1">
        <f>Standings!E14</f>
        <v>2</v>
      </c>
      <c r="F17" s="1">
        <f>Standings!F14</f>
        <v>1</v>
      </c>
      <c r="G17" s="1">
        <f>Standings!G14</f>
        <v>1</v>
      </c>
      <c r="H17" s="1">
        <f>Standings!H14</f>
        <v>0</v>
      </c>
      <c r="I17" s="1">
        <f>Standings!I14</f>
        <v>0</v>
      </c>
      <c r="J17" s="1">
        <f>Standings!J14</f>
        <v>2</v>
      </c>
      <c r="K17" s="1">
        <f>Standings!K14</f>
        <v>1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LUCA MARINI</v>
      </c>
      <c r="P17" s="1" t="str">
        <f>IF(TopScorers!C14="","",TopScorers!C14)</f>
        <v>Fatine FC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4</v>
      </c>
      <c r="E18" s="1">
        <f>Standings!E15</f>
        <v>2</v>
      </c>
      <c r="F18" s="1">
        <f>Standings!F15</f>
        <v>1</v>
      </c>
      <c r="G18" s="1">
        <f>Standings!G15</f>
        <v>0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IVAN DENIS SHEVERAK</v>
      </c>
      <c r="P18" s="1" t="str">
        <f>IF(TopScorers!C15="","",TopScorers!C15)</f>
        <v>FC Internazionale Rovigo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3</v>
      </c>
      <c r="E19" s="1">
        <f>Standings!E16</f>
        <v>2</v>
      </c>
      <c r="F19" s="1">
        <f>Standings!F16</f>
        <v>1</v>
      </c>
      <c r="G19" s="1">
        <f>Standings!G16</f>
        <v>0</v>
      </c>
      <c r="H19" s="1">
        <f>Standings!H16</f>
        <v>0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LUCA BACCO</v>
      </c>
      <c r="P19" s="1" t="str">
        <f>IF(TopScorers!C16="","",TopScorers!C16)</f>
        <v>Moviola Utd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2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2</v>
      </c>
      <c r="J20" s="1">
        <f>Standings!J17</f>
        <v>2</v>
      </c>
      <c r="K20" s="1">
        <f>Standings!K17</f>
        <v>8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EDDY MAZZETTO</v>
      </c>
      <c r="P20" s="1" t="str">
        <f>IF(TopScorers!C17="","",TopScorers!C17)</f>
        <v>Moviola Utd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MATTEO NATALI</v>
      </c>
      <c r="P21" s="1" t="str">
        <f>IF(TopScorers!C18="","",TopScorers!C18)</f>
        <v>Moviola Utd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FRANCESCO DADDATO</v>
      </c>
      <c r="P22" s="5" t="str">
        <f>IF(TopScorers!C19="","",TopScorers!C19)</f>
        <v>Moviola Utd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2026-07-04T15:14:38Z</dcterms:modified>
</cp:coreProperties>
</file>