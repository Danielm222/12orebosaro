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EFE61183-33B6-4D19-8935-4FAA4ABA776D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/>
  <c r="J78" i="13"/>
  <c r="I78" i="13"/>
  <c r="A78" i="13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J66" i="13"/>
  <c r="I66" i="13"/>
  <c r="J65" i="13"/>
  <c r="I65" i="13"/>
  <c r="J64" i="13"/>
  <c r="I64" i="13"/>
  <c r="J63" i="13"/>
  <c r="I63" i="13"/>
  <c r="A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J185" i="7"/>
  <c r="I185" i="7"/>
  <c r="A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J68" i="7"/>
  <c r="I68" i="7"/>
  <c r="J67" i="7"/>
  <c r="I67" i="7"/>
  <c r="J66" i="7"/>
  <c r="I66" i="7"/>
  <c r="J65" i="7"/>
  <c r="I65" i="7"/>
  <c r="J64" i="7"/>
  <c r="I64" i="7"/>
  <c r="J63" i="7"/>
  <c r="I63" i="7"/>
  <c r="A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B413" i="5"/>
  <c r="A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257" i="7" l="1"/>
  <c r="A205" i="7"/>
  <c r="A200" i="7"/>
  <c r="A197" i="7"/>
  <c r="A77" i="13"/>
  <c r="A74" i="13"/>
  <c r="A66" i="13"/>
  <c r="A190" i="7"/>
  <c r="A187" i="7"/>
  <c r="A48" i="7"/>
  <c r="A28" i="13"/>
  <c r="A15" i="13"/>
  <c r="A261" i="7"/>
  <c r="A62" i="13"/>
  <c r="A404" i="5"/>
  <c r="A68" i="13"/>
  <c r="A26" i="13"/>
  <c r="A70" i="13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A26" i="7"/>
  <c r="A62" i="7"/>
  <c r="A27" i="13"/>
  <c r="A133" i="7"/>
  <c r="A19" i="13"/>
  <c r="A18" i="13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A41" i="7"/>
  <c r="D145" i="5"/>
  <c r="A45" i="7"/>
  <c r="A84" i="13"/>
  <c r="A251" i="7"/>
  <c r="A238" i="7"/>
  <c r="A436" i="5"/>
  <c r="A256" i="7"/>
  <c r="A241" i="7"/>
  <c r="A240" i="7"/>
  <c r="A237" i="7"/>
  <c r="A92" i="7"/>
  <c r="A59" i="7"/>
  <c r="A42" i="7"/>
  <c r="A35" i="7"/>
  <c r="A262" i="7"/>
  <c r="A259" i="7"/>
  <c r="A246" i="7"/>
  <c r="A243" i="7"/>
  <c r="A235" i="7"/>
  <c r="A91" i="7"/>
  <c r="A89" i="7"/>
  <c r="A78" i="7"/>
  <c r="A46" i="7"/>
  <c r="A43" i="7"/>
  <c r="A40" i="7"/>
  <c r="A255" i="7"/>
  <c r="A254" i="7"/>
  <c r="A253" i="7"/>
  <c r="A249" i="7"/>
  <c r="A248" i="7"/>
  <c r="A247" i="7"/>
  <c r="A236" i="7"/>
  <c r="A86" i="7"/>
  <c r="A61" i="7"/>
  <c r="A52" i="7"/>
  <c r="A2" i="13"/>
  <c r="A263" i="7"/>
  <c r="A260" i="7"/>
  <c r="A49" i="7"/>
  <c r="A47" i="7"/>
  <c r="A83" i="7"/>
  <c r="A244" i="7"/>
  <c r="A85" i="7"/>
  <c r="A301" i="5"/>
  <c r="A82" i="7"/>
  <c r="A51" i="7"/>
  <c r="A50" i="7"/>
  <c r="A44" i="7"/>
  <c r="A39" i="7"/>
  <c r="A38" i="7"/>
  <c r="A37" i="7"/>
  <c r="A233" i="7"/>
  <c r="A232" i="7"/>
  <c r="A226" i="7"/>
  <c r="A77" i="7"/>
  <c r="A74" i="7"/>
  <c r="A64" i="7"/>
  <c r="A60" i="7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A73" i="7"/>
  <c r="A237" i="5"/>
  <c r="D151" i="5"/>
  <c r="D150" i="5"/>
  <c r="D149" i="5"/>
  <c r="A146" i="5"/>
  <c r="A145" i="5"/>
  <c r="C144" i="5"/>
  <c r="A250" i="7"/>
  <c r="A234" i="7"/>
  <c r="A229" i="7"/>
  <c r="A227" i="7"/>
  <c r="A225" i="7"/>
  <c r="A56" i="7"/>
  <c r="A55" i="7"/>
  <c r="A155" i="5"/>
  <c r="A153" i="5"/>
  <c r="C151" i="5"/>
  <c r="B150" i="5"/>
  <c r="A149" i="5"/>
  <c r="C148" i="5"/>
  <c r="B147" i="5"/>
  <c r="D146" i="5"/>
  <c r="C145" i="5"/>
  <c r="B144" i="5"/>
  <c r="A239" i="7"/>
  <c r="A230" i="7"/>
  <c r="A228" i="7"/>
  <c r="A262" i="5"/>
  <c r="A242" i="5"/>
  <c r="C238" i="5"/>
  <c r="C158" i="5"/>
  <c r="A158" i="5"/>
  <c r="A157" i="5"/>
  <c r="C149" i="5"/>
  <c r="D148" i="5"/>
  <c r="D147" i="5"/>
  <c r="D144" i="5"/>
  <c r="A57" i="7"/>
  <c r="A54" i="7"/>
  <c r="B251" i="5"/>
  <c r="C240" i="5"/>
  <c r="A240" i="5"/>
  <c r="B237" i="5"/>
  <c r="B157" i="5"/>
  <c r="B156" i="5"/>
  <c r="C154" i="5"/>
  <c r="D153" i="5"/>
  <c r="A152" i="5"/>
  <c r="A59" i="5"/>
  <c r="A53" i="7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A75" i="13"/>
  <c r="A25" i="13"/>
  <c r="A222" i="7"/>
  <c r="A221" i="7"/>
  <c r="A220" i="7"/>
  <c r="A219" i="7"/>
  <c r="A217" i="7"/>
  <c r="A215" i="7"/>
  <c r="A214" i="7"/>
  <c r="A199" i="7"/>
  <c r="A192" i="7"/>
  <c r="A184" i="7"/>
  <c r="A183" i="7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A196" i="7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A216" i="7"/>
  <c r="A213" i="7"/>
  <c r="A188" i="7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A22" i="7"/>
  <c r="A17" i="7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A72" i="13"/>
  <c r="A60" i="13"/>
  <c r="A48" i="13"/>
  <c r="A22" i="13"/>
  <c r="A17" i="13"/>
  <c r="A13" i="13"/>
  <c r="A238" i="8"/>
  <c r="A233" i="8"/>
  <c r="A229" i="8"/>
  <c r="A227" i="8"/>
  <c r="A223" i="8"/>
  <c r="A220" i="8"/>
  <c r="A278" i="7"/>
  <c r="A275" i="7"/>
  <c r="A273" i="7"/>
  <c r="A203" i="7"/>
  <c r="A194" i="7"/>
  <c r="A193" i="7"/>
  <c r="A138" i="7"/>
  <c r="A34" i="7"/>
  <c r="A33" i="7"/>
  <c r="A32" i="7"/>
  <c r="A13" i="7"/>
  <c r="A10" i="7"/>
  <c r="A9" i="7"/>
  <c r="A8" i="7"/>
  <c r="A7" i="7"/>
  <c r="A6" i="7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A182" i="7"/>
  <c r="A181" i="7"/>
  <c r="A27" i="7"/>
  <c r="A25" i="7"/>
  <c r="A24" i="7"/>
  <c r="A15" i="7"/>
  <c r="A5" i="7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A61" i="13"/>
  <c r="A59" i="13"/>
  <c r="A9" i="13"/>
  <c r="A237" i="8"/>
  <c r="A232" i="8"/>
  <c r="A228" i="8"/>
  <c r="A224" i="8"/>
  <c r="A219" i="8"/>
  <c r="A207" i="7"/>
  <c r="A191" i="7"/>
  <c r="A139" i="7"/>
  <c r="A134" i="7"/>
  <c r="A30" i="7"/>
  <c r="A12" i="7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A211" i="7"/>
  <c r="A210" i="7"/>
  <c r="A209" i="7"/>
  <c r="A208" i="7"/>
  <c r="A167" i="7"/>
  <c r="A23" i="7"/>
  <c r="A20" i="7"/>
  <c r="A19" i="7"/>
  <c r="A11" i="7"/>
  <c r="A4" i="7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A29" i="7"/>
  <c r="A28" i="7"/>
  <c r="A3" i="7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A204" i="7"/>
  <c r="A202" i="7"/>
  <c r="A189" i="7"/>
  <c r="A180" i="7"/>
  <c r="A179" i="7"/>
  <c r="A156" i="7"/>
  <c r="A145" i="7"/>
  <c r="A143" i="7"/>
  <c r="A123" i="7"/>
  <c r="A21" i="7"/>
  <c r="A18" i="7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A5" i="13"/>
  <c r="A122" i="7"/>
  <c r="A65" i="13"/>
  <c r="A64" i="13"/>
  <c r="A24" i="13"/>
  <c r="A272" i="7"/>
  <c r="A146" i="7"/>
  <c r="A131" i="7"/>
  <c r="A71" i="13"/>
  <c r="A32" i="13"/>
  <c r="A178" i="7"/>
  <c r="A264" i="7"/>
  <c r="A99" i="7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A3" i="13"/>
  <c r="A277" i="7"/>
  <c r="A276" i="7"/>
  <c r="A274" i="7"/>
  <c r="A266" i="7"/>
  <c r="A175" i="7"/>
  <c r="A2" i="7"/>
  <c r="D172" i="5"/>
  <c r="D168" i="5"/>
  <c r="D166" i="5"/>
  <c r="D161" i="5"/>
  <c r="C161" i="5"/>
  <c r="A86" i="5"/>
  <c r="C56" i="5"/>
  <c r="A270" i="7"/>
  <c r="B160" i="5"/>
  <c r="A160" i="5"/>
  <c r="A267" i="7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A81" i="13"/>
  <c r="A57" i="13"/>
  <c r="A56" i="13"/>
  <c r="A52" i="13"/>
  <c r="A49" i="13"/>
  <c r="A31" i="13"/>
  <c r="A30" i="13"/>
  <c r="A14" i="13"/>
  <c r="A12" i="13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A144" i="7"/>
  <c r="A101" i="7"/>
  <c r="A84" i="7"/>
  <c r="A72" i="7"/>
  <c r="G477" i="5"/>
  <c r="A476" i="5"/>
  <c r="A475" i="5"/>
  <c r="B474" i="5"/>
  <c r="D473" i="5"/>
  <c r="A473" i="5"/>
  <c r="B471" i="5"/>
  <c r="A468" i="5"/>
  <c r="D466" i="5"/>
  <c r="A85" i="13"/>
  <c r="A80" i="13"/>
  <c r="A46" i="13"/>
  <c r="A41" i="13"/>
  <c r="A37" i="13"/>
  <c r="A36" i="13"/>
  <c r="A35" i="13"/>
  <c r="A34" i="13"/>
  <c r="A33" i="13"/>
  <c r="A8" i="13"/>
  <c r="A6" i="13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A285" i="7"/>
  <c r="A282" i="7"/>
  <c r="A163" i="7"/>
  <c r="A162" i="7"/>
  <c r="A160" i="7"/>
  <c r="A159" i="7"/>
  <c r="A153" i="7"/>
  <c r="A151" i="7"/>
  <c r="A142" i="7"/>
  <c r="A141" i="7"/>
  <c r="A140" i="7"/>
  <c r="A124" i="7"/>
  <c r="A98" i="7"/>
  <c r="A71" i="7"/>
  <c r="A70" i="7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A58" i="13"/>
  <c r="A55" i="13"/>
  <c r="A53" i="13"/>
  <c r="A51" i="13"/>
  <c r="A47" i="13"/>
  <c r="A44" i="13"/>
  <c r="A42" i="13"/>
  <c r="A39" i="13"/>
  <c r="A10" i="13"/>
  <c r="A4" i="13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A284" i="7"/>
  <c r="A176" i="7"/>
  <c r="A170" i="7"/>
  <c r="A168" i="7"/>
  <c r="A166" i="7"/>
  <c r="A119" i="7"/>
  <c r="A113" i="7"/>
  <c r="A109" i="7"/>
  <c r="A81" i="7"/>
  <c r="A66" i="7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A50" i="13"/>
  <c r="A45" i="13"/>
  <c r="A43" i="13"/>
  <c r="A40" i="13"/>
  <c r="A38" i="13"/>
  <c r="A29" i="13"/>
  <c r="A23" i="13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A148" i="7"/>
  <c r="A79" i="7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A152" i="7"/>
  <c r="A150" i="7"/>
  <c r="A111" i="7"/>
  <c r="A108" i="7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A174" i="7"/>
  <c r="A165" i="7"/>
  <c r="A164" i="7"/>
  <c r="A161" i="7"/>
  <c r="A149" i="7"/>
  <c r="A137" i="7"/>
  <c r="A135" i="7"/>
  <c r="A132" i="7"/>
  <c r="A129" i="7"/>
  <c r="A127" i="7"/>
  <c r="A112" i="7"/>
  <c r="A110" i="7"/>
  <c r="A107" i="7"/>
  <c r="A106" i="7"/>
  <c r="A105" i="7"/>
  <c r="A100" i="7"/>
  <c r="A97" i="7"/>
  <c r="A94" i="7"/>
  <c r="A93" i="7"/>
  <c r="A87" i="7"/>
  <c r="A75" i="7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A281" i="7"/>
  <c r="A169" i="7"/>
  <c r="A157" i="7"/>
  <c r="A155" i="7"/>
  <c r="A154" i="7"/>
  <c r="A147" i="7"/>
  <c r="A136" i="7"/>
  <c r="A130" i="7"/>
  <c r="A128" i="7"/>
  <c r="A126" i="7"/>
  <c r="A125" i="7"/>
  <c r="A121" i="7"/>
  <c r="A120" i="7"/>
  <c r="A118" i="7"/>
  <c r="A117" i="7"/>
  <c r="A116" i="7"/>
  <c r="A115" i="7"/>
  <c r="A114" i="7"/>
  <c r="A104" i="7"/>
  <c r="A103" i="7"/>
  <c r="A102" i="7"/>
  <c r="A96" i="7"/>
  <c r="A95" i="7"/>
  <c r="A90" i="7"/>
  <c r="A88" i="7"/>
  <c r="A80" i="7"/>
  <c r="A76" i="7"/>
  <c r="A68" i="7"/>
  <c r="A67" i="7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D16" i="13"/>
  <c r="B16" i="13"/>
  <c r="G79" i="13"/>
  <c r="F79" i="13"/>
  <c r="H79" i="13" s="1"/>
  <c r="D79" i="13"/>
  <c r="C79" i="13"/>
  <c r="B79" i="13"/>
  <c r="G78" i="13"/>
  <c r="F78" i="13"/>
  <c r="H78" i="13" s="1"/>
  <c r="D78" i="13"/>
  <c r="C78" i="13"/>
  <c r="B78" i="13"/>
  <c r="G77" i="13"/>
  <c r="F77" i="13"/>
  <c r="H77" i="13" s="1"/>
  <c r="D77" i="13"/>
  <c r="C77" i="13"/>
  <c r="B77" i="13"/>
  <c r="D74" i="13"/>
  <c r="B74" i="13"/>
  <c r="D67" i="13"/>
  <c r="B67" i="13"/>
  <c r="D66" i="13"/>
  <c r="B66" i="13"/>
  <c r="D63" i="13"/>
  <c r="B63" i="13"/>
  <c r="A20" i="13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D231" i="7"/>
  <c r="C231" i="7"/>
  <c r="B231" i="7"/>
  <c r="G224" i="7"/>
  <c r="D224" i="7"/>
  <c r="C224" i="7"/>
  <c r="G218" i="7"/>
  <c r="F218" i="7"/>
  <c r="H218" i="7" s="1"/>
  <c r="D218" i="7"/>
  <c r="C218" i="7"/>
  <c r="B218" i="7"/>
  <c r="G212" i="7"/>
  <c r="F212" i="7"/>
  <c r="H212" i="7" s="1"/>
  <c r="D212" i="7"/>
  <c r="C212" i="7"/>
  <c r="B212" i="7"/>
  <c r="F206" i="7"/>
  <c r="H206" i="7" s="1"/>
  <c r="D206" i="7"/>
  <c r="B206" i="7"/>
  <c r="D185" i="7"/>
  <c r="A177" i="7"/>
  <c r="A173" i="7"/>
  <c r="A172" i="7"/>
  <c r="F69" i="7"/>
  <c r="H69" i="7" s="1"/>
  <c r="D69" i="7"/>
  <c r="G63" i="7"/>
  <c r="D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D268" i="7"/>
  <c r="C268" i="7"/>
  <c r="B268" i="7"/>
  <c r="G258" i="7"/>
  <c r="F258" i="7"/>
  <c r="H258" i="7" s="1"/>
  <c r="D258" i="7"/>
  <c r="C258" i="7"/>
  <c r="B258" i="7"/>
  <c r="G242" i="7"/>
  <c r="F242" i="7"/>
  <c r="H242" i="7" s="1"/>
  <c r="D242" i="7"/>
  <c r="C242" i="7"/>
  <c r="B242" i="7"/>
  <c r="F224" i="7"/>
  <c r="H224" i="7" s="1"/>
  <c r="B224" i="7"/>
  <c r="G206" i="7"/>
  <c r="C206" i="7"/>
  <c r="G198" i="7"/>
  <c r="F198" i="7"/>
  <c r="H198" i="7" s="1"/>
  <c r="D198" i="7"/>
  <c r="C198" i="7"/>
  <c r="B198" i="7"/>
  <c r="D186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05" i="7" l="1"/>
  <c r="F205" i="7"/>
  <c r="H205" i="7" s="1"/>
  <c r="D205" i="7"/>
  <c r="C205" i="7"/>
  <c r="B205" i="7"/>
  <c r="G200" i="7"/>
  <c r="F200" i="7"/>
  <c r="H200" i="7" s="1"/>
  <c r="D200" i="7"/>
  <c r="C200" i="7"/>
  <c r="B200" i="7"/>
  <c r="G197" i="7"/>
  <c r="F197" i="7"/>
  <c r="H197" i="7" s="1"/>
  <c r="C197" i="7"/>
  <c r="F190" i="7"/>
  <c r="H190" i="7" s="1"/>
  <c r="C190" i="7"/>
  <c r="F187" i="7"/>
  <c r="H187" i="7" s="1"/>
  <c r="D187" i="7"/>
  <c r="B187" i="7"/>
  <c r="D48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D257" i="7"/>
  <c r="C257" i="7"/>
  <c r="B257" i="7"/>
  <c r="D197" i="7"/>
  <c r="B197" i="7"/>
  <c r="F251" i="15"/>
  <c r="E251" i="15"/>
  <c r="D251" i="15"/>
  <c r="C251" i="15"/>
  <c r="B251" i="15"/>
  <c r="A251" i="15"/>
  <c r="G190" i="7"/>
  <c r="D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D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D15" i="13"/>
  <c r="B15" i="13"/>
  <c r="B364" i="15" s="1"/>
  <c r="D2" i="13"/>
  <c r="B2" i="13"/>
  <c r="G84" i="13"/>
  <c r="F84" i="13"/>
  <c r="H84" i="13" s="1"/>
  <c r="D84" i="13"/>
  <c r="C84" i="13"/>
  <c r="B84" i="13"/>
  <c r="G70" i="13"/>
  <c r="F70" i="13"/>
  <c r="H70" i="13" s="1"/>
  <c r="D70" i="13"/>
  <c r="C70" i="13"/>
  <c r="B70" i="13"/>
  <c r="G68" i="13"/>
  <c r="F68" i="13"/>
  <c r="H68" i="13" s="1"/>
  <c r="D68" i="13"/>
  <c r="C68" i="13"/>
  <c r="B68" i="13"/>
  <c r="D62" i="13"/>
  <c r="B62" i="13"/>
  <c r="D28" i="13"/>
  <c r="B28" i="13"/>
  <c r="D27" i="13"/>
  <c r="B27" i="13"/>
  <c r="D26" i="13"/>
  <c r="B26" i="13"/>
  <c r="C26" i="13" s="1"/>
  <c r="C375" i="15" s="1"/>
  <c r="D19" i="13"/>
  <c r="B19" i="13"/>
  <c r="D18" i="13"/>
  <c r="B18" i="13"/>
  <c r="D62" i="7"/>
  <c r="G62" i="7" s="1"/>
  <c r="F58" i="7"/>
  <c r="H58" i="7" s="1"/>
  <c r="C58" i="7"/>
  <c r="G26" i="7"/>
  <c r="B26" i="7"/>
  <c r="G271" i="7"/>
  <c r="F271" i="7"/>
  <c r="H271" i="7" s="1"/>
  <c r="D271" i="7"/>
  <c r="C271" i="7"/>
  <c r="B271" i="7"/>
  <c r="B62" i="7"/>
  <c r="G58" i="7"/>
  <c r="D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D133" i="7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D43" i="7"/>
  <c r="C43" i="7"/>
  <c r="D42" i="7"/>
  <c r="B42" i="7"/>
  <c r="D41" i="7"/>
  <c r="B41" i="7"/>
  <c r="D40" i="7"/>
  <c r="B40" i="7"/>
  <c r="G269" i="7"/>
  <c r="F269" i="7"/>
  <c r="H269" i="7" s="1"/>
  <c r="D269" i="7"/>
  <c r="C269" i="7"/>
  <c r="B269" i="7"/>
  <c r="G256" i="7"/>
  <c r="F256" i="7"/>
  <c r="H256" i="7" s="1"/>
  <c r="D256" i="7"/>
  <c r="C256" i="7"/>
  <c r="B256" i="7"/>
  <c r="G252" i="7"/>
  <c r="F252" i="7"/>
  <c r="H252" i="7" s="1"/>
  <c r="D252" i="7"/>
  <c r="C252" i="7"/>
  <c r="B252" i="7"/>
  <c r="G251" i="7"/>
  <c r="F251" i="7"/>
  <c r="H251" i="7" s="1"/>
  <c r="D251" i="7"/>
  <c r="C251" i="7"/>
  <c r="B251" i="7"/>
  <c r="G246" i="7"/>
  <c r="F246" i="7"/>
  <c r="H246" i="7" s="1"/>
  <c r="D246" i="7"/>
  <c r="C246" i="7"/>
  <c r="B246" i="7"/>
  <c r="G243" i="7"/>
  <c r="F243" i="7"/>
  <c r="H243" i="7" s="1"/>
  <c r="D243" i="7"/>
  <c r="C243" i="7"/>
  <c r="B243" i="7"/>
  <c r="G241" i="7"/>
  <c r="F241" i="7"/>
  <c r="H241" i="7" s="1"/>
  <c r="D241" i="7"/>
  <c r="C241" i="7"/>
  <c r="B241" i="7"/>
  <c r="G240" i="7"/>
  <c r="F240" i="7"/>
  <c r="H240" i="7" s="1"/>
  <c r="D240" i="7"/>
  <c r="C240" i="7"/>
  <c r="B240" i="7"/>
  <c r="G238" i="7"/>
  <c r="F238" i="7"/>
  <c r="H238" i="7" s="1"/>
  <c r="D238" i="7"/>
  <c r="C238" i="7"/>
  <c r="B238" i="7"/>
  <c r="G237" i="7"/>
  <c r="F237" i="7"/>
  <c r="H237" i="7" s="1"/>
  <c r="D237" i="7"/>
  <c r="C237" i="7"/>
  <c r="B237" i="7"/>
  <c r="G235" i="7"/>
  <c r="F235" i="7"/>
  <c r="H235" i="7" s="1"/>
  <c r="D235" i="7"/>
  <c r="C235" i="7"/>
  <c r="B235" i="7"/>
  <c r="F59" i="7"/>
  <c r="H59" i="7" s="1"/>
  <c r="C59" i="7"/>
  <c r="G46" i="7"/>
  <c r="F46" i="7"/>
  <c r="H46" i="7" s="1"/>
  <c r="B43" i="7"/>
  <c r="F35" i="7"/>
  <c r="H35" i="7" s="1"/>
  <c r="D35" i="7"/>
  <c r="B35" i="7"/>
  <c r="D92" i="7"/>
  <c r="B92" i="7"/>
  <c r="D91" i="7"/>
  <c r="B91" i="7"/>
  <c r="D89" i="7"/>
  <c r="B89" i="7"/>
  <c r="D86" i="7"/>
  <c r="B86" i="7"/>
  <c r="G85" i="7"/>
  <c r="F85" i="7"/>
  <c r="H85" i="7" s="1"/>
  <c r="D85" i="7"/>
  <c r="C85" i="7"/>
  <c r="B85" i="7"/>
  <c r="G83" i="7"/>
  <c r="F83" i="7"/>
  <c r="H83" i="7" s="1"/>
  <c r="D83" i="7"/>
  <c r="C83" i="7"/>
  <c r="B83" i="7"/>
  <c r="G82" i="7"/>
  <c r="F82" i="7"/>
  <c r="H82" i="7" s="1"/>
  <c r="D82" i="7"/>
  <c r="C82" i="7"/>
  <c r="B82" i="7"/>
  <c r="D78" i="7"/>
  <c r="B78" i="7"/>
  <c r="G61" i="7"/>
  <c r="F61" i="7"/>
  <c r="H61" i="7" s="1"/>
  <c r="C61" i="7"/>
  <c r="G59" i="7"/>
  <c r="D59" i="7"/>
  <c r="B59" i="7"/>
  <c r="D52" i="7"/>
  <c r="G49" i="7"/>
  <c r="F49" i="7"/>
  <c r="H49" i="7" s="1"/>
  <c r="D49" i="7"/>
  <c r="C49" i="7"/>
  <c r="D46" i="7"/>
  <c r="B46" i="7"/>
  <c r="G45" i="7"/>
  <c r="D45" i="7"/>
  <c r="B45" i="7"/>
  <c r="G44" i="7"/>
  <c r="F44" i="7"/>
  <c r="H44" i="7" s="1"/>
  <c r="D44" i="7"/>
  <c r="C44" i="7"/>
  <c r="G37" i="7"/>
  <c r="D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D51" i="7"/>
  <c r="B51" i="7"/>
  <c r="D50" i="7"/>
  <c r="B50" i="7"/>
  <c r="B49" i="7"/>
  <c r="G47" i="7"/>
  <c r="F47" i="7"/>
  <c r="H47" i="7" s="1"/>
  <c r="D47" i="7"/>
  <c r="C47" i="7"/>
  <c r="B47" i="7"/>
  <c r="B44" i="7"/>
  <c r="D39" i="7"/>
  <c r="B39" i="7"/>
  <c r="D38" i="7"/>
  <c r="G263" i="7"/>
  <c r="F263" i="7"/>
  <c r="H263" i="7" s="1"/>
  <c r="D263" i="7"/>
  <c r="C263" i="7"/>
  <c r="B263" i="7"/>
  <c r="G262" i="7"/>
  <c r="F262" i="7"/>
  <c r="H262" i="7" s="1"/>
  <c r="D262" i="7"/>
  <c r="C262" i="7"/>
  <c r="B262" i="7"/>
  <c r="G260" i="7"/>
  <c r="F260" i="7"/>
  <c r="H260" i="7" s="1"/>
  <c r="D260" i="7"/>
  <c r="C260" i="7"/>
  <c r="B260" i="7"/>
  <c r="G259" i="7"/>
  <c r="F259" i="7"/>
  <c r="H259" i="7" s="1"/>
  <c r="D259" i="7"/>
  <c r="C259" i="7"/>
  <c r="B259" i="7"/>
  <c r="G255" i="7"/>
  <c r="F255" i="7"/>
  <c r="H255" i="7" s="1"/>
  <c r="D255" i="7"/>
  <c r="C255" i="7"/>
  <c r="B255" i="7"/>
  <c r="G254" i="7"/>
  <c r="F254" i="7"/>
  <c r="H254" i="7" s="1"/>
  <c r="D254" i="7"/>
  <c r="C254" i="7"/>
  <c r="B254" i="7"/>
  <c r="G253" i="7"/>
  <c r="F253" i="7"/>
  <c r="H253" i="7" s="1"/>
  <c r="D253" i="7"/>
  <c r="C253" i="7"/>
  <c r="B253" i="7"/>
  <c r="G249" i="7"/>
  <c r="F249" i="7"/>
  <c r="H249" i="7" s="1"/>
  <c r="D249" i="7"/>
  <c r="C249" i="7"/>
  <c r="B249" i="7"/>
  <c r="G248" i="7"/>
  <c r="F248" i="7"/>
  <c r="H248" i="7" s="1"/>
  <c r="D248" i="7"/>
  <c r="C248" i="7"/>
  <c r="B248" i="7"/>
  <c r="G247" i="7"/>
  <c r="F247" i="7"/>
  <c r="H247" i="7" s="1"/>
  <c r="D247" i="7"/>
  <c r="C247" i="7"/>
  <c r="B247" i="7"/>
  <c r="G245" i="7"/>
  <c r="F245" i="7"/>
  <c r="H245" i="7" s="1"/>
  <c r="D245" i="7"/>
  <c r="C245" i="7"/>
  <c r="B245" i="7"/>
  <c r="G244" i="7"/>
  <c r="F244" i="7"/>
  <c r="H244" i="7" s="1"/>
  <c r="D244" i="7"/>
  <c r="C244" i="7"/>
  <c r="B244" i="7"/>
  <c r="G236" i="7"/>
  <c r="F236" i="7"/>
  <c r="H236" i="7" s="1"/>
  <c r="D236" i="7"/>
  <c r="C236" i="7"/>
  <c r="B236" i="7"/>
  <c r="G234" i="7"/>
  <c r="F234" i="7"/>
  <c r="H234" i="7" s="1"/>
  <c r="D234" i="7"/>
  <c r="C234" i="7"/>
  <c r="B234" i="7"/>
  <c r="G233" i="7"/>
  <c r="D233" i="7"/>
  <c r="B233" i="7"/>
  <c r="G232" i="7"/>
  <c r="F232" i="7"/>
  <c r="H232" i="7" s="1"/>
  <c r="D232" i="7"/>
  <c r="C232" i="7"/>
  <c r="B232" i="7"/>
  <c r="G230" i="7"/>
  <c r="D230" i="7"/>
  <c r="B230" i="7"/>
  <c r="G229" i="7"/>
  <c r="F229" i="7"/>
  <c r="H229" i="7" s="1"/>
  <c r="D229" i="7"/>
  <c r="B229" i="7"/>
  <c r="D227" i="7"/>
  <c r="B227" i="7"/>
  <c r="G226" i="7"/>
  <c r="F226" i="7"/>
  <c r="H226" i="7" s="1"/>
  <c r="C226" i="7"/>
  <c r="D61" i="7"/>
  <c r="B61" i="7"/>
  <c r="G60" i="7"/>
  <c r="D60" i="7"/>
  <c r="B60" i="7"/>
  <c r="B56" i="7"/>
  <c r="G55" i="7"/>
  <c r="D55" i="7"/>
  <c r="B52" i="7"/>
  <c r="B38" i="7"/>
  <c r="F37" i="7"/>
  <c r="H37" i="7" s="1"/>
  <c r="B37" i="7"/>
  <c r="D77" i="7"/>
  <c r="B77" i="7"/>
  <c r="D74" i="7"/>
  <c r="B74" i="7"/>
  <c r="G73" i="7"/>
  <c r="F73" i="7"/>
  <c r="H73" i="7" s="1"/>
  <c r="D73" i="7"/>
  <c r="C73" i="7"/>
  <c r="B73" i="7"/>
  <c r="G57" i="7"/>
  <c r="F57" i="7"/>
  <c r="H57" i="7" s="1"/>
  <c r="D57" i="7"/>
  <c r="C57" i="7"/>
  <c r="B57" i="7"/>
  <c r="F55" i="7"/>
  <c r="H55" i="7" s="1"/>
  <c r="C55" i="7"/>
  <c r="G54" i="7"/>
  <c r="B54" i="7"/>
  <c r="D53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D76" i="13"/>
  <c r="B76" i="13"/>
  <c r="G25" i="13"/>
  <c r="F25" i="13"/>
  <c r="H25" i="13" s="1"/>
  <c r="D25" i="13"/>
  <c r="C25" i="13"/>
  <c r="B25" i="13"/>
  <c r="D226" i="7"/>
  <c r="B226" i="7"/>
  <c r="G64" i="7"/>
  <c r="F64" i="7"/>
  <c r="H64" i="7" s="1"/>
  <c r="D64" i="7"/>
  <c r="C64" i="7"/>
  <c r="B64" i="7"/>
  <c r="F60" i="7"/>
  <c r="H60" i="7" s="1"/>
  <c r="C60" i="7"/>
  <c r="G56" i="7"/>
  <c r="F56" i="7"/>
  <c r="H56" i="7" s="1"/>
  <c r="D56" i="7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D75" i="13"/>
  <c r="B75" i="13"/>
  <c r="D21" i="13"/>
  <c r="G21" i="13" s="1"/>
  <c r="B21" i="13"/>
  <c r="F233" i="7"/>
  <c r="H233" i="7" s="1"/>
  <c r="C233" i="7"/>
  <c r="F230" i="7"/>
  <c r="H230" i="7" s="1"/>
  <c r="C230" i="7"/>
  <c r="C229" i="7"/>
  <c r="G228" i="7"/>
  <c r="F228" i="7"/>
  <c r="H228" i="7" s="1"/>
  <c r="D228" i="7"/>
  <c r="C228" i="7"/>
  <c r="B228" i="7"/>
  <c r="G227" i="7"/>
  <c r="F227" i="7"/>
  <c r="H227" i="7" s="1"/>
  <c r="C227" i="7"/>
  <c r="G225" i="7"/>
  <c r="F225" i="7"/>
  <c r="H225" i="7" s="1"/>
  <c r="D225" i="7"/>
  <c r="C225" i="7"/>
  <c r="B225" i="7"/>
  <c r="F222" i="7"/>
  <c r="H222" i="7" s="1"/>
  <c r="B222" i="7"/>
  <c r="G221" i="7"/>
  <c r="F221" i="7"/>
  <c r="H221" i="7" s="1"/>
  <c r="D221" i="7"/>
  <c r="C221" i="7"/>
  <c r="B221" i="7"/>
  <c r="G220" i="7"/>
  <c r="F220" i="7"/>
  <c r="H220" i="7" s="1"/>
  <c r="C220" i="7"/>
  <c r="F219" i="7"/>
  <c r="H219" i="7" s="1"/>
  <c r="D219" i="7"/>
  <c r="B219" i="7"/>
  <c r="G217" i="7"/>
  <c r="F217" i="7"/>
  <c r="H217" i="7" s="1"/>
  <c r="D217" i="7"/>
  <c r="C217" i="7"/>
  <c r="B217" i="7"/>
  <c r="G215" i="7"/>
  <c r="F215" i="7"/>
  <c r="H215" i="7" s="1"/>
  <c r="D215" i="7"/>
  <c r="C215" i="7"/>
  <c r="F214" i="7"/>
  <c r="H214" i="7" s="1"/>
  <c r="C214" i="7"/>
  <c r="F201" i="7"/>
  <c r="H201" i="7" s="1"/>
  <c r="D201" i="7"/>
  <c r="B201" i="7"/>
  <c r="G199" i="7"/>
  <c r="F199" i="7"/>
  <c r="H199" i="7" s="1"/>
  <c r="D199" i="7"/>
  <c r="C199" i="7"/>
  <c r="B199" i="7"/>
  <c r="G196" i="7"/>
  <c r="D196" i="7"/>
  <c r="C196" i="7"/>
  <c r="F192" i="7"/>
  <c r="H192" i="7" s="1"/>
  <c r="D192" i="7"/>
  <c r="B192" i="7"/>
  <c r="D183" i="7"/>
  <c r="B183" i="7"/>
  <c r="F54" i="7"/>
  <c r="H54" i="7" s="1"/>
  <c r="D54" i="7"/>
  <c r="C54" i="7"/>
  <c r="G36" i="7"/>
  <c r="F36" i="7"/>
  <c r="H36" i="7" s="1"/>
  <c r="D36" i="7"/>
  <c r="C36" i="7"/>
  <c r="B36" i="7"/>
  <c r="D17" i="7"/>
  <c r="B17" i="7"/>
  <c r="G279" i="5"/>
  <c r="G65" i="5"/>
  <c r="G250" i="7"/>
  <c r="F250" i="7"/>
  <c r="H250" i="7" s="1"/>
  <c r="D250" i="7"/>
  <c r="C250" i="7"/>
  <c r="B250" i="7"/>
  <c r="G239" i="7"/>
  <c r="F239" i="7"/>
  <c r="H239" i="7" s="1"/>
  <c r="D239" i="7"/>
  <c r="C239" i="7"/>
  <c r="B239" i="7"/>
  <c r="G222" i="7"/>
  <c r="D222" i="7"/>
  <c r="C222" i="7"/>
  <c r="D220" i="7"/>
  <c r="B220" i="7"/>
  <c r="G219" i="7"/>
  <c r="C219" i="7"/>
  <c r="B215" i="7"/>
  <c r="G214" i="7"/>
  <c r="D214" i="7"/>
  <c r="B214" i="7"/>
  <c r="G192" i="7"/>
  <c r="C192" i="7"/>
  <c r="D184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D216" i="7"/>
  <c r="C216" i="7"/>
  <c r="B216" i="7"/>
  <c r="F213" i="7"/>
  <c r="H213" i="7" s="1"/>
  <c r="D213" i="7"/>
  <c r="B213" i="7"/>
  <c r="F188" i="7"/>
  <c r="H188" i="7" s="1"/>
  <c r="D188" i="7"/>
  <c r="B188" i="7"/>
  <c r="G223" i="7"/>
  <c r="D223" i="7"/>
  <c r="B223" i="7"/>
  <c r="G213" i="7"/>
  <c r="C213" i="7"/>
  <c r="G201" i="7"/>
  <c r="C201" i="7"/>
  <c r="F196" i="7"/>
  <c r="H196" i="7" s="1"/>
  <c r="B196" i="7"/>
  <c r="G188" i="7"/>
  <c r="C188" i="7"/>
  <c r="G22" i="7"/>
  <c r="D22" i="7"/>
  <c r="C22" i="7"/>
  <c r="G138" i="7"/>
  <c r="F138" i="7"/>
  <c r="H138" i="7" s="1"/>
  <c r="D138" i="7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D11" i="13"/>
  <c r="C11" i="13"/>
  <c r="B11" i="13"/>
  <c r="G9" i="13"/>
  <c r="F9" i="13"/>
  <c r="H9" i="13" s="1"/>
  <c r="D9" i="13"/>
  <c r="B9" i="13"/>
  <c r="D5" i="13"/>
  <c r="B5" i="13"/>
  <c r="G73" i="13"/>
  <c r="F73" i="13"/>
  <c r="H73" i="13" s="1"/>
  <c r="D73" i="13"/>
  <c r="C73" i="13"/>
  <c r="B73" i="13"/>
  <c r="G72" i="13"/>
  <c r="F72" i="13"/>
  <c r="H72" i="13" s="1"/>
  <c r="D72" i="13"/>
  <c r="C72" i="13"/>
  <c r="B72" i="13"/>
  <c r="G71" i="13"/>
  <c r="F71" i="13"/>
  <c r="H71" i="13" s="1"/>
  <c r="D71" i="13"/>
  <c r="C71" i="13"/>
  <c r="B71" i="13"/>
  <c r="G69" i="13"/>
  <c r="F69" i="13"/>
  <c r="H69" i="13" s="1"/>
  <c r="D69" i="13"/>
  <c r="C69" i="13"/>
  <c r="B69" i="13"/>
  <c r="D65" i="13"/>
  <c r="B65" i="13"/>
  <c r="D64" i="13"/>
  <c r="B64" i="13"/>
  <c r="G61" i="13"/>
  <c r="F61" i="13"/>
  <c r="H61" i="13" s="1"/>
  <c r="D61" i="13"/>
  <c r="C61" i="13"/>
  <c r="B61" i="13"/>
  <c r="G60" i="13"/>
  <c r="F60" i="13"/>
  <c r="H60" i="13" s="1"/>
  <c r="D60" i="13"/>
  <c r="C60" i="13"/>
  <c r="B60" i="13"/>
  <c r="G59" i="13"/>
  <c r="F59" i="13"/>
  <c r="H59" i="13" s="1"/>
  <c r="D59" i="13"/>
  <c r="C59" i="13"/>
  <c r="B59" i="13"/>
  <c r="G48" i="13"/>
  <c r="F48" i="13"/>
  <c r="H48" i="13" s="1"/>
  <c r="D48" i="13"/>
  <c r="C48" i="13"/>
  <c r="B48" i="13"/>
  <c r="G32" i="13"/>
  <c r="F32" i="13"/>
  <c r="H32" i="13" s="1"/>
  <c r="D32" i="13"/>
  <c r="C32" i="13"/>
  <c r="B32" i="13"/>
  <c r="G24" i="13"/>
  <c r="F24" i="13"/>
  <c r="H24" i="13" s="1"/>
  <c r="D24" i="13"/>
  <c r="C24" i="13"/>
  <c r="B24" i="13"/>
  <c r="G22" i="13"/>
  <c r="F22" i="13"/>
  <c r="H22" i="13" s="1"/>
  <c r="D22" i="13"/>
  <c r="C22" i="13"/>
  <c r="B22" i="13"/>
  <c r="D17" i="13"/>
  <c r="B17" i="13"/>
  <c r="G13" i="13"/>
  <c r="F13" i="13"/>
  <c r="H13" i="13" s="1"/>
  <c r="D13" i="13"/>
  <c r="C13" i="13"/>
  <c r="B13" i="13"/>
  <c r="C9" i="13"/>
  <c r="G7" i="13"/>
  <c r="F7" i="13"/>
  <c r="H7" i="13" s="1"/>
  <c r="D7" i="13"/>
  <c r="C7" i="13"/>
  <c r="B7" i="13"/>
  <c r="D3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D210" i="7"/>
  <c r="B210" i="7"/>
  <c r="G209" i="7"/>
  <c r="F209" i="7"/>
  <c r="H209" i="7" s="1"/>
  <c r="D209" i="7"/>
  <c r="C209" i="7"/>
  <c r="B209" i="7"/>
  <c r="G208" i="7"/>
  <c r="F208" i="7"/>
  <c r="H208" i="7" s="1"/>
  <c r="D208" i="7"/>
  <c r="C208" i="7"/>
  <c r="G207" i="7"/>
  <c r="F207" i="7"/>
  <c r="H207" i="7" s="1"/>
  <c r="D207" i="7"/>
  <c r="B207" i="7"/>
  <c r="D204" i="7"/>
  <c r="B204" i="7"/>
  <c r="G203" i="7"/>
  <c r="F203" i="7"/>
  <c r="H203" i="7" s="1"/>
  <c r="D203" i="7"/>
  <c r="C203" i="7"/>
  <c r="B203" i="7"/>
  <c r="G202" i="7"/>
  <c r="F202" i="7"/>
  <c r="H202" i="7" s="1"/>
  <c r="D202" i="7"/>
  <c r="C202" i="7"/>
  <c r="G195" i="7"/>
  <c r="F195" i="7"/>
  <c r="H195" i="7" s="1"/>
  <c r="C195" i="7"/>
  <c r="G194" i="7"/>
  <c r="F194" i="7"/>
  <c r="H194" i="7" s="1"/>
  <c r="D194" i="7"/>
  <c r="C194" i="7"/>
  <c r="B194" i="7"/>
  <c r="G193" i="7"/>
  <c r="F193" i="7"/>
  <c r="H193" i="7" s="1"/>
  <c r="D193" i="7"/>
  <c r="C193" i="7"/>
  <c r="G191" i="7"/>
  <c r="F191" i="7"/>
  <c r="H191" i="7" s="1"/>
  <c r="C191" i="7"/>
  <c r="F189" i="7"/>
  <c r="H189" i="7" s="1"/>
  <c r="D189" i="7"/>
  <c r="B189" i="7"/>
  <c r="D182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D178" i="7"/>
  <c r="C178" i="7"/>
  <c r="B178" i="7"/>
  <c r="G34" i="7"/>
  <c r="D34" i="7"/>
  <c r="B34" i="7"/>
  <c r="G33" i="7"/>
  <c r="F33" i="7"/>
  <c r="H33" i="7" s="1"/>
  <c r="D33" i="7"/>
  <c r="C33" i="7"/>
  <c r="B33" i="7"/>
  <c r="G32" i="7"/>
  <c r="F32" i="7"/>
  <c r="H32" i="7" s="1"/>
  <c r="D32" i="7"/>
  <c r="C32" i="7"/>
  <c r="B32" i="7"/>
  <c r="G31" i="7"/>
  <c r="F31" i="7"/>
  <c r="H31" i="7" s="1"/>
  <c r="D31" i="7"/>
  <c r="C31" i="7"/>
  <c r="B31" i="7"/>
  <c r="F30" i="7"/>
  <c r="H30" i="7" s="1"/>
  <c r="D30" i="7"/>
  <c r="B30" i="7"/>
  <c r="B29" i="7"/>
  <c r="G28" i="7"/>
  <c r="F28" i="7"/>
  <c r="H28" i="7" s="1"/>
  <c r="D28" i="7"/>
  <c r="C28" i="7"/>
  <c r="B28" i="7"/>
  <c r="G27" i="7"/>
  <c r="F27" i="7"/>
  <c r="H27" i="7" s="1"/>
  <c r="D27" i="7"/>
  <c r="B27" i="7"/>
  <c r="G25" i="7"/>
  <c r="F25" i="7"/>
  <c r="H25" i="7" s="1"/>
  <c r="D25" i="7"/>
  <c r="F23" i="7"/>
  <c r="H23" i="7" s="1"/>
  <c r="C23" i="7"/>
  <c r="G20" i="7"/>
  <c r="F20" i="7"/>
  <c r="H20" i="7" s="1"/>
  <c r="C20" i="7"/>
  <c r="D16" i="7"/>
  <c r="B16" i="7"/>
  <c r="G13" i="7"/>
  <c r="F13" i="7"/>
  <c r="H13" i="7" s="1"/>
  <c r="D13" i="7"/>
  <c r="C13" i="7"/>
  <c r="B13" i="7"/>
  <c r="G11" i="7"/>
  <c r="F11" i="7"/>
  <c r="H11" i="7" s="1"/>
  <c r="C11" i="7"/>
  <c r="B11" i="7"/>
  <c r="F9" i="7"/>
  <c r="H9" i="7" s="1"/>
  <c r="C9" i="7"/>
  <c r="B5" i="7"/>
  <c r="D4" i="7"/>
  <c r="B4" i="7"/>
  <c r="G9" i="5"/>
  <c r="G279" i="7"/>
  <c r="F279" i="7"/>
  <c r="H279" i="7" s="1"/>
  <c r="D279" i="7"/>
  <c r="C279" i="7"/>
  <c r="B279" i="7"/>
  <c r="G278" i="7"/>
  <c r="F278" i="7"/>
  <c r="H278" i="7" s="1"/>
  <c r="D278" i="7"/>
  <c r="C278" i="7"/>
  <c r="B278" i="7"/>
  <c r="G275" i="7"/>
  <c r="F275" i="7"/>
  <c r="H275" i="7" s="1"/>
  <c r="D275" i="7"/>
  <c r="C275" i="7"/>
  <c r="B275" i="7"/>
  <c r="G273" i="7"/>
  <c r="F273" i="7"/>
  <c r="H273" i="7" s="1"/>
  <c r="D273" i="7"/>
  <c r="C273" i="7"/>
  <c r="B273" i="7"/>
  <c r="G272" i="7"/>
  <c r="F272" i="7"/>
  <c r="H272" i="7" s="1"/>
  <c r="D272" i="7"/>
  <c r="C272" i="7"/>
  <c r="B272" i="7"/>
  <c r="G265" i="7"/>
  <c r="F265" i="7"/>
  <c r="H265" i="7" s="1"/>
  <c r="D265" i="7"/>
  <c r="C265" i="7"/>
  <c r="B265" i="7"/>
  <c r="G264" i="7"/>
  <c r="F264" i="7"/>
  <c r="H264" i="7" s="1"/>
  <c r="D264" i="7"/>
  <c r="C264" i="7"/>
  <c r="B264" i="7"/>
  <c r="G211" i="7"/>
  <c r="F211" i="7"/>
  <c r="H211" i="7" s="1"/>
  <c r="D211" i="7"/>
  <c r="B211" i="7"/>
  <c r="F210" i="7"/>
  <c r="H210" i="7" s="1"/>
  <c r="C210" i="7"/>
  <c r="B208" i="7"/>
  <c r="C207" i="7"/>
  <c r="G204" i="7"/>
  <c r="F204" i="7"/>
  <c r="H204" i="7" s="1"/>
  <c r="C204" i="7"/>
  <c r="B202" i="7"/>
  <c r="D195" i="7"/>
  <c r="B195" i="7"/>
  <c r="B193" i="7"/>
  <c r="D191" i="7"/>
  <c r="B191" i="7"/>
  <c r="G189" i="7"/>
  <c r="C189" i="7"/>
  <c r="D181" i="7"/>
  <c r="B181" i="7"/>
  <c r="F180" i="7"/>
  <c r="H180" i="7" s="1"/>
  <c r="D180" i="7"/>
  <c r="B180" i="7"/>
  <c r="D179" i="7"/>
  <c r="F175" i="7"/>
  <c r="H175" i="7" s="1"/>
  <c r="C175" i="7"/>
  <c r="F34" i="7"/>
  <c r="H34" i="7" s="1"/>
  <c r="C34" i="7"/>
  <c r="G30" i="7"/>
  <c r="C30" i="7"/>
  <c r="G29" i="7"/>
  <c r="F29" i="7"/>
  <c r="H29" i="7" s="1"/>
  <c r="D29" i="7"/>
  <c r="C29" i="7"/>
  <c r="C27" i="7"/>
  <c r="B25" i="7"/>
  <c r="F24" i="7"/>
  <c r="H24" i="7" s="1"/>
  <c r="C24" i="7"/>
  <c r="G23" i="7"/>
  <c r="D23" i="7"/>
  <c r="B23" i="7"/>
  <c r="G21" i="7"/>
  <c r="D21" i="7"/>
  <c r="B21" i="7"/>
  <c r="D20" i="7"/>
  <c r="B20" i="7"/>
  <c r="D19" i="7"/>
  <c r="B19" i="7"/>
  <c r="B18" i="7"/>
  <c r="D11" i="7"/>
  <c r="G10" i="7"/>
  <c r="F10" i="7"/>
  <c r="H10" i="7" s="1"/>
  <c r="B10" i="7"/>
  <c r="G9" i="7"/>
  <c r="D9" i="7"/>
  <c r="B9" i="7"/>
  <c r="F8" i="7"/>
  <c r="H8" i="7" s="1"/>
  <c r="D8" i="7"/>
  <c r="B8" i="7"/>
  <c r="D7" i="7"/>
  <c r="B7" i="7"/>
  <c r="G167" i="7"/>
  <c r="F167" i="7"/>
  <c r="H167" i="7" s="1"/>
  <c r="D167" i="7"/>
  <c r="C167" i="7"/>
  <c r="B167" i="7"/>
  <c r="G156" i="7"/>
  <c r="F156" i="7"/>
  <c r="H156" i="7" s="1"/>
  <c r="D156" i="7"/>
  <c r="C156" i="7"/>
  <c r="B156" i="7"/>
  <c r="G146" i="7"/>
  <c r="F146" i="7"/>
  <c r="H146" i="7" s="1"/>
  <c r="D146" i="7"/>
  <c r="C146" i="7"/>
  <c r="B146" i="7"/>
  <c r="G145" i="7"/>
  <c r="F145" i="7"/>
  <c r="H145" i="7" s="1"/>
  <c r="D145" i="7"/>
  <c r="C145" i="7"/>
  <c r="B145" i="7"/>
  <c r="G143" i="7"/>
  <c r="F143" i="7"/>
  <c r="H143" i="7" s="1"/>
  <c r="D143" i="7"/>
  <c r="C143" i="7"/>
  <c r="B143" i="7"/>
  <c r="G139" i="7"/>
  <c r="F139" i="7"/>
  <c r="H139" i="7" s="1"/>
  <c r="D139" i="7"/>
  <c r="C139" i="7"/>
  <c r="B139" i="7"/>
  <c r="D134" i="7"/>
  <c r="B134" i="7"/>
  <c r="G131" i="7"/>
  <c r="F131" i="7"/>
  <c r="H131" i="7" s="1"/>
  <c r="D131" i="7"/>
  <c r="C131" i="7"/>
  <c r="B131" i="7"/>
  <c r="G123" i="7"/>
  <c r="F123" i="7"/>
  <c r="H123" i="7" s="1"/>
  <c r="D123" i="7"/>
  <c r="C123" i="7"/>
  <c r="B123" i="7"/>
  <c r="G122" i="7"/>
  <c r="F122" i="7"/>
  <c r="H122" i="7" s="1"/>
  <c r="D122" i="7"/>
  <c r="C122" i="7"/>
  <c r="B122" i="7"/>
  <c r="D99" i="7"/>
  <c r="B99" i="7"/>
  <c r="B160" i="15" s="1"/>
  <c r="C25" i="7"/>
  <c r="G24" i="7"/>
  <c r="D24" i="7"/>
  <c r="B24" i="7"/>
  <c r="F21" i="7"/>
  <c r="H21" i="7" s="1"/>
  <c r="C21" i="7"/>
  <c r="D18" i="7"/>
  <c r="D15" i="7"/>
  <c r="B15" i="7"/>
  <c r="C15" i="7" s="1"/>
  <c r="C76" i="15" s="1"/>
  <c r="D14" i="7"/>
  <c r="F14" i="7" s="1"/>
  <c r="B14" i="7"/>
  <c r="G12" i="7"/>
  <c r="F12" i="7"/>
  <c r="H12" i="7" s="1"/>
  <c r="D12" i="7"/>
  <c r="C12" i="7"/>
  <c r="B12" i="7"/>
  <c r="D10" i="7"/>
  <c r="C10" i="7"/>
  <c r="G8" i="7"/>
  <c r="C8" i="7"/>
  <c r="D6" i="7"/>
  <c r="B6" i="7"/>
  <c r="D5" i="7"/>
  <c r="G5" i="7" s="1"/>
  <c r="D3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D82" i="13"/>
  <c r="C82" i="13"/>
  <c r="B82" i="13"/>
  <c r="G58" i="13"/>
  <c r="F58" i="13"/>
  <c r="H58" i="13" s="1"/>
  <c r="D58" i="13"/>
  <c r="C58" i="13"/>
  <c r="B58" i="13"/>
  <c r="G55" i="13"/>
  <c r="F55" i="13"/>
  <c r="H55" i="13" s="1"/>
  <c r="D55" i="13"/>
  <c r="C55" i="13"/>
  <c r="B55" i="13"/>
  <c r="D53" i="13"/>
  <c r="B53" i="13"/>
  <c r="D51" i="13"/>
  <c r="B51" i="13"/>
  <c r="G47" i="13"/>
  <c r="F47" i="13"/>
  <c r="H47" i="13" s="1"/>
  <c r="D47" i="13"/>
  <c r="C47" i="13"/>
  <c r="B47" i="13"/>
  <c r="G44" i="13"/>
  <c r="F44" i="13"/>
  <c r="H44" i="13" s="1"/>
  <c r="D44" i="13"/>
  <c r="C44" i="13"/>
  <c r="B44" i="13"/>
  <c r="D42" i="13"/>
  <c r="B42" i="13"/>
  <c r="D39" i="13"/>
  <c r="B39" i="13"/>
  <c r="G10" i="13"/>
  <c r="F10" i="13"/>
  <c r="H10" i="13" s="1"/>
  <c r="D10" i="13"/>
  <c r="C10" i="13"/>
  <c r="B10" i="13"/>
  <c r="D4" i="13"/>
  <c r="B4" i="13"/>
  <c r="B468" i="8"/>
  <c r="G175" i="7"/>
  <c r="D175" i="7"/>
  <c r="B175" i="7"/>
  <c r="D119" i="7"/>
  <c r="D113" i="7"/>
  <c r="D174" i="15" s="1"/>
  <c r="G109" i="7"/>
  <c r="D109" i="7"/>
  <c r="C109" i="7"/>
  <c r="G286" i="7"/>
  <c r="F286" i="7"/>
  <c r="H286" i="7" s="1"/>
  <c r="D286" i="7"/>
  <c r="C286" i="7"/>
  <c r="B286" i="7"/>
  <c r="G284" i="7"/>
  <c r="F284" i="7"/>
  <c r="H284" i="7" s="1"/>
  <c r="D284" i="7"/>
  <c r="C284" i="7"/>
  <c r="B284" i="7"/>
  <c r="G283" i="7"/>
  <c r="F283" i="7"/>
  <c r="H283" i="7" s="1"/>
  <c r="D283" i="7"/>
  <c r="C283" i="7"/>
  <c r="B283" i="7"/>
  <c r="G277" i="7"/>
  <c r="F277" i="7"/>
  <c r="H277" i="7" s="1"/>
  <c r="D277" i="7"/>
  <c r="C277" i="7"/>
  <c r="B277" i="7"/>
  <c r="G276" i="7"/>
  <c r="F276" i="7"/>
  <c r="H276" i="7" s="1"/>
  <c r="D276" i="7"/>
  <c r="C276" i="7"/>
  <c r="B276" i="7"/>
  <c r="G274" i="7"/>
  <c r="F274" i="7"/>
  <c r="H274" i="7" s="1"/>
  <c r="D274" i="7"/>
  <c r="C274" i="7"/>
  <c r="B274" i="7"/>
  <c r="G270" i="7"/>
  <c r="F270" i="7"/>
  <c r="H270" i="7" s="1"/>
  <c r="D270" i="7"/>
  <c r="C270" i="7"/>
  <c r="B270" i="7"/>
  <c r="G267" i="7"/>
  <c r="F267" i="7"/>
  <c r="H267" i="7" s="1"/>
  <c r="D267" i="7"/>
  <c r="C267" i="7"/>
  <c r="B267" i="7"/>
  <c r="G266" i="7"/>
  <c r="F266" i="7"/>
  <c r="H266" i="7" s="1"/>
  <c r="D266" i="7"/>
  <c r="C266" i="7"/>
  <c r="B266" i="7"/>
  <c r="G170" i="7"/>
  <c r="F170" i="7"/>
  <c r="H170" i="7" s="1"/>
  <c r="D170" i="7"/>
  <c r="C170" i="7"/>
  <c r="B170" i="7"/>
  <c r="G168" i="7"/>
  <c r="F168" i="7"/>
  <c r="H168" i="7" s="1"/>
  <c r="D168" i="7"/>
  <c r="C168" i="7"/>
  <c r="B168" i="7"/>
  <c r="G166" i="7"/>
  <c r="F166" i="7"/>
  <c r="H166" i="7" s="1"/>
  <c r="D166" i="7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2" i="7"/>
  <c r="D63" i="15" s="1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D12" i="13"/>
  <c r="C12" i="13"/>
  <c r="B12" i="13"/>
  <c r="G8" i="13"/>
  <c r="F8" i="13"/>
  <c r="H8" i="13" s="1"/>
  <c r="D8" i="13"/>
  <c r="C8" i="13"/>
  <c r="B8" i="13"/>
  <c r="D6" i="13"/>
  <c r="B6" i="13"/>
  <c r="J4" i="10"/>
  <c r="D480" i="8"/>
  <c r="D470" i="8"/>
  <c r="D464" i="8"/>
  <c r="D463" i="8"/>
  <c r="B462" i="8"/>
  <c r="G85" i="13"/>
  <c r="F85" i="13"/>
  <c r="H85" i="13" s="1"/>
  <c r="D85" i="13"/>
  <c r="C85" i="13"/>
  <c r="B85" i="13"/>
  <c r="G83" i="13"/>
  <c r="F83" i="13"/>
  <c r="H83" i="13" s="1"/>
  <c r="D83" i="13"/>
  <c r="C83" i="13"/>
  <c r="B83" i="13"/>
  <c r="G81" i="13"/>
  <c r="F81" i="13"/>
  <c r="H81" i="13" s="1"/>
  <c r="D81" i="13"/>
  <c r="C81" i="13"/>
  <c r="B81" i="13"/>
  <c r="G80" i="13"/>
  <c r="F80" i="13"/>
  <c r="H80" i="13" s="1"/>
  <c r="D80" i="13"/>
  <c r="C80" i="13"/>
  <c r="B80" i="13"/>
  <c r="G289" i="7"/>
  <c r="D289" i="7"/>
  <c r="B289" i="7"/>
  <c r="G288" i="7"/>
  <c r="D288" i="7"/>
  <c r="C288" i="7"/>
  <c r="G287" i="7"/>
  <c r="D287" i="7"/>
  <c r="B287" i="7"/>
  <c r="G285" i="7"/>
  <c r="F285" i="7"/>
  <c r="H285" i="7" s="1"/>
  <c r="D285" i="7"/>
  <c r="C285" i="7"/>
  <c r="B282" i="7"/>
  <c r="D281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D57" i="13"/>
  <c r="C57" i="13"/>
  <c r="B57" i="13"/>
  <c r="G56" i="13"/>
  <c r="F56" i="13"/>
  <c r="H56" i="13" s="1"/>
  <c r="D56" i="13"/>
  <c r="C56" i="13"/>
  <c r="B56" i="13"/>
  <c r="G54" i="13"/>
  <c r="F54" i="13"/>
  <c r="H54" i="13" s="1"/>
  <c r="D54" i="13"/>
  <c r="C54" i="13"/>
  <c r="B54" i="13"/>
  <c r="D52" i="13"/>
  <c r="B52" i="13"/>
  <c r="D50" i="13"/>
  <c r="B50" i="13"/>
  <c r="G49" i="13"/>
  <c r="F49" i="13"/>
  <c r="H49" i="13" s="1"/>
  <c r="D49" i="13"/>
  <c r="C49" i="13"/>
  <c r="B49" i="13"/>
  <c r="G46" i="13"/>
  <c r="F46" i="13"/>
  <c r="H46" i="13" s="1"/>
  <c r="D46" i="13"/>
  <c r="C46" i="13"/>
  <c r="B46" i="13"/>
  <c r="G45" i="13"/>
  <c r="F45" i="13"/>
  <c r="H45" i="13" s="1"/>
  <c r="D45" i="13"/>
  <c r="C45" i="13"/>
  <c r="B45" i="13"/>
  <c r="D43" i="13"/>
  <c r="B43" i="13"/>
  <c r="D41" i="13"/>
  <c r="B41" i="13"/>
  <c r="D40" i="13"/>
  <c r="B40" i="13"/>
  <c r="D38" i="13"/>
  <c r="B38" i="13"/>
  <c r="G37" i="13"/>
  <c r="F37" i="13"/>
  <c r="H37" i="13" s="1"/>
  <c r="D37" i="13"/>
  <c r="C37" i="13"/>
  <c r="B37" i="13"/>
  <c r="G36" i="13"/>
  <c r="F36" i="13"/>
  <c r="H36" i="13" s="1"/>
  <c r="D36" i="13"/>
  <c r="C36" i="13"/>
  <c r="B36" i="13"/>
  <c r="G35" i="13"/>
  <c r="F35" i="13"/>
  <c r="H35" i="13" s="1"/>
  <c r="D35" i="13"/>
  <c r="C35" i="13"/>
  <c r="B35" i="13"/>
  <c r="G34" i="13"/>
  <c r="F34" i="13"/>
  <c r="H34" i="13" s="1"/>
  <c r="D34" i="13"/>
  <c r="C34" i="13"/>
  <c r="B34" i="13"/>
  <c r="G33" i="13"/>
  <c r="F33" i="13"/>
  <c r="H33" i="13" s="1"/>
  <c r="D33" i="13"/>
  <c r="C33" i="13"/>
  <c r="B33" i="13"/>
  <c r="G31" i="13"/>
  <c r="F31" i="13"/>
  <c r="H31" i="13" s="1"/>
  <c r="D31" i="13"/>
  <c r="C31" i="13"/>
  <c r="B31" i="13"/>
  <c r="G30" i="13"/>
  <c r="F30" i="13"/>
  <c r="H30" i="13" s="1"/>
  <c r="D30" i="13"/>
  <c r="C30" i="13"/>
  <c r="B30" i="13"/>
  <c r="D29" i="13"/>
  <c r="B29" i="13"/>
  <c r="G23" i="13"/>
  <c r="F23" i="13"/>
  <c r="H23" i="13" s="1"/>
  <c r="D23" i="13"/>
  <c r="C23" i="13"/>
  <c r="B23" i="13"/>
  <c r="D14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D176" i="7"/>
  <c r="C176" i="7"/>
  <c r="G174" i="7"/>
  <c r="F174" i="7"/>
  <c r="H174" i="7" s="1"/>
  <c r="D174" i="7"/>
  <c r="C174" i="7"/>
  <c r="B174" i="7"/>
  <c r="G67" i="7"/>
  <c r="F67" i="7"/>
  <c r="H67" i="7" s="1"/>
  <c r="D67" i="7"/>
  <c r="C67" i="7"/>
  <c r="B67" i="7"/>
  <c r="F66" i="7"/>
  <c r="H66" i="7" s="1"/>
  <c r="D66" i="7"/>
  <c r="B66" i="7"/>
  <c r="F65" i="7"/>
  <c r="H65" i="7" s="1"/>
  <c r="D65" i="7"/>
  <c r="B65" i="7"/>
  <c r="G246" i="5"/>
  <c r="G35" i="5"/>
  <c r="C289" i="7"/>
  <c r="B288" i="7"/>
  <c r="B285" i="7"/>
  <c r="G282" i="7"/>
  <c r="D282" i="7"/>
  <c r="G281" i="7"/>
  <c r="C281" i="7"/>
  <c r="D280" i="7"/>
  <c r="D474" i="8"/>
  <c r="E466" i="8"/>
  <c r="B466" i="8"/>
  <c r="G176" i="7"/>
  <c r="B176" i="7"/>
  <c r="G169" i="7"/>
  <c r="F169" i="7"/>
  <c r="H169" i="7" s="1"/>
  <c r="D169" i="7"/>
  <c r="C169" i="7"/>
  <c r="B169" i="7"/>
  <c r="G165" i="7"/>
  <c r="F165" i="7"/>
  <c r="H165" i="7" s="1"/>
  <c r="D165" i="7"/>
  <c r="C165" i="7"/>
  <c r="B165" i="7"/>
  <c r="G164" i="7"/>
  <c r="F164" i="7"/>
  <c r="H164" i="7" s="1"/>
  <c r="D164" i="7"/>
  <c r="C164" i="7"/>
  <c r="B164" i="7"/>
  <c r="G163" i="7"/>
  <c r="F163" i="7"/>
  <c r="H163" i="7" s="1"/>
  <c r="D163" i="7"/>
  <c r="C163" i="7"/>
  <c r="B163" i="7"/>
  <c r="G162" i="7"/>
  <c r="F162" i="7"/>
  <c r="H162" i="7" s="1"/>
  <c r="D162" i="7"/>
  <c r="C162" i="7"/>
  <c r="B162" i="7"/>
  <c r="G161" i="7"/>
  <c r="F161" i="7"/>
  <c r="H161" i="7" s="1"/>
  <c r="D161" i="7"/>
  <c r="C161" i="7"/>
  <c r="B161" i="7"/>
  <c r="G160" i="7"/>
  <c r="F160" i="7"/>
  <c r="H160" i="7" s="1"/>
  <c r="D160" i="7"/>
  <c r="C160" i="7"/>
  <c r="B160" i="7"/>
  <c r="G159" i="7"/>
  <c r="F159" i="7"/>
  <c r="H159" i="7" s="1"/>
  <c r="D159" i="7"/>
  <c r="C159" i="7"/>
  <c r="B159" i="7"/>
  <c r="G158" i="7"/>
  <c r="F158" i="7"/>
  <c r="H158" i="7" s="1"/>
  <c r="D158" i="7"/>
  <c r="C158" i="7"/>
  <c r="B158" i="7"/>
  <c r="G157" i="7"/>
  <c r="F157" i="7"/>
  <c r="H157" i="7" s="1"/>
  <c r="D157" i="7"/>
  <c r="C157" i="7"/>
  <c r="B157" i="7"/>
  <c r="G155" i="7"/>
  <c r="F155" i="7"/>
  <c r="H155" i="7" s="1"/>
  <c r="D155" i="7"/>
  <c r="C155" i="7"/>
  <c r="B155" i="7"/>
  <c r="G154" i="7"/>
  <c r="F154" i="7"/>
  <c r="H154" i="7" s="1"/>
  <c r="D154" i="7"/>
  <c r="C154" i="7"/>
  <c r="B154" i="7"/>
  <c r="G153" i="7"/>
  <c r="F153" i="7"/>
  <c r="H153" i="7" s="1"/>
  <c r="D153" i="7"/>
  <c r="C153" i="7"/>
  <c r="B153" i="7"/>
  <c r="G152" i="7"/>
  <c r="F152" i="7"/>
  <c r="H152" i="7" s="1"/>
  <c r="D152" i="7"/>
  <c r="C152" i="7"/>
  <c r="B152" i="7"/>
  <c r="G151" i="7"/>
  <c r="F151" i="7"/>
  <c r="H151" i="7" s="1"/>
  <c r="D151" i="7"/>
  <c r="C151" i="7"/>
  <c r="B151" i="7"/>
  <c r="G150" i="7"/>
  <c r="F150" i="7"/>
  <c r="H150" i="7" s="1"/>
  <c r="D150" i="7"/>
  <c r="C150" i="7"/>
  <c r="B150" i="7"/>
  <c r="G149" i="7"/>
  <c r="F149" i="7"/>
  <c r="H149" i="7" s="1"/>
  <c r="D149" i="7"/>
  <c r="C149" i="7"/>
  <c r="B149" i="7"/>
  <c r="G148" i="7"/>
  <c r="F148" i="7"/>
  <c r="H148" i="7" s="1"/>
  <c r="D148" i="7"/>
  <c r="C148" i="7"/>
  <c r="B148" i="7"/>
  <c r="G147" i="7"/>
  <c r="F147" i="7"/>
  <c r="H147" i="7" s="1"/>
  <c r="D147" i="7"/>
  <c r="C147" i="7"/>
  <c r="B147" i="7"/>
  <c r="G144" i="7"/>
  <c r="F144" i="7"/>
  <c r="H144" i="7" s="1"/>
  <c r="D144" i="7"/>
  <c r="C144" i="7"/>
  <c r="B144" i="7"/>
  <c r="G142" i="7"/>
  <c r="F142" i="7"/>
  <c r="H142" i="7" s="1"/>
  <c r="D142" i="7"/>
  <c r="C142" i="7"/>
  <c r="B142" i="7"/>
  <c r="G141" i="7"/>
  <c r="F141" i="7"/>
  <c r="H141" i="7" s="1"/>
  <c r="D141" i="7"/>
  <c r="C141" i="7"/>
  <c r="B141" i="7"/>
  <c r="G140" i="7"/>
  <c r="F140" i="7"/>
  <c r="H140" i="7" s="1"/>
  <c r="D140" i="7"/>
  <c r="C140" i="7"/>
  <c r="B140" i="7"/>
  <c r="G137" i="7"/>
  <c r="F137" i="7"/>
  <c r="H137" i="7" s="1"/>
  <c r="D137" i="7"/>
  <c r="C137" i="7"/>
  <c r="B137" i="7"/>
  <c r="G136" i="7"/>
  <c r="F136" i="7"/>
  <c r="H136" i="7" s="1"/>
  <c r="D136" i="7"/>
  <c r="C136" i="7"/>
  <c r="B136" i="7"/>
  <c r="G135" i="7"/>
  <c r="F135" i="7"/>
  <c r="H135" i="7" s="1"/>
  <c r="D135" i="7"/>
  <c r="C135" i="7"/>
  <c r="B135" i="7"/>
  <c r="G132" i="7"/>
  <c r="F132" i="7"/>
  <c r="H132" i="7" s="1"/>
  <c r="D132" i="7"/>
  <c r="C132" i="7"/>
  <c r="B132" i="7"/>
  <c r="G130" i="7"/>
  <c r="F130" i="7"/>
  <c r="H130" i="7" s="1"/>
  <c r="D130" i="7"/>
  <c r="C130" i="7"/>
  <c r="B130" i="7"/>
  <c r="G129" i="7"/>
  <c r="F129" i="7"/>
  <c r="H129" i="7" s="1"/>
  <c r="D129" i="7"/>
  <c r="C129" i="7"/>
  <c r="B129" i="7"/>
  <c r="G128" i="7"/>
  <c r="F128" i="7"/>
  <c r="H128" i="7" s="1"/>
  <c r="D128" i="7"/>
  <c r="C128" i="7"/>
  <c r="B128" i="7"/>
  <c r="G127" i="7"/>
  <c r="F127" i="7"/>
  <c r="H127" i="7" s="1"/>
  <c r="D127" i="7"/>
  <c r="C127" i="7"/>
  <c r="B127" i="7"/>
  <c r="G126" i="7"/>
  <c r="F126" i="7"/>
  <c r="H126" i="7" s="1"/>
  <c r="D126" i="7"/>
  <c r="C126" i="7"/>
  <c r="B126" i="7"/>
  <c r="G125" i="7"/>
  <c r="F125" i="7"/>
  <c r="H125" i="7" s="1"/>
  <c r="D125" i="7"/>
  <c r="C125" i="7"/>
  <c r="B125" i="7"/>
  <c r="G124" i="7"/>
  <c r="F124" i="7"/>
  <c r="H124" i="7" s="1"/>
  <c r="D124" i="7"/>
  <c r="C124" i="7"/>
  <c r="B124" i="7"/>
  <c r="G121" i="7"/>
  <c r="F121" i="7"/>
  <c r="H121" i="7" s="1"/>
  <c r="D121" i="7"/>
  <c r="C121" i="7"/>
  <c r="B121" i="7"/>
  <c r="G120" i="7"/>
  <c r="F120" i="7"/>
  <c r="H120" i="7" s="1"/>
  <c r="D120" i="7"/>
  <c r="C120" i="7"/>
  <c r="B120" i="7"/>
  <c r="G118" i="7"/>
  <c r="F118" i="7"/>
  <c r="H118" i="7" s="1"/>
  <c r="D118" i="7"/>
  <c r="C118" i="7"/>
  <c r="B118" i="7"/>
  <c r="G117" i="7"/>
  <c r="F117" i="7"/>
  <c r="H117" i="7" s="1"/>
  <c r="D117" i="7"/>
  <c r="C117" i="7"/>
  <c r="B117" i="7"/>
  <c r="G116" i="7"/>
  <c r="F116" i="7"/>
  <c r="H116" i="7" s="1"/>
  <c r="D116" i="7"/>
  <c r="C116" i="7"/>
  <c r="B116" i="7"/>
  <c r="G115" i="7"/>
  <c r="F115" i="7"/>
  <c r="H115" i="7" s="1"/>
  <c r="D115" i="7"/>
  <c r="C115" i="7"/>
  <c r="B115" i="7"/>
  <c r="D114" i="7"/>
  <c r="D175" i="15" s="1"/>
  <c r="B114" i="7"/>
  <c r="B175" i="15" s="1"/>
  <c r="D112" i="7"/>
  <c r="D173" i="15" s="1"/>
  <c r="B112" i="7"/>
  <c r="B173" i="15" s="1"/>
  <c r="D111" i="7"/>
  <c r="D172" i="15" s="1"/>
  <c r="B111" i="7"/>
  <c r="B172" i="15" s="1"/>
  <c r="D110" i="7"/>
  <c r="D171" i="15" s="1"/>
  <c r="B110" i="7"/>
  <c r="B171" i="15" s="1"/>
  <c r="G108" i="7"/>
  <c r="F108" i="7"/>
  <c r="H108" i="7" s="1"/>
  <c r="D108" i="7"/>
  <c r="C108" i="7"/>
  <c r="B108" i="7"/>
  <c r="G107" i="7"/>
  <c r="F107" i="7"/>
  <c r="H107" i="7" s="1"/>
  <c r="D107" i="7"/>
  <c r="C107" i="7"/>
  <c r="B107" i="7"/>
  <c r="G106" i="7"/>
  <c r="F106" i="7"/>
  <c r="H106" i="7" s="1"/>
  <c r="D106" i="7"/>
  <c r="C106" i="7"/>
  <c r="B106" i="7"/>
  <c r="G105" i="7"/>
  <c r="F105" i="7"/>
  <c r="H105" i="7" s="1"/>
  <c r="D105" i="7"/>
  <c r="C105" i="7"/>
  <c r="B105" i="7"/>
  <c r="D104" i="7"/>
  <c r="D165" i="15" s="1"/>
  <c r="B104" i="7"/>
  <c r="B165" i="15" s="1"/>
  <c r="D103" i="7"/>
  <c r="D164" i="15" s="1"/>
  <c r="B103" i="7"/>
  <c r="B164" i="15" s="1"/>
  <c r="D102" i="7"/>
  <c r="D163" i="15" s="1"/>
  <c r="B102" i="7"/>
  <c r="B163" i="15" s="1"/>
  <c r="J2" i="10"/>
  <c r="D481" i="8"/>
  <c r="C480" i="8"/>
  <c r="D476" i="8"/>
  <c r="C474" i="8"/>
  <c r="E472" i="8"/>
  <c r="B469" i="8"/>
  <c r="B465" i="8"/>
  <c r="B464" i="8"/>
  <c r="D101" i="7"/>
  <c r="D162" i="15" s="1"/>
  <c r="B101" i="7"/>
  <c r="B162" i="15" s="1"/>
  <c r="D100" i="7"/>
  <c r="D161" i="15" s="1"/>
  <c r="B100" i="7"/>
  <c r="B161" i="15" s="1"/>
  <c r="D98" i="7"/>
  <c r="D159" i="15" s="1"/>
  <c r="B98" i="7"/>
  <c r="B159" i="15" s="1"/>
  <c r="G97" i="7"/>
  <c r="F97" i="7"/>
  <c r="H97" i="7" s="1"/>
  <c r="D97" i="7"/>
  <c r="C97" i="7"/>
  <c r="B97" i="7"/>
  <c r="G96" i="7"/>
  <c r="F96" i="7"/>
  <c r="H96" i="7" s="1"/>
  <c r="D96" i="7"/>
  <c r="C96" i="7"/>
  <c r="B96" i="7"/>
  <c r="G95" i="7"/>
  <c r="F95" i="7"/>
  <c r="H95" i="7" s="1"/>
  <c r="D95" i="7"/>
  <c r="C95" i="7"/>
  <c r="B95" i="7"/>
  <c r="G94" i="7"/>
  <c r="F94" i="7"/>
  <c r="H94" i="7" s="1"/>
  <c r="D94" i="7"/>
  <c r="C94" i="7"/>
  <c r="B94" i="7"/>
  <c r="G93" i="7"/>
  <c r="F93" i="7"/>
  <c r="H93" i="7" s="1"/>
  <c r="D93" i="7"/>
  <c r="C93" i="7"/>
  <c r="B93" i="7"/>
  <c r="D90" i="7"/>
  <c r="B90" i="7"/>
  <c r="D88" i="7"/>
  <c r="B88" i="7"/>
  <c r="D87" i="7"/>
  <c r="B87" i="7"/>
  <c r="G84" i="7"/>
  <c r="F84" i="7"/>
  <c r="H84" i="7" s="1"/>
  <c r="D84" i="7"/>
  <c r="C84" i="7"/>
  <c r="B84" i="7"/>
  <c r="G81" i="7"/>
  <c r="F81" i="7"/>
  <c r="H81" i="7" s="1"/>
  <c r="D81" i="7"/>
  <c r="C81" i="7"/>
  <c r="B81" i="7"/>
  <c r="G80" i="7"/>
  <c r="F80" i="7"/>
  <c r="H80" i="7" s="1"/>
  <c r="D80" i="7"/>
  <c r="C80" i="7"/>
  <c r="B80" i="7"/>
  <c r="D79" i="7"/>
  <c r="B79" i="7"/>
  <c r="D76" i="7"/>
  <c r="B76" i="7"/>
  <c r="D75" i="7"/>
  <c r="B75" i="7"/>
  <c r="G72" i="7"/>
  <c r="F72" i="7"/>
  <c r="H72" i="7" s="1"/>
  <c r="D72" i="7"/>
  <c r="C72" i="7"/>
  <c r="B72" i="7"/>
  <c r="G71" i="7"/>
  <c r="F71" i="7"/>
  <c r="H71" i="7" s="1"/>
  <c r="D71" i="7"/>
  <c r="C71" i="7"/>
  <c r="B71" i="7"/>
  <c r="G70" i="7"/>
  <c r="F70" i="7"/>
  <c r="H70" i="7" s="1"/>
  <c r="D70" i="7"/>
  <c r="C70" i="7"/>
  <c r="B70" i="7"/>
  <c r="G68" i="7"/>
  <c r="F68" i="7"/>
  <c r="H68" i="7" s="1"/>
  <c r="D68" i="7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D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D177" i="7"/>
  <c r="F177" i="7"/>
  <c r="H177" i="7" s="1"/>
  <c r="G177" i="7"/>
  <c r="A238" i="15"/>
  <c r="B238" i="15"/>
  <c r="C238" i="15"/>
  <c r="D238" i="15"/>
  <c r="E238" i="15"/>
  <c r="F238" i="15"/>
  <c r="B173" i="7"/>
  <c r="C173" i="7"/>
  <c r="D173" i="7"/>
  <c r="F173" i="7"/>
  <c r="H173" i="7" s="1"/>
  <c r="G173" i="7"/>
  <c r="A234" i="15"/>
  <c r="B234" i="15"/>
  <c r="C234" i="15"/>
  <c r="D234" i="15"/>
  <c r="E234" i="15"/>
  <c r="F234" i="15"/>
  <c r="B172" i="7"/>
  <c r="C172" i="7"/>
  <c r="D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D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F19" i="7" l="1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C98" i="7"/>
  <c r="C159" i="15" s="1"/>
  <c r="F90" i="7"/>
  <c r="G88" i="7"/>
  <c r="F88" i="7"/>
  <c r="G87" i="7"/>
  <c r="F87" i="7"/>
  <c r="D65" i="8" s="1"/>
  <c r="E65" i="8" s="1"/>
  <c r="G79" i="7"/>
  <c r="F79" i="7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D370" i="8"/>
  <c r="D367" i="8"/>
  <c r="D362" i="8"/>
  <c r="C246" i="8"/>
  <c r="D246" i="8"/>
  <c r="D242" i="8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D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D425" i="8"/>
  <c r="E425" i="8" s="1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D364" i="8"/>
  <c r="C363" i="8"/>
  <c r="D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75" i="15"/>
  <c r="H14" i="7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D64" i="8"/>
  <c r="E64" i="8" s="1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E362" i="8"/>
  <c r="C7" i="8"/>
  <c r="D7" i="8"/>
  <c r="E7" i="8" s="1"/>
  <c r="C6" i="8"/>
  <c r="D6" i="8"/>
  <c r="E6" i="8" s="1"/>
  <c r="C5" i="8"/>
  <c r="D5" i="8"/>
  <c r="E5" i="8" s="1"/>
  <c r="C4" i="8"/>
  <c r="D4" i="8"/>
  <c r="E4" i="8" s="1"/>
  <c r="C3" i="8"/>
  <c r="C2" i="8"/>
  <c r="D2" i="8"/>
  <c r="E2" i="8" s="1"/>
  <c r="D458" i="8"/>
  <c r="E458" i="8" s="1"/>
  <c r="E371" i="8"/>
  <c r="E242" i="8"/>
  <c r="F80" i="15" l="1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<sst xmlns="http://schemas.openxmlformats.org/spreadsheetml/2006/main" count="991" uniqueCount="440">
  <si>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</si>
  <si>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</si>
  <si>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</si>
  <si>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</si>
  <si>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</si>
  <si>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</si>
  <si>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</si>
  <si>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</si>
  <si>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</si>
  <si>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</si>
  <si>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</si>
  <si>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</si>
  <si>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</si>
  <si>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</si>
  <si>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</si>
  <si>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</si>
  <si>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</si>
  <si>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</si>
  <si>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</si>
  <si>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</si>
  <si>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</si>
  <si>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</si>
  <si>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</si>
  <si>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</si>
  <si>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</si>
  <si>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</si>
  <si>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</si>
  <si>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</si>
  <si>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</si>
  <si>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</si>
  <si>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</si>
  <si>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</si>
  <si>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</si>
  <si>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</si>
  <si>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</si>
  <si>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</si>
  <si>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</si>
  <si>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</si>
  <si>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</si>
  <si>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</si>
  <si>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</si>
  <si>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</si>
  <si>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</si>
  <si>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</si>
  <si>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</si>
  <si>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</si>
  <si>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</si>
  <si>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</si>
  <si>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</si>
  <si>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</si>
  <si>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</si>
  <si>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</si>
  <si>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</si>
  <si>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</si>
  <si>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</si>
  <si>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</si>
  <si>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</si>
  <si>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</si>
  <si>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</si>
  <si>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</si>
  <si>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</si>
  <si>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</si>
  <si>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</si>
  <si>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</si>
  <si>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</si>
  <si>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</si>
  <si>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</si>
  <si>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</si>
  <si>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</si>
  <si>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</si>
  <si>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</si>
  <si>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</si>
  <si>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</si>
  <si>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</si>
  <si>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</si>
  <si>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</si>
  <si>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</si>
  <si>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</si>
  <si>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</si>
  <si>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</si>
  <si>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</si>
  <si>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</si>
  <si>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</si>
  <si>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</si>
  <si>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</si>
  <si>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</si>
  <si>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</si>
  <si>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</si>
  <si>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</si>
  <si>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</si>
  <si>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</si>
  <si>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</si>
  <si>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</si>
  <si>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</si>
  <si>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</si>
  <si>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</si>
  <si>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</si>
  <si>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</si>
  <si>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</si>
  <si>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</si>
  <si>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</si>
  <si>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</si>
  <si>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</si>
  <si>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</si>
  <si>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</si>
  <si>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</si>
  <si>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</si>
  <si>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</si>
  <si>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</si>
  <si>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</si>
  <si>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</si>
  <si>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</si>
  <si>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</si>
  <si>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</si>
  <si>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</si>
  <si>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</si>
  <si>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</si>
  <si>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</si>
  <si>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</si>
  <si>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</si>
  <si>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</si>
  <si>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</si>
  <si>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</si>
  <si>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</si>
  <si>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</si>
  <si>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</si>
  <si>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</si>
  <si>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</si>
  <si>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</si>
  <si>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</si>
  <si>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</si>
  <si>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</si>
  <si>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</si>
  <si>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</si>
  <si>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</si>
  <si>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</si>
  <si>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</si>
  <si>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</si>
  <si>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</si>
  <si>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</si>
  <si>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</si>
  <si>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</si>
  <si>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</si>
  <si>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</si>
  <si>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</si>
  <si>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</si>
  <si>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</si>
  <si>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</si>
  <si>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</si>
  <si>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</si>
  <si>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</si>
  <si>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</si>
  <si>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</si>
  <si>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</si>
  <si>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</si>
  <si>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</si>
  <si>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</si>
  <si>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</si>
  <si>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</si>
  <si>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</si>
  <si>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</si>
  <si>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</si>
  <si>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</si>
  <si>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</si>
  <si>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</si>
  <si>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</si>
  <si>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</si>
  <si>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</si>
  <si>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</si>
  <si>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</si>
  <si>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</si>
  <si>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</si>
  <si>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</si>
  <si>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</si>
  <si>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</si>
  <si>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</si>
  <si>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</si>
  <si>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</si>
  <si>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</si>
  <si>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</si>
  <si>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</si>
  <si>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</si>
  <si>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</si>
  <si>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</si>
  <si>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</si>
  <si>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</si>
  <si>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</si>
  <si>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</si>
  <si>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</si>
  <si>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</si>
  <si>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</si>
  <si>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</si>
  <si>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</si>
  <si>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</si>
  <si>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</si>
  <si>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</si>
  <si>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</si>
  <si>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</si>
  <si>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</si>
  <si>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</si>
  <si>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</si>
  <si>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</si>
  <si>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</si>
  <si>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</si>
  <si>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</si>
  <si>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</si>
  <si>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</si>
  <si>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</si>
  <si>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</si>
  <si>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</si>
  <si>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</si>
  <si>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</si>
  <si>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</si>
  <si>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</si>
  <si>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</si>
  <si>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</si>
  <si>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</si>
  <si>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</si>
  <si>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</si>
  <si>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</si>
  <si>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</si>
  <si>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</si>
  <si>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</si>
  <si>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</si>
  <si>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</si>
  <si>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</si>
  <si>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</si>
  <si>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</si>
  <si>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</si>
  <si>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</si>
  <si>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</si>
  <si>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</si>
  <si>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</si>
  <si>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</si>
  <si>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</si>
  <si>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</si>
  <si>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</si>
  <si>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</si>
  <si>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</si>
  <si>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</si>
  <si>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</si>
  <si>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</si>
  <si>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</si>
  <si>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</si>
  <si>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</si>
  <si>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</si>
  <si>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</si>
  <si>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</si>
  <si>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</si>
  <si>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</si>
  <si>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</si>
  <si>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</si>
  <si>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</si>
  <si>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</si>
  <si>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</si>
  <si>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</si>
  <si>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</si>
  <si>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</si>
  <si>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</si>
  <si>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</si>
  <si>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</si>
  <si>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</si>
  <si>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</si>
  <si>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</si>
  <si>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</si>
  <si>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</si>
  <si>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</si>
  <si>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</si>
  <si>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</si>
  <si>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</si>
  <si>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</si>
  <si>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</si>
  <si>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</si>
  <si>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</si>
  <si>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</si>
  <si>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</si>
  <si>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</si>
  <si>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</si>
  <si>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</si>
  <si>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</si>
  <si>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</si>
  <si>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</si>
  <si>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</si>
  <si>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</si>
  <si>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</si>
  <si>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</si>
  <si>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</si>
  <si>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</si>
  <si>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</si>
  <si>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</si>
  <si>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</si>
  <si>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</si>
  <si>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</si>
  <si>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</si>
  <si>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</si>
  <si>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</si>
  <si>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</si>
  <si>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</si>
  <si>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</si>
  <si>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</si>
  <si>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</si>
  <si>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6 - DAVIDE BEDESCHI</t>
  </si>
  <si>
    <t>Autogol: lasciare Player vuoto; non viene conteggiato nella classifica marcatori.</t>
  </si>
  <si>
    <t>9 - NICOLÒ BERGANTIN</t>
  </si>
  <si>
    <t>8 - DAVIDE GIRARDELLO</t>
  </si>
  <si>
    <t>7 - ANGELO REDI</t>
  </si>
  <si>
    <t>5 - TOMMASO PAVAN</t>
  </si>
  <si>
    <t>7 - GIAN MARCO MARANGONI</t>
  </si>
  <si>
    <t>4 - ANDREA PAVAN</t>
  </si>
  <si>
    <t>3 - KEVIN DOBROZI</t>
  </si>
  <si>
    <t>Goal</t>
  </si>
  <si>
    <t>5 - PIETRO VIOLATO</t>
  </si>
  <si>
    <t>3 - LEONARDO MAGGIO</t>
  </si>
  <si>
    <t>21 - LEONARDO BEDENDO</t>
  </si>
  <si>
    <t>7 - TOMMASO FERRARESI</t>
  </si>
  <si>
    <t>7 - FRANCESCO BERARDI</t>
  </si>
  <si>
    <t>8 - FRANCESCO MARANGON</t>
  </si>
  <si>
    <t>10 - ALESSIO GHIRARDELLO (C)</t>
  </si>
  <si>
    <t>10 - GIANLUCA FREZZATI</t>
  </si>
  <si>
    <t>23 - NICOLA MARINI (C)</t>
  </si>
  <si>
    <t>4 - GIOVANNI BALLO</t>
  </si>
  <si>
    <t>5 - DANIELE MARZOLLA</t>
  </si>
  <si>
    <t>69 - LUCA ROSSETTO</t>
  </si>
  <si>
    <t>7 - NICHOLAS MILAN</t>
  </si>
  <si>
    <t>8 - ALESSIO MILAN</t>
  </si>
  <si>
    <t>11 - FILIPPO ZANINI (C)</t>
  </si>
  <si>
    <t>10 - ELIA NAGLIERI</t>
  </si>
  <si>
    <t>9 - LUCA SIMEONE</t>
  </si>
  <si>
    <t>4 - GIANLUCA PAVAN</t>
  </si>
  <si>
    <t>3 - MARTINO GRANFO</t>
  </si>
  <si>
    <t>4 - STEFANO BRAGHIN</t>
  </si>
  <si>
    <t>5 - NICOLA BRESCIANI</t>
  </si>
  <si>
    <t>1 - LUCA CAVALLARO</t>
  </si>
  <si>
    <t>5 - DANIEL TARGA</t>
  </si>
  <si>
    <t>7 - RICCARDO SANTARATO</t>
  </si>
  <si>
    <t>5 - MATTEO LONGO</t>
  </si>
  <si>
    <t>20 - NICOLA BARONI</t>
  </si>
  <si>
    <t>2 - NICOLÒ MARANGONI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</si>
  <si>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</si>
  <si>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</si>
  <si>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</si>
  <si>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</si>
  <si>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</si>
  <si>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</si>
  <si>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</si>
  <si>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</si>
  <si>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</si>
  <si>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</si>
  <si>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</si>
  <si>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</si>
  <si>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</si>
  <si>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</si>
  <si>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</si>
  <si>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</si>
  <si>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</si>
  <si>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</si>
  <si>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</si>
  <si>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</si>
  <si>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</si>
  <si>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</si>
  <si>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</si>
  <si>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</si>
  <si>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</si>
  <si>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</si>
  <si>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</si>
  <si>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</si>
  <si>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</si>
  <si>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</si>
  <si>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</si>
  <si>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</si>
  <si>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</si>
  <si>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22 - TOMMASO CALZAVARINI</t>
  </si>
  <si>
    <t>Marcatori knockout: il menu Player è vincolato alla squadra del gol.</t>
  </si>
  <si>
    <t>8 - MATTEO SAVIOLI (C)</t>
  </si>
  <si>
    <t>4 - LORENZO BOSCOLO</t>
  </si>
  <si>
    <t>4 - AMIN MASSAGHRI (C)</t>
  </si>
  <si>
    <t>4 - MANUEL IMPELLICCIERI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</si>
  <si>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</si>
  <si>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</si>
  <si>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</si>
  <si>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</si>
  <si>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</si>
  <si>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</si>
  <si>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</si>
  <si>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</si>
  <si>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</si>
  <si>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</si>
  <si>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</si>
  <si>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</si>
  <si>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</si>
  <si>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</si>
  <si>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</si>
  <si>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</si>
  <si>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</si>
  <si>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</si>
  <si>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</si>
  <si>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</si>
  <si>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</si>
  <si>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</si>
  <si>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</si>
  <si>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</si>
  <si>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</si>
  <si>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</si>
  <si>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</si>
  <si>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</si>
  <si>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</si>
  <si>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</si>
  <si>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</si>
  <si>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</si>
  <si>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</si>
  <si>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</si>
  <si>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</si>
  <si>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</si>
  <si>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</si>
  <si>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</si>
  <si>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</si>
  <si>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</si>
  <si>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</si>
  <si>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</si>
  <si>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</si>
  <si>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</si>
  <si>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</si>
  <si>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</si>
  <si>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</si>
  <si>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</si>
  <si>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</si>
  <si>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</si>
  <si>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</si>
  <si>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</si>
  <si>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</si>
  <si>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</si>
  <si>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</si>
  <si>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</si>
  <si>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</si>
  <si>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</si>
  <si>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</si>
  <si>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DANIELE MORETTO</t>
  </si>
  <si>
    <t>12 - DANIELE MORETTO</t>
  </si>
  <si>
    <t>LiveReferenceDate</t>
  </si>
  <si>
    <t>2026-06-28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</si>
</sst>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workbookViewId="0">
      <selection activeCell="A27" sqref="A27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17"/>
      <c r="B19" s="17"/>
      <c r="C19" s="17"/>
      <c r="D19" s="17"/>
      <c r="E19" s="17"/>
      <c r="F19" s="17"/>
    </row>
    <row r="20" spans="1:6" x14ac:dyDescent="0.3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438</v>
      </c>
      <c r="B7" s="16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AO1" workbookViewId="0">
      <pane ySplit="2" topLeftCell="A3" activePane="bottomLeft" state="frozen"/>
      <selection pane="bottomLeft" activeCell="AV14" sqref="AV14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 x14ac:dyDescent="0.3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 x14ac:dyDescent="0.3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 x14ac:dyDescent="0.3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 x14ac:dyDescent="0.3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 x14ac:dyDescent="0.3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 x14ac:dyDescent="0.3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 x14ac:dyDescent="0.3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 x14ac:dyDescent="0.3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 x14ac:dyDescent="0.3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>
        <v>12</v>
      </c>
      <c r="AU13" s="15" t="s">
        <v>436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 x14ac:dyDescent="0.3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 x14ac:dyDescent="0.3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 x14ac:dyDescent="0.3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 x14ac:dyDescent="0.3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 x14ac:dyDescent="0.3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12</v>
      </c>
      <c r="E462" t="str">
        <f>IF(Rosters!AU13="","",Rosters!AU13)</f>
        <v>DANIELE MORETTO</v>
      </c>
      <c r="F462" t="str">
        <f>IF(E462="","",Rosters!AV13)</f>
        <v>No</v>
      </c>
      <c r="G462" t="str">
        <f t="shared" si="15"/>
        <v>12 - DANIELE MORETTO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abSelected="1" topLeftCell="C1" workbookViewId="0">
      <selection activeCell="F10" sqref="F10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0.47916666666666669</v>
      </c>
      <c r="G2" t="s">
        <v>33</v>
      </c>
      <c r="H2" t="s">
        <v>35</v>
      </c>
      <c r="I2" s="2">
        <v>4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3</v>
      </c>
      <c r="N2">
        <f>IF(OR(I2="",J2=""),"",IF(J2&gt;I2,Settings!$B$2,IF(J2&lt;I2,Settings!$B$5,IF(K2=H2,Settings!$B$3,IF(K2=G2,Settings!$B$4,"")))))</f>
        <v>0</v>
      </c>
      <c r="O2" t="str">
        <f t="shared" ref="O2:O25" si="1">IF(OR(I2="",J2=""),"",IF(I2&gt;J2,G2,IF(J2&gt;I2,H2,K2)))</f>
        <v>All Blacks</v>
      </c>
      <c r="P2" t="str">
        <f t="shared" ref="P2:P25" si="2">IF(OR(I2="",J2=""),"",G2&amp;" "&amp;I2&amp;" - "&amp;J2&amp;" "&amp;H2&amp;IF(K2&lt;&gt;""," (rigori: "&amp;K2&amp;")",""))</f>
        <v>All Blacks 4 - 2 Boldò Glimt</v>
      </c>
    </row>
    <row r="3" spans="1:26" x14ac:dyDescent="0.3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>
        <v>5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3</v>
      </c>
      <c r="N3">
        <f>IF(OR(I3="",J3=""),"",IF(J3&gt;I3,Settings!$B$2,IF(J3&lt;I3,Settings!$B$5,IF(K3=H3,Settings!$B$3,IF(K3=G3,Settings!$B$4,"")))))</f>
        <v>0</v>
      </c>
      <c r="O3" t="str">
        <f t="shared" si="1"/>
        <v>Coca Juniors</v>
      </c>
      <c r="P3" t="str">
        <f t="shared" si="2"/>
        <v>Coca Juniors 5 - 1 Piadineria la Salsiccia</v>
      </c>
    </row>
    <row r="4" spans="1:26" x14ac:dyDescent="0.3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>
        <v>0</v>
      </c>
      <c r="J4" s="2">
        <v>1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 Vecchie Glorie Rovigo</v>
      </c>
    </row>
    <row r="5" spans="1:26" x14ac:dyDescent="0.3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>
        <v>3</v>
      </c>
      <c r="J5" s="2">
        <v>2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3 - 2 Pink 5ive</v>
      </c>
    </row>
    <row r="6" spans="1:26" x14ac:dyDescent="0.3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>
        <v>2</v>
      </c>
      <c r="J6" s="2">
        <v>2</v>
      </c>
      <c r="K6" s="2" t="s">
        <v>28</v>
      </c>
      <c r="L6" t="str">
        <f t="shared" si="0"/>
        <v>Complete</v>
      </c>
      <c r="M6">
        <f>IF(OR(I6="",J6=""),"",IF(I6&gt;J6,Settings!$B$2,IF(I6&lt;J6,Settings!$B$5,IF(K6=G6,Settings!$B$3,IF(K6=H6,Settings!$B$4,"")))))</f>
        <v>2</v>
      </c>
      <c r="N6">
        <f>IF(OR(I6="",J6=""),"",IF(J6&gt;I6,Settings!$B$2,IF(J6&lt;I6,Settings!$B$5,IF(K6=H6,Settings!$B$3,IF(K6=G6,Settings!$B$4,"")))))</f>
        <v>1</v>
      </c>
      <c r="O6" t="str">
        <f t="shared" si="1"/>
        <v>Barrio Boys</v>
      </c>
      <c r="P6" t="str">
        <f t="shared" si="2"/>
        <v>Barrio Boys 2 - 2 Cani (rigori: Barrio Boys)</v>
      </c>
    </row>
    <row r="7" spans="1:26" x14ac:dyDescent="0.3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>
        <v>1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1 - 0 Beverton</v>
      </c>
    </row>
    <row r="8" spans="1:26" x14ac:dyDescent="0.3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>
        <v>6</v>
      </c>
      <c r="J8" s="2">
        <v>0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6 - 0 FC Internazionale Rovigo</v>
      </c>
    </row>
    <row r="9" spans="1:26" x14ac:dyDescent="0.3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>
        <v>2</v>
      </c>
      <c r="J9" s="2">
        <v>5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0</v>
      </c>
      <c r="N9">
        <f>IF(OR(I9="",J9=""),"",IF(J9&gt;I9,Settings!$B$2,IF(J9&lt;I9,Settings!$B$5,IF(K9=H9,Settings!$B$3,IF(K9=G9,Settings!$B$4,"")))))</f>
        <v>3</v>
      </c>
      <c r="O9" t="str">
        <f t="shared" si="1"/>
        <v>Astolfi Impianti Elettrici</v>
      </c>
      <c r="P9" t="str">
        <f t="shared" si="2"/>
        <v>Moviola Utd 2 - 5 Astolfi Impianti Elettrici</v>
      </c>
    </row>
    <row r="10" spans="1:26" x14ac:dyDescent="0.3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>
        <v>3</v>
      </c>
      <c r="J10" s="2">
        <v>4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0</v>
      </c>
      <c r="N10">
        <f>IF(OR(I10="",J10=""),"",IF(J10&gt;I10,Settings!$B$2,IF(J10&lt;I10,Settings!$B$5,IF(K10=H10,Settings!$B$3,IF(K10=G10,Settings!$B$4,"")))))</f>
        <v>3</v>
      </c>
      <c r="O10" t="str">
        <f t="shared" si="1"/>
        <v>Coca Juniors</v>
      </c>
      <c r="P10" t="str">
        <f t="shared" si="2"/>
        <v>All Blacks 3 - 4 Coca Juniors</v>
      </c>
    </row>
    <row r="11" spans="1:26" x14ac:dyDescent="0.3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>
        <v>2</v>
      </c>
      <c r="J11" s="2">
        <v>3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2 - 3 AS Bancatore</v>
      </c>
    </row>
    <row r="12" spans="1:26" x14ac:dyDescent="0.3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>
        <v>0</v>
      </c>
      <c r="J13" s="2">
        <v>1</v>
      </c>
      <c r="K13" s="2"/>
      <c r="L13" t="str">
        <f t="shared" si="0"/>
        <v>Complete</v>
      </c>
      <c r="M13">
        <f>IF(OR(I13="",J13=""),"",IF(I13&gt;J13,Settings!$B$2,IF(I13&lt;J13,Settings!$B$5,IF(K13=G13,Settings!$B$3,IF(K13=H13,Settings!$B$4,"")))))</f>
        <v>0</v>
      </c>
      <c r="N13">
        <f>IF(OR(I13="",J13=""),"",IF(J13&gt;I13,Settings!$B$2,IF(J13&lt;I13,Settings!$B$5,IF(K13=H13,Settings!$B$3,IF(K13=G13,Settings!$B$4,"")))))</f>
        <v>3</v>
      </c>
      <c r="O13" t="str">
        <f t="shared" si="1"/>
        <v>Piadineria la Salsiccia</v>
      </c>
      <c r="P13" t="str">
        <f t="shared" si="2"/>
        <v>Boldò Glimt 0 - 1 Piadineria la Salsiccia</v>
      </c>
    </row>
    <row r="14" spans="1:26" x14ac:dyDescent="0.3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>
        <v>0</v>
      </c>
      <c r="J17" s="2">
        <v>5</v>
      </c>
      <c r="K17" s="2"/>
      <c r="L17" t="str">
        <f t="shared" si="0"/>
        <v>Complete</v>
      </c>
      <c r="M17">
        <f>IF(OR(I17="",J17=""),"",IF(I17&gt;J17,Settings!$B$2,IF(I17&lt;J17,Settings!$B$5,IF(K17=G17,Settings!$B$3,IF(K17=H17,Settings!$B$4,"")))))</f>
        <v>0</v>
      </c>
      <c r="N17">
        <f>IF(OR(I17="",J17=""),"",IF(J17&gt;I17,Settings!$B$2,IF(J17&lt;I17,Settings!$B$5,IF(K17=H17,Settings!$B$3,IF(K17=G17,Settings!$B$4,"")))))</f>
        <v>3</v>
      </c>
      <c r="O17" t="str">
        <f t="shared" si="1"/>
        <v>Piadineria la Salsiccia</v>
      </c>
      <c r="P17" t="str">
        <f t="shared" si="2"/>
        <v>All Blacks 0 - 5 Piadineria la Salsiccia</v>
      </c>
    </row>
    <row r="18" spans="1:16" x14ac:dyDescent="0.3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118" workbookViewId="0">
      <selection activeCell="E135" sqref="E135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25" si="0">IF(A2="","","Goal")</f>
        <v>Goal</v>
      </c>
      <c r="E2" s="2" t="s">
        <v>301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302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All Blacks</v>
      </c>
      <c r="C3">
        <f>IF(A3="","",COUNTIFS($A$2:A3,A3,$B$2:B3,B3))</f>
        <v>2</v>
      </c>
      <c r="D3" s="2" t="str">
        <f t="shared" si="0"/>
        <v>Goal</v>
      </c>
      <c r="E3" s="2" t="s">
        <v>303</v>
      </c>
      <c r="F3" t="str">
        <f t="shared" si="1"/>
        <v>All Blacks</v>
      </c>
      <c r="G3" t="str">
        <f t="shared" si="2"/>
        <v>OK</v>
      </c>
      <c r="H3" t="str">
        <f>IF(F3="","",VLOOKUP(F3,Validation!$A$2:$B$17,2,FALSE))</f>
        <v>Validation!$O$2:$O$31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All Blacks</v>
      </c>
      <c r="C4">
        <f>IF(A4="","",COUNTIFS($A$2:A4,A4,$B$2:B4,B4))</f>
        <v>3</v>
      </c>
      <c r="D4" s="2" t="str">
        <f t="shared" si="0"/>
        <v>Goal</v>
      </c>
      <c r="E4" s="2" t="s">
        <v>304</v>
      </c>
      <c r="F4" t="str">
        <f t="shared" si="1"/>
        <v>All Blacks</v>
      </c>
      <c r="G4" t="str">
        <f t="shared" si="2"/>
        <v>OK</v>
      </c>
      <c r="H4" t="str">
        <f>IF(F4="","",VLOOKUP(F4,Validation!$A$2:$B$17,2,FALSE))</f>
        <v>Validation!$O$2:$O$31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>M01</v>
      </c>
      <c r="B5" t="str">
        <f>IF(A5="","",IF(J5&lt;=INDEX(Matches!$I$2:$I$25,I5-1),INDEX(Matches!$G$2:$G$25,I5-1),INDEX(Matches!$H$2:$H$25,I5-1)))</f>
        <v>All Blacks</v>
      </c>
      <c r="C5">
        <f>IF(A5="","",COUNTIFS($A$2:A5,A5,$B$2:B5,B5))</f>
        <v>4</v>
      </c>
      <c r="D5" s="2" t="str">
        <f t="shared" si="0"/>
        <v>Goal</v>
      </c>
      <c r="E5" s="2" t="s">
        <v>304</v>
      </c>
      <c r="F5" t="str">
        <f t="shared" si="1"/>
        <v>All Blacks</v>
      </c>
      <c r="G5" t="str">
        <f t="shared" si="2"/>
        <v>OK</v>
      </c>
      <c r="H5" t="str">
        <f>IF(F5="","",VLOOKUP(F5,Validation!$A$2:$B$17,2,FALSE))</f>
        <v>Validation!$O$2:$O$31</v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>M01</v>
      </c>
      <c r="B6" t="str">
        <f>IF(A6="","",IF(J6&lt;=INDEX(Matches!$I$2:$I$25,I6-1),INDEX(Matches!$G$2:$G$25,I6-1),INDEX(Matches!$H$2:$H$25,I6-1)))</f>
        <v>Boldò Glimt</v>
      </c>
      <c r="C6">
        <f>IF(A6="","",COUNTIFS($A$2:A6,A6,$B$2:B6,B6))</f>
        <v>1</v>
      </c>
      <c r="D6" s="2" t="str">
        <f t="shared" si="0"/>
        <v>Goal</v>
      </c>
      <c r="E6" s="2" t="s">
        <v>305</v>
      </c>
      <c r="F6" t="str">
        <f t="shared" si="1"/>
        <v>Boldò Glimt</v>
      </c>
      <c r="G6" t="str">
        <f t="shared" si="2"/>
        <v>OK</v>
      </c>
      <c r="H6" t="str">
        <f>IF(F6="","",VLOOKUP(F6,Validation!$A$2:$B$17,2,FALSE))</f>
        <v>Validation!$P$2:$P$31</v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>M01</v>
      </c>
      <c r="B7" t="str">
        <f>IF(A7="","",IF(J7&lt;=INDEX(Matches!$I$2:$I$25,I7-1),INDEX(Matches!$G$2:$G$25,I7-1),INDEX(Matches!$H$2:$H$25,I7-1)))</f>
        <v>Boldò Glimt</v>
      </c>
      <c r="C7">
        <f>IF(A7="","",COUNTIFS($A$2:A7,A7,$B$2:B7,B7))</f>
        <v>2</v>
      </c>
      <c r="D7" s="2" t="str">
        <f t="shared" si="0"/>
        <v>Goal</v>
      </c>
      <c r="E7" s="2" t="s">
        <v>305</v>
      </c>
      <c r="F7" t="str">
        <f t="shared" si="1"/>
        <v>Boldò Glimt</v>
      </c>
      <c r="G7" t="str">
        <f t="shared" si="2"/>
        <v>OK</v>
      </c>
      <c r="H7" t="str">
        <f>IF(F7="","",VLOOKUP(F7,Validation!$A$2:$B$17,2,FALSE))</f>
        <v>Validation!$P$2:$P$31</v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Coca Juniors</v>
      </c>
      <c r="C14">
        <f>IF(A14="","",COUNTIFS($A$2:A14,A14,$B$2:B14,B14))</f>
        <v>1</v>
      </c>
      <c r="D14" s="2" t="str">
        <f t="shared" si="0"/>
        <v>Goal</v>
      </c>
      <c r="E14" s="2" t="s">
        <v>306</v>
      </c>
      <c r="F14" t="str">
        <f t="shared" si="1"/>
        <v>Coca Juniors</v>
      </c>
      <c r="G14" t="str">
        <f t="shared" si="2"/>
        <v>OK</v>
      </c>
      <c r="H14" t="str">
        <f>IF(F14="","",VLOOKUP(F14,Validation!$A$2:$B$17,2,FALSE))</f>
        <v>Validation!$Q$2:$Q$31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>M02</v>
      </c>
      <c r="B15" t="str">
        <f>IF(A15="","",IF(J15&lt;=INDEX(Matches!$I$2:$I$25,I15-1),INDEX(Matches!$G$2:$G$25,I15-1),INDEX(Matches!$H$2:$H$25,I15-1)))</f>
        <v>Coca Juniors</v>
      </c>
      <c r="C15">
        <f>IF(A15="","",COUNTIFS($A$2:A15,A15,$B$2:B15,B15))</f>
        <v>2</v>
      </c>
      <c r="D15" s="2" t="str">
        <f t="shared" si="0"/>
        <v>Goal</v>
      </c>
      <c r="E15" s="2" t="s">
        <v>306</v>
      </c>
      <c r="F15" t="str">
        <f t="shared" si="1"/>
        <v>Coca Juniors</v>
      </c>
      <c r="G15" t="str">
        <f t="shared" si="2"/>
        <v>OK</v>
      </c>
      <c r="H15" t="str">
        <f>IF(F15="","",VLOOKUP(F15,Validation!$A$2:$B$17,2,FALSE))</f>
        <v>Validation!$Q$2:$Q$31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>M02</v>
      </c>
      <c r="B16" t="str">
        <f>IF(A16="","",IF(J16&lt;=INDEX(Matches!$I$2:$I$25,I16-1),INDEX(Matches!$G$2:$G$25,I16-1),INDEX(Matches!$H$2:$H$25,I16-1)))</f>
        <v>Coca Juniors</v>
      </c>
      <c r="C16">
        <f>IF(A16="","",COUNTIFS($A$2:A16,A16,$B$2:B16,B16))</f>
        <v>3</v>
      </c>
      <c r="D16" s="2" t="str">
        <f t="shared" si="0"/>
        <v>Goal</v>
      </c>
      <c r="E16" s="2" t="s">
        <v>307</v>
      </c>
      <c r="F16" t="str">
        <f t="shared" si="1"/>
        <v>Coca Juniors</v>
      </c>
      <c r="G16" t="str">
        <f t="shared" si="2"/>
        <v>OK</v>
      </c>
      <c r="H16" t="str">
        <f>IF(F16="","",VLOOKUP(F16,Validation!$A$2:$B$17,2,FALSE))</f>
        <v>Validation!$Q$2:$Q$31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>M02</v>
      </c>
      <c r="B17" t="str">
        <f>IF(A17="","",IF(J17&lt;=INDEX(Matches!$I$2:$I$25,I17-1),INDEX(Matches!$G$2:$G$25,I17-1),INDEX(Matches!$H$2:$H$25,I17-1)))</f>
        <v>Coca Juniors</v>
      </c>
      <c r="C17">
        <f>IF(A17="","",COUNTIFS($A$2:A17,A17,$B$2:B17,B17))</f>
        <v>4</v>
      </c>
      <c r="D17" s="2" t="str">
        <f t="shared" si="0"/>
        <v>Goal</v>
      </c>
      <c r="E17" s="2" t="s">
        <v>308</v>
      </c>
      <c r="F17" t="str">
        <f t="shared" si="1"/>
        <v>Coca Juniors</v>
      </c>
      <c r="G17" t="str">
        <f t="shared" si="2"/>
        <v>OK</v>
      </c>
      <c r="H17" t="str">
        <f>IF(F17="","",VLOOKUP(F17,Validation!$A$2:$B$17,2,FALSE))</f>
        <v>Validation!$Q$2:$Q$31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>M02</v>
      </c>
      <c r="B18" t="str">
        <f>IF(A18="","",IF(J18&lt;=INDEX(Matches!$I$2:$I$25,I18-1),INDEX(Matches!$G$2:$G$25,I18-1),INDEX(Matches!$H$2:$H$25,I18-1)))</f>
        <v>Coca Juniors</v>
      </c>
      <c r="C18">
        <f>IF(A18="","",COUNTIFS($A$2:A18,A18,$B$2:B18,B18))</f>
        <v>5</v>
      </c>
      <c r="D18" s="2" t="str">
        <f t="shared" si="0"/>
        <v>Goal</v>
      </c>
      <c r="E18" s="2" t="s">
        <v>309</v>
      </c>
      <c r="F18" t="str">
        <f t="shared" si="1"/>
        <v>Coca Juniors</v>
      </c>
      <c r="G18" t="str">
        <f t="shared" si="2"/>
        <v>OK</v>
      </c>
      <c r="H18" t="str">
        <f>IF(F18="","",VLOOKUP(F18,Validation!$A$2:$B$17,2,FALSE))</f>
        <v>Validation!$Q$2:$Q$31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>M02</v>
      </c>
      <c r="B19" t="str">
        <f>IF(A19="","",IF(J19&lt;=INDEX(Matches!$I$2:$I$25,I19-1),INDEX(Matches!$G$2:$G$25,I19-1),INDEX(Matches!$H$2:$H$25,I19-1)))</f>
        <v>Piadineria la Salsiccia</v>
      </c>
      <c r="C19">
        <f>IF(A19="","",COUNTIFS($A$2:A19,A19,$B$2:B19,B19))</f>
        <v>1</v>
      </c>
      <c r="D19" s="2" t="str">
        <f t="shared" si="0"/>
        <v>Goal</v>
      </c>
      <c r="E19" s="2" t="s">
        <v>437</v>
      </c>
      <c r="F19" t="str">
        <f t="shared" si="1"/>
        <v>Piadineria la Salsiccia</v>
      </c>
      <c r="G19" t="str">
        <f t="shared" si="2"/>
        <v>OK</v>
      </c>
      <c r="H19" t="str">
        <f>IF(F19="","",VLOOKUP(F19,Validation!$A$2:$B$17,2,FALSE))</f>
        <v>Validation!$R$2:$R$31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">
        <v>310</v>
      </c>
      <c r="E26" s="2" t="s">
        <v>160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ref="D27:D90" si="3">IF(A27="","","Goal")</f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3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3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3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3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3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3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3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3"/>
        <v>Goal</v>
      </c>
      <c r="E38" s="2" t="s">
        <v>311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3"/>
        <v>Goal</v>
      </c>
      <c r="E39" s="2" t="s">
        <v>311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3"/>
        <v>Goal</v>
      </c>
      <c r="E40" s="2" t="s">
        <v>312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Pink 5ive</v>
      </c>
      <c r="C41">
        <f>IF(A41="","",COUNTIFS($A$2:A41,A41,$B$2:B41,B41))</f>
        <v>1</v>
      </c>
      <c r="D41" s="2" t="str">
        <f t="shared" si="3"/>
        <v>Goal</v>
      </c>
      <c r="E41" s="2" t="s">
        <v>313</v>
      </c>
      <c r="F41" t="str">
        <f t="shared" si="1"/>
        <v>Pink 5ive</v>
      </c>
      <c r="G41" t="str">
        <f t="shared" si="2"/>
        <v>OK</v>
      </c>
      <c r="H41" t="str">
        <f>IF(F41="","",VLOOKUP(F41,Validation!$A$2:$B$17,2,FALSE))</f>
        <v>Validation!$L$2:$L$31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Pink 5ive</v>
      </c>
      <c r="C42">
        <f>IF(A42="","",COUNTIFS($A$2:A42,A42,$B$2:B42,B42))</f>
        <v>2</v>
      </c>
      <c r="D42" s="2" t="str">
        <f t="shared" si="3"/>
        <v>Goal</v>
      </c>
      <c r="E42" s="2" t="s">
        <v>314</v>
      </c>
      <c r="F42" t="str">
        <f t="shared" si="1"/>
        <v>Pink 5ive</v>
      </c>
      <c r="G42" t="str">
        <f t="shared" si="2"/>
        <v>OK</v>
      </c>
      <c r="H42" t="str">
        <f>IF(F42="","",VLOOKUP(F42,Validation!$A$2:$B$17,2,FALSE))</f>
        <v>Validation!$L$2:$L$31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3"/>
        <v>Goal</v>
      </c>
      <c r="E50" s="2" t="s">
        <v>315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3"/>
        <v>Goal</v>
      </c>
      <c r="E51" s="2" t="s">
        <v>316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>M05</v>
      </c>
      <c r="B52" t="str">
        <f>IF(A52="","",IF(J52&lt;=INDEX(Matches!$I$2:$I$25,I52-1),INDEX(Matches!$G$2:$G$25,I52-1),INDEX(Matches!$H$2:$H$25,I52-1)))</f>
        <v>Cani</v>
      </c>
      <c r="C52">
        <f>IF(A52="","",COUNTIFS($A$2:A52,A52,$B$2:B52,B52))</f>
        <v>1</v>
      </c>
      <c r="D52" s="2" t="str">
        <f t="shared" si="3"/>
        <v>Goal</v>
      </c>
      <c r="E52" s="2" t="s">
        <v>317</v>
      </c>
      <c r="F52" t="str">
        <f t="shared" si="1"/>
        <v>Cani</v>
      </c>
      <c r="G52" t="str">
        <f t="shared" si="2"/>
        <v>OK</v>
      </c>
      <c r="H52" t="str">
        <f>IF(F52="","",VLOOKUP(F52,Validation!$A$2:$B$17,2,FALSE))</f>
        <v>Validation!$N$2:$N$31</v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>M05</v>
      </c>
      <c r="B53" t="str">
        <f>IF(A53="","",IF(J53&lt;=INDEX(Matches!$I$2:$I$25,I53-1),INDEX(Matches!$G$2:$G$25,I53-1),INDEX(Matches!$H$2:$H$25,I53-1)))</f>
        <v>Cani</v>
      </c>
      <c r="C53">
        <f>IF(A53="","",COUNTIFS($A$2:A53,A53,$B$2:B53,B53))</f>
        <v>2</v>
      </c>
      <c r="D53" s="2" t="str">
        <f t="shared" si="3"/>
        <v>Goal</v>
      </c>
      <c r="E53" s="2" t="s">
        <v>317</v>
      </c>
      <c r="F53" t="str">
        <f t="shared" si="1"/>
        <v>Cani</v>
      </c>
      <c r="G53" t="str">
        <f t="shared" si="2"/>
        <v>OK</v>
      </c>
      <c r="H53" t="str">
        <f>IF(F53="","",VLOOKUP(F53,Validation!$A$2:$B$17,2,FALSE))</f>
        <v>Validation!$N$2:$N$31</v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3"/>
        <v>Goal</v>
      </c>
      <c r="E62" s="2" t="s">
        <v>318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si="3"/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319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320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Fatine FC</v>
      </c>
      <c r="C76">
        <f>IF(A76="","",COUNTIFS($A$2:A76,A76,$B$2:B76,B76))</f>
        <v>3</v>
      </c>
      <c r="D76" s="2" t="str">
        <f t="shared" si="3"/>
        <v>Goal</v>
      </c>
      <c r="E76" s="2" t="s">
        <v>321</v>
      </c>
      <c r="F76" t="str">
        <f t="shared" si="4"/>
        <v>Fatine FC</v>
      </c>
      <c r="G76" t="str">
        <f t="shared" si="5"/>
        <v>OK</v>
      </c>
      <c r="H76" t="str">
        <f>IF(F76="","",VLOOKUP(F76,Validation!$A$2:$B$17,2,FALSE))</f>
        <v>Validation!$C$2:$C$31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>M07</v>
      </c>
      <c r="B77" t="str">
        <f>IF(A77="","",IF(J77&lt;=INDEX(Matches!$I$2:$I$25,I77-1),INDEX(Matches!$G$2:$G$25,I77-1),INDEX(Matches!$H$2:$H$25,I77-1)))</f>
        <v>Fatine FC</v>
      </c>
      <c r="C77">
        <f>IF(A77="","",COUNTIFS($A$2:A77,A77,$B$2:B77,B77))</f>
        <v>4</v>
      </c>
      <c r="D77" s="2" t="str">
        <f t="shared" si="3"/>
        <v>Goal</v>
      </c>
      <c r="E77" s="2" t="s">
        <v>322</v>
      </c>
      <c r="F77" t="str">
        <f t="shared" si="4"/>
        <v>Fatine FC</v>
      </c>
      <c r="G77" t="str">
        <f t="shared" si="5"/>
        <v>OK</v>
      </c>
      <c r="H77" t="str">
        <f>IF(F77="","",VLOOKUP(F77,Validation!$A$2:$B$17,2,FALSE))</f>
        <v>Validation!$C$2:$C$31</v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>M07</v>
      </c>
      <c r="B78" t="str">
        <f>IF(A78="","",IF(J78&lt;=INDEX(Matches!$I$2:$I$25,I78-1),INDEX(Matches!$G$2:$G$25,I78-1),INDEX(Matches!$H$2:$H$25,I78-1)))</f>
        <v>Fatine FC</v>
      </c>
      <c r="C78">
        <f>IF(A78="","",COUNTIFS($A$2:A78,A78,$B$2:B78,B78))</f>
        <v>5</v>
      </c>
      <c r="D78" s="2" t="str">
        <f t="shared" si="3"/>
        <v>Goal</v>
      </c>
      <c r="E78" s="2" t="s">
        <v>323</v>
      </c>
      <c r="F78" t="str">
        <f t="shared" si="4"/>
        <v>Fatine FC</v>
      </c>
      <c r="G78" t="str">
        <f t="shared" si="5"/>
        <v>OK</v>
      </c>
      <c r="H78" t="str">
        <f>IF(F78="","",VLOOKUP(F78,Validation!$A$2:$B$17,2,FALSE))</f>
        <v>Validation!$C$2:$C$31</v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>M07</v>
      </c>
      <c r="B79" t="str">
        <f>IF(A79="","",IF(J79&lt;=INDEX(Matches!$I$2:$I$25,I79-1),INDEX(Matches!$G$2:$G$25,I79-1),INDEX(Matches!$H$2:$H$25,I79-1)))</f>
        <v>Fatine FC</v>
      </c>
      <c r="C79">
        <f>IF(A79="","",COUNTIFS($A$2:A79,A79,$B$2:B79,B79))</f>
        <v>6</v>
      </c>
      <c r="D79" s="2" t="str">
        <f t="shared" si="3"/>
        <v>Goal</v>
      </c>
      <c r="E79" s="2" t="s">
        <v>324</v>
      </c>
      <c r="F79" t="str">
        <f t="shared" si="4"/>
        <v>Fatine FC</v>
      </c>
      <c r="G79" t="str">
        <f t="shared" si="5"/>
        <v>OK</v>
      </c>
      <c r="H79" t="str">
        <f>IF(F79="","",VLOOKUP(F79,Validation!$A$2:$B$17,2,FALSE))</f>
        <v>Validation!$C$2:$C$31</v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125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141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Astolfi Impianti Elettrici</v>
      </c>
      <c r="C88">
        <f>IF(A88="","",COUNTIFS($A$2:A88,A88,$B$2:B88,B88))</f>
        <v>1</v>
      </c>
      <c r="D88" s="2" t="str">
        <f t="shared" si="3"/>
        <v>Goal</v>
      </c>
      <c r="E88" s="2" t="s">
        <v>325</v>
      </c>
      <c r="F88" t="str">
        <f t="shared" si="4"/>
        <v>Astolfi Impianti Elettrici</v>
      </c>
      <c r="G88" t="str">
        <f t="shared" si="5"/>
        <v>OK</v>
      </c>
      <c r="H88" t="str">
        <f>IF(F88="","",VLOOKUP(F88,Validation!$A$2:$B$17,2,FALSE))</f>
        <v>Validation!$F$2:$F$31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>M08</v>
      </c>
      <c r="B89" t="str">
        <f>IF(A89="","",IF(J89&lt;=INDEX(Matches!$I$2:$I$25,I89-1),INDEX(Matches!$G$2:$G$25,I89-1),INDEX(Matches!$H$2:$H$25,I89-1)))</f>
        <v>Astolfi Impianti Elettrici</v>
      </c>
      <c r="C89">
        <f>IF(A89="","",COUNTIFS($A$2:A89,A89,$B$2:B89,B89))</f>
        <v>2</v>
      </c>
      <c r="D89" s="2" t="str">
        <f t="shared" si="3"/>
        <v>Goal</v>
      </c>
      <c r="E89" s="2" t="s">
        <v>326</v>
      </c>
      <c r="F89" t="str">
        <f t="shared" si="4"/>
        <v>Astolfi Impianti Elettrici</v>
      </c>
      <c r="G89" t="str">
        <f t="shared" si="5"/>
        <v>OK</v>
      </c>
      <c r="H89" t="str">
        <f>IF(F89="","",VLOOKUP(F89,Validation!$A$2:$B$17,2,FALSE))</f>
        <v>Validation!$F$2:$F$31</v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>M08</v>
      </c>
      <c r="B90" t="str">
        <f>IF(A90="","",IF(J90&lt;=INDEX(Matches!$I$2:$I$25,I90-1),INDEX(Matches!$G$2:$G$25,I90-1),INDEX(Matches!$H$2:$H$25,I90-1)))</f>
        <v>Astolfi Impianti Elettrici</v>
      </c>
      <c r="C90">
        <f>IF(A90="","",COUNTIFS($A$2:A90,A90,$B$2:B90,B90))</f>
        <v>3</v>
      </c>
      <c r="D90" s="2" t="str">
        <f t="shared" si="3"/>
        <v>Goal</v>
      </c>
      <c r="E90" s="2" t="s">
        <v>327</v>
      </c>
      <c r="F90" t="str">
        <f t="shared" si="4"/>
        <v>Astolfi Impianti Elettrici</v>
      </c>
      <c r="G90" t="str">
        <f t="shared" si="5"/>
        <v>OK</v>
      </c>
      <c r="H90" t="str">
        <f>IF(F90="","",VLOOKUP(F90,Validation!$A$2:$B$17,2,FALSE))</f>
        <v>Validation!$F$2:$F$31</v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>M08</v>
      </c>
      <c r="B91" t="str">
        <f>IF(A91="","",IF(J91&lt;=INDEX(Matches!$I$2:$I$25,I91-1),INDEX(Matches!$G$2:$G$25,I91-1),INDEX(Matches!$H$2:$H$25,I91-1)))</f>
        <v>Astolfi Impianti Elettrici</v>
      </c>
      <c r="C91">
        <f>IF(A91="","",COUNTIFS($A$2:A91,A91,$B$2:B91,B91))</f>
        <v>4</v>
      </c>
      <c r="D91" s="2" t="str">
        <f t="shared" ref="D91:D154" si="6">IF(A91="","","Goal")</f>
        <v>Goal</v>
      </c>
      <c r="E91" s="2" t="s">
        <v>327</v>
      </c>
      <c r="F91" t="str">
        <f t="shared" si="4"/>
        <v>Astolfi Impianti Elettrici</v>
      </c>
      <c r="G91" t="str">
        <f t="shared" si="5"/>
        <v>OK</v>
      </c>
      <c r="H91" t="str">
        <f>IF(F91="","",VLOOKUP(F91,Validation!$A$2:$B$17,2,FALSE))</f>
        <v>Validation!$F$2:$F$31</v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>M08</v>
      </c>
      <c r="B92" t="str">
        <f>IF(A92="","",IF(J92&lt;=INDEX(Matches!$I$2:$I$25,I92-1),INDEX(Matches!$G$2:$G$25,I92-1),INDEX(Matches!$H$2:$H$25,I92-1)))</f>
        <v>Astolfi Impianti Elettrici</v>
      </c>
      <c r="C92">
        <f>IF(A92="","",COUNTIFS($A$2:A92,A92,$B$2:B92,B92))</f>
        <v>5</v>
      </c>
      <c r="D92" s="2" t="str">
        <f t="shared" si="6"/>
        <v>Goal</v>
      </c>
      <c r="E92" s="2" t="s">
        <v>328</v>
      </c>
      <c r="F92" t="str">
        <f t="shared" si="4"/>
        <v>Astolfi Impianti Elettrici</v>
      </c>
      <c r="G92" t="str">
        <f t="shared" si="5"/>
        <v>OK</v>
      </c>
      <c r="H92" t="str">
        <f>IF(F92="","",VLOOKUP(F92,Validation!$A$2:$B$17,2,FALSE))</f>
        <v>Validation!$F$2:$F$31</v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6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6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6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6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6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6"/>
        <v>Goal</v>
      </c>
      <c r="E98" s="2" t="s">
        <v>329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6"/>
        <v>Goal</v>
      </c>
      <c r="E99" s="2" t="s">
        <v>330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6"/>
        <v>Goal</v>
      </c>
      <c r="E100" s="2" t="s">
        <v>331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Coca Juniors</v>
      </c>
      <c r="C101">
        <f>IF(A101="","",COUNTIFS($A$2:A101,A101,$B$2:B101,B101))</f>
        <v>1</v>
      </c>
      <c r="D101" s="2" t="str">
        <f t="shared" si="6"/>
        <v>Goal</v>
      </c>
      <c r="E101" s="2" t="s">
        <v>307</v>
      </c>
      <c r="F101" t="str">
        <f t="shared" si="4"/>
        <v>Coca Juniors</v>
      </c>
      <c r="G101" t="str">
        <f t="shared" si="5"/>
        <v>OK</v>
      </c>
      <c r="H101" t="str">
        <f>IF(F101="","",VLOOKUP(F101,Validation!$A$2:$B$17,2,FALSE))</f>
        <v>Validation!$Q$2:$Q$31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Coca Juniors</v>
      </c>
      <c r="C102">
        <f>IF(A102="","",COUNTIFS($A$2:A102,A102,$B$2:B102,B102))</f>
        <v>2</v>
      </c>
      <c r="D102" s="2" t="str">
        <f t="shared" si="6"/>
        <v>Goal</v>
      </c>
      <c r="E102" s="2" t="s">
        <v>332</v>
      </c>
      <c r="F102" t="str">
        <f t="shared" si="4"/>
        <v>Coca Juniors</v>
      </c>
      <c r="G102" t="str">
        <f t="shared" si="5"/>
        <v>OK</v>
      </c>
      <c r="H102" t="str">
        <f>IF(F102="","",VLOOKUP(F102,Validation!$A$2:$B$17,2,FALSE))</f>
        <v>Validation!$Q$2:$Q$31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Coca Juniors</v>
      </c>
      <c r="C103">
        <f>IF(A103="","",COUNTIFS($A$2:A103,A103,$B$2:B103,B103))</f>
        <v>3</v>
      </c>
      <c r="D103" s="2" t="str">
        <f t="shared" si="6"/>
        <v>Goal</v>
      </c>
      <c r="E103" s="2" t="s">
        <v>332</v>
      </c>
      <c r="F103" t="str">
        <f t="shared" si="4"/>
        <v>Coca Juniors</v>
      </c>
      <c r="G103" t="str">
        <f t="shared" si="5"/>
        <v>OK</v>
      </c>
      <c r="H103" t="str">
        <f>IF(F103="","",VLOOKUP(F103,Validation!$A$2:$B$17,2,FALSE))</f>
        <v>Validation!$Q$2:$Q$31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Coca Juniors</v>
      </c>
      <c r="C104">
        <f>IF(A104="","",COUNTIFS($A$2:A104,A104,$B$2:B104,B104))</f>
        <v>4</v>
      </c>
      <c r="D104" s="2" t="str">
        <f t="shared" si="6"/>
        <v>Goal</v>
      </c>
      <c r="E104" s="2" t="s">
        <v>309</v>
      </c>
      <c r="F104" t="str">
        <f t="shared" si="4"/>
        <v>Coca Juniors</v>
      </c>
      <c r="G104" t="str">
        <f t="shared" si="5"/>
        <v>OK</v>
      </c>
      <c r="H104" t="str">
        <f>IF(F104="","",VLOOKUP(F104,Validation!$A$2:$B$17,2,FALSE))</f>
        <v>Validation!$Q$2:$Q$31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6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6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6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6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6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Totani</v>
      </c>
      <c r="C110">
        <f>IF(A110="","",COUNTIFS($A$2:A110,A110,$B$2:B110,B110))</f>
        <v>1</v>
      </c>
      <c r="D110" s="2" t="str">
        <f t="shared" si="6"/>
        <v>Goal</v>
      </c>
      <c r="E110" s="2" t="s">
        <v>333</v>
      </c>
      <c r="F110" t="str">
        <f t="shared" si="4"/>
        <v>Totani</v>
      </c>
      <c r="G110" t="str">
        <f t="shared" si="5"/>
        <v>OK</v>
      </c>
      <c r="H110" t="str">
        <f>IF(F110="","",VLOOKUP(F110,Validation!$A$2:$B$17,2,FALSE))</f>
        <v>Validation!$G$2:$G$31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Totani</v>
      </c>
      <c r="C111">
        <f>IF(A111="","",COUNTIFS($A$2:A111,A111,$B$2:B111,B111))</f>
        <v>2</v>
      </c>
      <c r="D111" s="2" t="str">
        <f t="shared" si="6"/>
        <v>Goal</v>
      </c>
      <c r="E111" s="2" t="s">
        <v>334</v>
      </c>
      <c r="F111" t="str">
        <f t="shared" si="4"/>
        <v>Totani</v>
      </c>
      <c r="G111" t="str">
        <f t="shared" si="5"/>
        <v>OK</v>
      </c>
      <c r="H111" t="str">
        <f>IF(F111="","",VLOOKUP(F111,Validation!$A$2:$B$17,2,FALSE))</f>
        <v>Validation!$G$2:$G$31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1</v>
      </c>
      <c r="D112" s="2" t="str">
        <f t="shared" si="6"/>
        <v>Goal</v>
      </c>
      <c r="E112" s="2" t="s">
        <v>335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2</v>
      </c>
      <c r="D113" s="2" t="str">
        <f t="shared" si="6"/>
        <v>Goal</v>
      </c>
      <c r="E113" s="2" t="s">
        <v>336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3</v>
      </c>
      <c r="D114" s="2" t="str">
        <f t="shared" si="6"/>
        <v>Goal</v>
      </c>
      <c r="E114" s="2" t="s">
        <v>337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6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6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6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6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6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6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6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6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6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6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6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6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6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6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6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si="6"/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>M12</v>
      </c>
      <c r="B134" t="str">
        <f>IF(A134="","",IF(J134&lt;=INDEX(Matches!$I$2:$I$25,I134-1),INDEX(Matches!$G$2:$G$25,I134-1),INDEX(Matches!$H$2:$H$25,I134-1)))</f>
        <v>Piadineria la Salsiccia</v>
      </c>
      <c r="C134">
        <f>IF(A134="","",COUNTIFS($A$2:A134,A134,$B$2:B134,B134))</f>
        <v>1</v>
      </c>
      <c r="D134" s="2" t="str">
        <f t="shared" si="6"/>
        <v>Goal</v>
      </c>
      <c r="E134" s="2" t="s">
        <v>437</v>
      </c>
      <c r="F134" t="str">
        <f t="shared" si="7"/>
        <v>Piadineria la Salsiccia</v>
      </c>
      <c r="G134" t="str">
        <f t="shared" si="8"/>
        <v>OK</v>
      </c>
      <c r="H134" t="str">
        <f>IF(F134="","",VLOOKUP(F134,Validation!$A$2:$B$17,2,FALSE))</f>
        <v>Validation!$R$2:$R$31</v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ref="D155:D218" si="9">IF(A155="","","Goal")</f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9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9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9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9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9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9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9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9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9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9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9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9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9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9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9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9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9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9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9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9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9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9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9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9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9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9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>M16</v>
      </c>
      <c r="B182" t="str">
        <f>IF(A182="","",IF(J182&lt;=INDEX(Matches!$I$2:$I$25,I182-1),INDEX(Matches!$G$2:$G$25,I182-1),INDEX(Matches!$H$2:$H$25,I182-1)))</f>
        <v>Piadineria la Salsiccia</v>
      </c>
      <c r="C182">
        <f>IF(A182="","",COUNTIFS($A$2:A182,A182,$B$2:B182,B182))</f>
        <v>1</v>
      </c>
      <c r="D182" s="2" t="str">
        <f t="shared" si="9"/>
        <v>Goal</v>
      </c>
      <c r="E182" s="2" t="s">
        <v>437</v>
      </c>
      <c r="F182" t="str">
        <f t="shared" si="7"/>
        <v>Piadineria la Salsiccia</v>
      </c>
      <c r="G182" t="str">
        <f t="shared" si="8"/>
        <v>OK</v>
      </c>
      <c r="H182" t="str">
        <f>IF(F182="","",VLOOKUP(F182,Validation!$A$2:$B$17,2,FALSE))</f>
        <v>Validation!$R$2:$R$31</v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>M16</v>
      </c>
      <c r="B183" t="str">
        <f>IF(A183="","",IF(J183&lt;=INDEX(Matches!$I$2:$I$25,I183-1),INDEX(Matches!$G$2:$G$25,I183-1),INDEX(Matches!$H$2:$H$25,I183-1)))</f>
        <v>Piadineria la Salsiccia</v>
      </c>
      <c r="C183">
        <f>IF(A183="","",COUNTIFS($A$2:A183,A183,$B$2:B183,B183))</f>
        <v>2</v>
      </c>
      <c r="D183" s="2" t="str">
        <f t="shared" si="9"/>
        <v>Goal</v>
      </c>
      <c r="E183" s="2" t="s">
        <v>437</v>
      </c>
      <c r="F183" t="str">
        <f t="shared" si="7"/>
        <v>Piadineria la Salsiccia</v>
      </c>
      <c r="G183" t="str">
        <f t="shared" si="8"/>
        <v>OK</v>
      </c>
      <c r="H183" t="str">
        <f>IF(F183="","",VLOOKUP(F183,Validation!$A$2:$B$17,2,FALSE))</f>
        <v>Validation!$R$2:$R$31</v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>M16</v>
      </c>
      <c r="B184" t="str">
        <f>IF(A184="","",IF(J184&lt;=INDEX(Matches!$I$2:$I$25,I184-1),INDEX(Matches!$G$2:$G$25,I184-1),INDEX(Matches!$H$2:$H$25,I184-1)))</f>
        <v>Piadineria la Salsiccia</v>
      </c>
      <c r="C184">
        <f>IF(A184="","",COUNTIFS($A$2:A184,A184,$B$2:B184,B184))</f>
        <v>3</v>
      </c>
      <c r="D184" s="2" t="str">
        <f t="shared" si="9"/>
        <v>Goal</v>
      </c>
      <c r="E184" s="2" t="s">
        <v>437</v>
      </c>
      <c r="F184" t="str">
        <f t="shared" si="7"/>
        <v>Piadineria la Salsiccia</v>
      </c>
      <c r="G184" t="str">
        <f t="shared" si="8"/>
        <v>OK</v>
      </c>
      <c r="H184" t="str">
        <f>IF(F184="","",VLOOKUP(F184,Validation!$A$2:$B$17,2,FALSE))</f>
        <v>Validation!$R$2:$R$31</v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>M16</v>
      </c>
      <c r="B185" t="str">
        <f>IF(A185="","",IF(J185&lt;=INDEX(Matches!$I$2:$I$25,I185-1),INDEX(Matches!$G$2:$G$25,I185-1),INDEX(Matches!$H$2:$H$25,I185-1)))</f>
        <v>Piadineria la Salsiccia</v>
      </c>
      <c r="C185">
        <f>IF(A185="","",COUNTIFS($A$2:A185,A185,$B$2:B185,B185))</f>
        <v>4</v>
      </c>
      <c r="D185" s="2" t="str">
        <f t="shared" si="9"/>
        <v>Goal</v>
      </c>
      <c r="E185" s="2" t="s">
        <v>437</v>
      </c>
      <c r="F185" t="str">
        <f t="shared" si="7"/>
        <v>Piadineria la Salsiccia</v>
      </c>
      <c r="G185" t="str">
        <f t="shared" si="8"/>
        <v>OK</v>
      </c>
      <c r="H185" t="str">
        <f>IF(F185="","",VLOOKUP(F185,Validation!$A$2:$B$17,2,FALSE))</f>
        <v>Validation!$R$2:$R$31</v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>M16</v>
      </c>
      <c r="B186" t="str">
        <f>IF(A186="","",IF(J186&lt;=INDEX(Matches!$I$2:$I$25,I186-1),INDEX(Matches!$G$2:$G$25,I186-1),INDEX(Matches!$H$2:$H$25,I186-1)))</f>
        <v>Piadineria la Salsiccia</v>
      </c>
      <c r="C186">
        <f>IF(A186="","",COUNTIFS($A$2:A186,A186,$B$2:B186,B186))</f>
        <v>5</v>
      </c>
      <c r="D186" s="2" t="str">
        <f t="shared" si="9"/>
        <v>Goal</v>
      </c>
      <c r="E186" s="2" t="s">
        <v>437</v>
      </c>
      <c r="F186" t="str">
        <f t="shared" si="7"/>
        <v>Piadineria la Salsiccia</v>
      </c>
      <c r="G186" t="str">
        <f t="shared" si="8"/>
        <v>OK</v>
      </c>
      <c r="H186" t="str">
        <f>IF(F186="","",VLOOKUP(F186,Validation!$A$2:$B$17,2,FALSE))</f>
        <v>Validation!$R$2:$R$31</v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9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9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9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9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9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9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9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si="9"/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ref="D219:D282" si="12">IF(A219="","","Goal")</f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12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12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12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12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12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12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12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12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12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12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12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12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12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12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12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12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12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12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12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12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12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12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12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12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12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12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12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12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12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12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12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12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12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12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12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12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12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12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si="12"/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ref="D283:D289" si="15">IF(A283="","","Goal")</f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5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5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5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5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5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5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295</v>
      </c>
      <c r="B1" s="5" t="s">
        <v>338</v>
      </c>
      <c r="C1" s="5" t="s">
        <v>251</v>
      </c>
      <c r="D1" s="5" t="s">
        <v>339</v>
      </c>
      <c r="E1" s="5" t="s">
        <v>340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2</v>
      </c>
      <c r="E3">
        <f t="shared" si="0"/>
        <v>199999.997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2</v>
      </c>
      <c r="E4">
        <f t="shared" si="0"/>
        <v>199999.99600000001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1</v>
      </c>
      <c r="E5">
        <f t="shared" si="0"/>
        <v>99999.994999999995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1</v>
      </c>
      <c r="E6">
        <f t="shared" si="0"/>
        <v>99999.994000000006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1</v>
      </c>
      <c r="E9">
        <f t="shared" si="0"/>
        <v>99999.990999999995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1</v>
      </c>
      <c r="E10">
        <f t="shared" si="0"/>
        <v>99999.99</v>
      </c>
    </row>
    <row r="11" spans="1:26" x14ac:dyDescent="0.3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1</v>
      </c>
      <c r="E65">
        <f t="shared" si="0"/>
        <v>99999.934999999998</v>
      </c>
    </row>
    <row r="66" spans="1:5" x14ac:dyDescent="0.3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1</v>
      </c>
      <c r="E93">
        <f t="shared" si="1"/>
        <v>99999.907000000007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2</v>
      </c>
      <c r="E97">
        <f t="shared" si="1"/>
        <v>199999.90299999999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1</v>
      </c>
      <c r="E98">
        <f t="shared" si="1"/>
        <v>99999.902000000002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1</v>
      </c>
      <c r="E99">
        <f t="shared" si="1"/>
        <v>99999.900999999998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1</v>
      </c>
      <c r="E122">
        <f t="shared" si="1"/>
        <v>99999.877999999997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1</v>
      </c>
      <c r="E124">
        <f t="shared" si="1"/>
        <v>99999.876000000004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1</v>
      </c>
      <c r="E154">
        <f t="shared" si="2"/>
        <v>99999.846000000005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6</v>
      </c>
      <c r="E157">
        <f t="shared" si="2"/>
        <v>599999.84299999999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1</v>
      </c>
      <c r="E183">
        <f t="shared" si="2"/>
        <v>99999.816999999995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1</v>
      </c>
      <c r="E184">
        <f t="shared" si="2"/>
        <v>99999.816000000006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9</v>
      </c>
      <c r="E186">
        <f t="shared" si="2"/>
        <v>899999.81400000001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1</v>
      </c>
      <c r="E188">
        <f t="shared" si="2"/>
        <v>99999.812000000005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1</v>
      </c>
      <c r="E192">
        <f t="shared" si="2"/>
        <v>99999.808000000005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 x14ac:dyDescent="0.3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 x14ac:dyDescent="0.3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 x14ac:dyDescent="0.3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5</v>
      </c>
      <c r="E243">
        <f t="shared" si="3"/>
        <v>499999.75699999998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1</v>
      </c>
      <c r="E244">
        <f t="shared" si="3"/>
        <v>99999.755999999994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6</v>
      </c>
      <c r="E245">
        <f t="shared" si="3"/>
        <v>599999.755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 x14ac:dyDescent="0.3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1</v>
      </c>
      <c r="E272">
        <f t="shared" si="4"/>
        <v>99999.728000000003</v>
      </c>
    </row>
    <row r="273" spans="1:5" x14ac:dyDescent="0.3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1</v>
      </c>
      <c r="E273">
        <f t="shared" si="4"/>
        <v>99999.726999999999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1</v>
      </c>
      <c r="E278">
        <f t="shared" si="4"/>
        <v>99999.721999999994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1</v>
      </c>
      <c r="E304">
        <f t="shared" si="4"/>
        <v>99999.695999999996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1</v>
      </c>
      <c r="E305">
        <f t="shared" si="4"/>
        <v>99999.695000000007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2</v>
      </c>
      <c r="E332">
        <f t="shared" si="5"/>
        <v>199999.66800000001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2</v>
      </c>
      <c r="E336">
        <f t="shared" si="5"/>
        <v>199999.66399999999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3</v>
      </c>
      <c r="E339">
        <f t="shared" si="5"/>
        <v>299999.66100000002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1</v>
      </c>
      <c r="E363">
        <f t="shared" si="5"/>
        <v>99999.637000000002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1</v>
      </c>
      <c r="E364">
        <f t="shared" si="5"/>
        <v>99999.635999999999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1</v>
      </c>
      <c r="E365">
        <f t="shared" si="5"/>
        <v>99999.634999999995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2</v>
      </c>
      <c r="E368">
        <f t="shared" si="5"/>
        <v>199999.63200000001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1</v>
      </c>
      <c r="E369">
        <f t="shared" si="5"/>
        <v>99999.630999999994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2</v>
      </c>
      <c r="E395">
        <f t="shared" si="6"/>
        <v>199999.60500000001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2</v>
      </c>
      <c r="E422">
        <f t="shared" si="6"/>
        <v>199999.57800000001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2</v>
      </c>
      <c r="E423">
        <f t="shared" si="6"/>
        <v>199999.57699999999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2</v>
      </c>
      <c r="E424">
        <f t="shared" si="6"/>
        <v>199999.576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2</v>
      </c>
      <c r="E425">
        <f t="shared" si="6"/>
        <v>199999.57500000001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2</v>
      </c>
      <c r="E426">
        <f t="shared" si="6"/>
        <v>199999.57399999999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DANIELE MORETTO</v>
      </c>
      <c r="B462" t="str">
        <f>IF(A462="","",Players!C462)</f>
        <v>Piadineria la Salsiccia</v>
      </c>
      <c r="C462" t="str">
        <f>IF(A462="","",Players!G462)</f>
        <v>12 - DANIELE MORETTO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7</v>
      </c>
      <c r="E462">
        <f t="shared" si="7"/>
        <v>699999.53799999994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341</v>
      </c>
      <c r="B1" s="5" t="s">
        <v>295</v>
      </c>
      <c r="C1" s="5" t="s">
        <v>338</v>
      </c>
      <c r="D1" s="5" t="s">
        <v>339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MATTEO SAVIOLI</v>
      </c>
      <c r="C2" t="str">
        <f>IF($A2="","",INDEX(ScorerData!$B$2:$B$481,MATCH(LARGE(ScorerData!$E$2:$E$481,$A2),ScorerData!$E$2:$E$481,0)))</f>
        <v>AS Bancatore</v>
      </c>
      <c r="D2">
        <f>IF($A2="","",INDEX(ScorerData!$D$2:$D$481,MATCH(LARGE(ScorerData!$E$2:$E$481,$A2),ScorerData!$E$2:$E$481,0)))</f>
        <v>9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DANIELE MORETTO</v>
      </c>
      <c r="C3" t="str">
        <f>IF($A3="","",INDEX(ScorerData!$B$2:$B$481,MATCH(LARGE(ScorerData!$E$2:$E$481,$A3),ScorerData!$E$2:$E$481,0)))</f>
        <v>Piadineria la Salsiccia</v>
      </c>
      <c r="D3">
        <f>IF($A3="","",INDEX(ScorerData!$D$2:$D$481,MATCH(LARGE(ScorerData!$E$2:$E$481,$A3),ScorerData!$E$2:$E$481,0)))</f>
        <v>7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DENIS TIMPANARO</v>
      </c>
      <c r="C4" t="str">
        <f>IF($A4="","",INDEX(ScorerData!$B$2:$B$481,MATCH(LARGE(ScorerData!$E$2:$E$481,$A4),ScorerData!$E$2:$E$481,0)))</f>
        <v>Vecchie Glorie Rovigo</v>
      </c>
      <c r="D4">
        <f>IF($A4="","",INDEX(ScorerData!$D$2:$D$481,MATCH(LARGE(ScorerData!$E$2:$E$481,$A4),ScorerData!$E$2:$E$481,0)))</f>
        <v>6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PIETRO VIOLATO</v>
      </c>
      <c r="C5" t="str">
        <f>IF($A5="","",INDEX(ScorerData!$B$2:$B$481,MATCH(LARGE(ScorerData!$E$2:$E$481,$A5),ScorerData!$E$2:$E$481,0)))</f>
        <v>Leoni di Ricky</v>
      </c>
      <c r="D5">
        <f>IF($A5="","",INDEX(ScorerData!$D$2:$D$481,MATCH(LARGE(ScorerData!$E$2:$E$481,$A5),ScorerData!$E$2:$E$481,0)))</f>
        <v>6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LEONARDO MAGGIO</v>
      </c>
      <c r="C6" t="str">
        <f>IF($A6="","",INDEX(ScorerData!$B$2:$B$481,MATCH(LARGE(ScorerData!$E$2:$E$481,$A6),ScorerData!$E$2:$E$481,0)))</f>
        <v>Leoni di Ricky</v>
      </c>
      <c r="D6">
        <f>IF($A6="","",INDEX(ScorerData!$D$2:$D$481,MATCH(LARGE(ScorerData!$E$2:$E$481,$A6),ScorerData!$E$2:$E$481,0)))</f>
        <v>5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TOMMASO CALZAVARINI</v>
      </c>
      <c r="C7" t="str">
        <f>IF($A7="","",INDEX(ScorerData!$B$2:$B$481,MATCH(LARGE(ScorerData!$E$2:$E$481,$A7),ScorerData!$E$2:$E$481,0)))</f>
        <v>Cani</v>
      </c>
      <c r="D7">
        <f>IF($A7="","",INDEX(ScorerData!$D$2:$D$481,MATCH(LARGE(ScorerData!$E$2:$E$481,$A7),ScorerData!$E$2:$E$481,0)))</f>
        <v>3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GIOVANNI BALLO</v>
      </c>
      <c r="C8" t="str">
        <f>IF($A8="","",INDEX(ScorerData!$B$2:$B$481,MATCH(LARGE(ScorerData!$E$2:$E$481,$A8),ScorerData!$E$2:$E$481,0)))</f>
        <v>Fatine FC</v>
      </c>
      <c r="D8">
        <f>IF($A8="","",INDEX(ScorerData!$D$2:$D$481,MATCH(LARGE(ScorerData!$E$2:$E$481,$A8),ScorerData!$E$2:$E$481,0)))</f>
        <v>2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DANIELE MARZOLLA</v>
      </c>
      <c r="C9" t="str">
        <f>IF($A9="","",INDEX(ScorerData!$B$2:$B$481,MATCH(LARGE(ScorerData!$E$2:$E$481,$A9),ScorerData!$E$2:$E$481,0)))</f>
        <v>Fatine FC</v>
      </c>
      <c r="D9">
        <f>IF($A9="","",INDEX(ScorerData!$D$2:$D$481,MATCH(LARGE(ScorerData!$E$2:$E$481,$A9),ScorerData!$E$2:$E$481,0)))</f>
        <v>2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LUCA SIMEONE</v>
      </c>
      <c r="C10" t="str">
        <f>IF($A10="","",INDEX(ScorerData!$B$2:$B$481,MATCH(LARGE(ScorerData!$E$2:$E$481,$A10),ScorerData!$E$2:$E$481,0)))</f>
        <v>Astolfi Impianti Elettrici</v>
      </c>
      <c r="D10">
        <f>IF($A10="","",INDEX(ScorerData!$D$2:$D$481,MATCH(LARGE(ScorerData!$E$2:$E$481,$A10),ScorerData!$E$2:$E$481,0)))</f>
        <v>2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MANUEL IMPELLICCIERI</v>
      </c>
      <c r="C11" t="str">
        <f>IF($A11="","",INDEX(ScorerData!$B$2:$B$481,MATCH(LARGE(ScorerData!$E$2:$E$481,$A11),ScorerData!$E$2:$E$481,0)))</f>
        <v>Cani</v>
      </c>
      <c r="D11">
        <f>IF($A11="","",INDEX(ScorerData!$D$2:$D$481,MATCH(LARGE(ScorerData!$E$2:$E$481,$A11),ScorerData!$E$2:$E$481,0)))</f>
        <v>2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ALESSIO GHIRARDELLO</v>
      </c>
      <c r="C12" t="str">
        <f>IF($A12="","",INDEX(ScorerData!$B$2:$B$481,MATCH(LARGE(ScorerData!$E$2:$E$481,$A12),ScorerData!$E$2:$E$481,0)))</f>
        <v>Cani</v>
      </c>
      <c r="D12">
        <f>IF($A12="","",INDEX(ScorerData!$D$2:$D$481,MATCH(LARGE(ScorerData!$E$2:$E$481,$A12),ScorerData!$E$2:$E$481,0)))</f>
        <v>2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DAVIDE GIRARDELLO</v>
      </c>
      <c r="C13" t="str">
        <f>IF($A13="","",INDEX(ScorerData!$B$2:$B$481,MATCH(LARGE(ScorerData!$E$2:$E$481,$A13),ScorerData!$E$2:$E$481,0)))</f>
        <v>All Blacks</v>
      </c>
      <c r="D13">
        <f>IF($A13="","",INDEX(ScorerData!$D$2:$D$481,MATCH(LARGE(ScorerData!$E$2:$E$481,$A13),ScorerData!$E$2:$E$481,0)))</f>
        <v>2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ANGELO REDI</v>
      </c>
      <c r="C14" t="str">
        <f>IF($A14="","",INDEX(ScorerData!$B$2:$B$481,MATCH(LARGE(ScorerData!$E$2:$E$481,$A14),ScorerData!$E$2:$E$481,0)))</f>
        <v>Boldò Glimt</v>
      </c>
      <c r="D14">
        <f>IF($A14="","",INDEX(ScorerData!$D$2:$D$481,MATCH(LARGE(ScorerData!$E$2:$E$481,$A14),ScorerData!$E$2:$E$481,0)))</f>
        <v>2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LUCA CAVALLARO</v>
      </c>
      <c r="C15" t="str">
        <f>IF($A15="","",INDEX(ScorerData!$B$2:$B$481,MATCH(LARGE(ScorerData!$E$2:$E$481,$A15),ScorerData!$E$2:$E$481,0)))</f>
        <v>Coca Juniors</v>
      </c>
      <c r="D15">
        <f>IF($A15="","",INDEX(ScorerData!$D$2:$D$481,MATCH(LARGE(ScorerData!$E$2:$E$481,$A15),ScorerData!$E$2:$E$481,0)))</f>
        <v>2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KEVIN DOBROZI</v>
      </c>
      <c r="C16" t="str">
        <f>IF($A16="","",INDEX(ScorerData!$B$2:$B$481,MATCH(LARGE(ScorerData!$E$2:$E$481,$A16),ScorerData!$E$2:$E$481,0)))</f>
        <v>Coca Juniors</v>
      </c>
      <c r="D16">
        <f>IF($A16="","",INDEX(ScorerData!$D$2:$D$481,MATCH(LARGE(ScorerData!$E$2:$E$481,$A16),ScorerData!$E$2:$E$481,0)))</f>
        <v>2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ANDREA PAVAN</v>
      </c>
      <c r="C17" t="str">
        <f>IF($A17="","",INDEX(ScorerData!$B$2:$B$481,MATCH(LARGE(ScorerData!$E$2:$E$481,$A17),ScorerData!$E$2:$E$481,0)))</f>
        <v>Coca Juniors</v>
      </c>
      <c r="D17">
        <f>IF($A17="","",INDEX(ScorerData!$D$2:$D$481,MATCH(LARGE(ScorerData!$E$2:$E$481,$A17),ScorerData!$E$2:$E$481,0)))</f>
        <v>2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TOMMASO PAVAN</v>
      </c>
      <c r="C18" t="str">
        <f>IF($A18="","",INDEX(ScorerData!$B$2:$B$481,MATCH(LARGE(ScorerData!$E$2:$E$481,$A18),ScorerData!$E$2:$E$481,0)))</f>
        <v>Coca Juniors</v>
      </c>
      <c r="D18">
        <f>IF($A18="","",INDEX(ScorerData!$D$2:$D$481,MATCH(LARGE(ScorerData!$E$2:$E$481,$A18),ScorerData!$E$2:$E$481,0)))</f>
        <v>2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GIAN MARCO MARANGONI</v>
      </c>
      <c r="C19" t="str">
        <f>IF($A19="","",INDEX(ScorerData!$B$2:$B$481,MATCH(LARGE(ScorerData!$E$2:$E$481,$A19),ScorerData!$E$2:$E$481,0)))</f>
        <v>Coca Juniors</v>
      </c>
      <c r="D19">
        <f>IF($A19="","",INDEX(ScorerData!$D$2:$D$481,MATCH(LARGE(ScorerData!$E$2:$E$481,$A19),ScorerData!$E$2:$E$481,0)))</f>
        <v>2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NICHOLAS MILAN</v>
      </c>
      <c r="C20" t="str">
        <f>IF($A20="","",INDEX(ScorerData!$B$2:$B$481,MATCH(LARGE(ScorerData!$E$2:$E$481,$A20),ScorerData!$E$2:$E$481,0)))</f>
        <v>Fatine FC</v>
      </c>
      <c r="D20">
        <f>IF($A20="","",INDEX(ScorerData!$D$2:$D$481,MATCH(LARGE(ScorerData!$E$2:$E$481,$A20),ScorerData!$E$2:$E$481,0)))</f>
        <v>1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ALESSIO MILAN</v>
      </c>
      <c r="C21" t="str">
        <f>IF($A21="","",INDEX(ScorerData!$B$2:$B$481,MATCH(LARGE(ScorerData!$E$2:$E$481,$A21),ScorerData!$E$2:$E$481,0)))</f>
        <v>Fatine FC</v>
      </c>
      <c r="D21">
        <f>IF($A21="","",INDEX(ScorerData!$D$2:$D$481,MATCH(LARGE(ScorerData!$E$2:$E$481,$A21),ScorerData!$E$2:$E$481,0)))</f>
        <v>1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NICOLA MARINI</v>
      </c>
      <c r="C22" t="str">
        <f>IF($A22="","",INDEX(ScorerData!$B$2:$B$481,MATCH(LARGE(ScorerData!$E$2:$E$481,$A22),ScorerData!$E$2:$E$481,0)))</f>
        <v>Fatine FC</v>
      </c>
      <c r="D22">
        <f>IF($A22="","",INDEX(ScorerData!$D$2:$D$481,MATCH(LARGE(ScorerData!$E$2:$E$481,$A22),ScorerData!$E$2:$E$481,0)))</f>
        <v>1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LUCA ROSSETTO</v>
      </c>
      <c r="C23" t="str">
        <f>IF($A23="","",INDEX(ScorerData!$B$2:$B$481,MATCH(LARGE(ScorerData!$E$2:$E$481,$A23),ScorerData!$E$2:$E$481,0)))</f>
        <v>Fatine FC</v>
      </c>
      <c r="D23">
        <f>IF($A23="","",INDEX(ScorerData!$D$2:$D$481,MATCH(LARGE(ScorerData!$E$2:$E$481,$A23),ScorerData!$E$2:$E$481,0)))</f>
        <v>1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LUCA BACCO</v>
      </c>
      <c r="C24" t="str">
        <f>IF($A24="","",INDEX(ScorerData!$B$2:$B$481,MATCH(LARGE(ScorerData!$E$2:$E$481,$A24),ScorerData!$E$2:$E$481,0)))</f>
        <v>Moviola Utd</v>
      </c>
      <c r="D24">
        <f>IF($A24="","",INDEX(ScorerData!$D$2:$D$481,MATCH(LARGE(ScorerData!$E$2:$E$481,$A24),ScorerData!$E$2:$E$481,0)))</f>
        <v>1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FILIPPO SCARANELLO</v>
      </c>
      <c r="C25" t="str">
        <f>IF($A25="","",INDEX(ScorerData!$B$2:$B$481,MATCH(LARGE(ScorerData!$E$2:$E$481,$A25),ScorerData!$E$2:$E$481,0)))</f>
        <v>Moviola Utd</v>
      </c>
      <c r="D25">
        <f>IF($A25="","",INDEX(ScorerData!$D$2:$D$481,MATCH(LARGE(ScorerData!$E$2:$E$481,$A25),ScorerData!$E$2:$E$481,0)))</f>
        <v>1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GIANLUCA PAVAN</v>
      </c>
      <c r="C26" t="str">
        <f>IF($A26="","",INDEX(ScorerData!$B$2:$B$481,MATCH(LARGE(ScorerData!$E$2:$E$481,$A26),ScorerData!$E$2:$E$481,0)))</f>
        <v>Astolfi Impianti Elettrici</v>
      </c>
      <c r="D26">
        <f>IF($A26="","",INDEX(ScorerData!$D$2:$D$481,MATCH(LARGE(ScorerData!$E$2:$E$481,$A26),ScorerData!$E$2:$E$481,0)))</f>
        <v>1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ELIA NAGLIERI</v>
      </c>
      <c r="C27" t="str">
        <f>IF($A27="","",INDEX(ScorerData!$B$2:$B$481,MATCH(LARGE(ScorerData!$E$2:$E$481,$A27),ScorerData!$E$2:$E$481,0)))</f>
        <v>Astolfi Impianti Elettrici</v>
      </c>
      <c r="D27">
        <f>IF($A27="","",INDEX(ScorerData!$D$2:$D$481,MATCH(LARGE(ScorerData!$E$2:$E$481,$A27),ScorerData!$E$2:$E$481,0)))</f>
        <v>1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FILIPPO ZANINI</v>
      </c>
      <c r="C28" t="str">
        <f>IF($A28="","",INDEX(ScorerData!$B$2:$B$481,MATCH(LARGE(ScorerData!$E$2:$E$481,$A28),ScorerData!$E$2:$E$481,0)))</f>
        <v>Astolfi Impianti Elettrici</v>
      </c>
      <c r="D28">
        <f>IF($A28="","",INDEX(ScorerData!$D$2:$D$481,MATCH(LARGE(ScorerData!$E$2:$E$481,$A28),ScorerData!$E$2:$E$481,0)))</f>
        <v>1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DANIEL TARGA</v>
      </c>
      <c r="C29" t="str">
        <f>IF($A29="","",INDEX(ScorerData!$B$2:$B$481,MATCH(LARGE(ScorerData!$E$2:$E$481,$A29),ScorerData!$E$2:$E$481,0)))</f>
        <v>Totani</v>
      </c>
      <c r="D29">
        <f>IF($A29="","",INDEX(ScorerData!$D$2:$D$481,MATCH(LARGE(ScorerData!$E$2:$E$481,$A29),ScorerData!$E$2:$E$481,0)))</f>
        <v>1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RICCARDO SANTARATO</v>
      </c>
      <c r="C30" t="str">
        <f>IF($A30="","",INDEX(ScorerData!$B$2:$B$481,MATCH(LARGE(ScorerData!$E$2:$E$481,$A30),ScorerData!$E$2:$E$481,0)))</f>
        <v>Totani</v>
      </c>
      <c r="D30">
        <f>IF($A30="","",INDEX(ScorerData!$D$2:$D$481,MATCH(LARGE(ScorerData!$E$2:$E$481,$A30),ScorerData!$E$2:$E$481,0)))</f>
        <v>1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MATTEO ZAMBERLAN</v>
      </c>
      <c r="C31" t="str">
        <f>IF($A31="","",INDEX(ScorerData!$B$2:$B$481,MATCH(LARGE(ScorerData!$E$2:$E$481,$A31),ScorerData!$E$2:$E$481,0)))</f>
        <v>Vecchie Glorie Rovigo</v>
      </c>
      <c r="D31">
        <f>IF($A31="","",INDEX(ScorerData!$D$2:$D$481,MATCH(LARGE(ScorerData!$E$2:$E$481,$A31),ScorerData!$E$2:$E$481,0)))</f>
        <v>1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MATTEO DALL'ARA</v>
      </c>
      <c r="C32" t="str">
        <f>IF($A32="","",INDEX(ScorerData!$B$2:$B$481,MATCH(LARGE(ScorerData!$E$2:$E$481,$A32),ScorerData!$E$2:$E$481,0)))</f>
        <v>Vecchie Glorie Rovigo</v>
      </c>
      <c r="D32">
        <f>IF($A32="","",INDEX(ScorerData!$D$2:$D$481,MATCH(LARGE(ScorerData!$E$2:$E$481,$A32),ScorerData!$E$2:$E$481,0)))</f>
        <v>1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LEONARDO FUSCO</v>
      </c>
      <c r="C33" t="str">
        <f>IF($A33="","",INDEX(ScorerData!$B$2:$B$481,MATCH(LARGE(ScorerData!$E$2:$E$481,$A33),ScorerData!$E$2:$E$481,0)))</f>
        <v>Vecchie Glorie Rovigo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NICOLÒ MARANGONI</v>
      </c>
      <c r="C34" t="str">
        <f>IF($A34="","",INDEX(ScorerData!$B$2:$B$481,MATCH(LARGE(ScorerData!$E$2:$E$481,$A34),ScorerData!$E$2:$E$481,0)))</f>
        <v>AS Bancatore</v>
      </c>
      <c r="D34">
        <f>IF($A34="","",INDEX(ScorerData!$D$2:$D$481,MATCH(LARGE(ScorerData!$E$2:$E$481,$A34),ScorerData!$E$2:$E$481,0)))</f>
        <v>1</v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MATTEO LONGO</v>
      </c>
      <c r="C35" t="str">
        <f>IF($A35="","",INDEX(ScorerData!$B$2:$B$481,MATCH(LARGE(ScorerData!$E$2:$E$481,$A35),ScorerData!$E$2:$E$481,0)))</f>
        <v>AS Bancatore</v>
      </c>
      <c r="D35">
        <f>IF($A35="","",INDEX(ScorerData!$D$2:$D$481,MATCH(LARGE(ScorerData!$E$2:$E$481,$A35),ScorerData!$E$2:$E$481,0)))</f>
        <v>1</v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GIANLUCA FREZZATI</v>
      </c>
      <c r="C36" t="str">
        <f>IF($A36="","",INDEX(ScorerData!$B$2:$B$481,MATCH(LARGE(ScorerData!$E$2:$E$481,$A36),ScorerData!$E$2:$E$481,0)))</f>
        <v>AS Bancatore</v>
      </c>
      <c r="D36">
        <f>IF($A36="","",INDEX(ScorerData!$D$2:$D$481,MATCH(LARGE(ScorerData!$E$2:$E$481,$A36),ScorerData!$E$2:$E$481,0)))</f>
        <v>1</v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NICOLA BARONI</v>
      </c>
      <c r="C37" t="str">
        <f>IF($A37="","",INDEX(ScorerData!$B$2:$B$481,MATCH(LARGE(ScorerData!$E$2:$E$481,$A37),ScorerData!$E$2:$E$481,0)))</f>
        <v>AS Bancatore</v>
      </c>
      <c r="D37">
        <f>IF($A37="","",INDEX(ScorerData!$D$2:$D$481,MATCH(LARGE(ScorerData!$E$2:$E$481,$A37),ScorerData!$E$2:$E$481,0)))</f>
        <v>1</v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AMIN MASSAGHRI</v>
      </c>
      <c r="C38" t="str">
        <f>IF($A38="","",INDEX(ScorerData!$B$2:$B$481,MATCH(LARGE(ScorerData!$E$2:$E$481,$A38),ScorerData!$E$2:$E$481,0)))</f>
        <v>Leoni di Ricky</v>
      </c>
      <c r="D38">
        <f>IF($A38="","",INDEX(ScorerData!$D$2:$D$481,MATCH(LARGE(ScorerData!$E$2:$E$481,$A38),ScorerData!$E$2:$E$481,0)))</f>
        <v>1</v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LORENZO BOSCOLO</v>
      </c>
      <c r="C39" t="str">
        <f>IF($A39="","",INDEX(ScorerData!$B$2:$B$481,MATCH(LARGE(ScorerData!$E$2:$E$481,$A39),ScorerData!$E$2:$E$481,0)))</f>
        <v>Pink 5ive</v>
      </c>
      <c r="D39">
        <f>IF($A39="","",INDEX(ScorerData!$D$2:$D$481,MATCH(LARGE(ScorerData!$E$2:$E$481,$A39),ScorerData!$E$2:$E$481,0)))</f>
        <v>1</v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TOMMASO FERRARESI</v>
      </c>
      <c r="C40" t="str">
        <f>IF($A40="","",INDEX(ScorerData!$B$2:$B$481,MATCH(LARGE(ScorerData!$E$2:$E$481,$A40),ScorerData!$E$2:$E$481,0)))</f>
        <v>Pink 5ive</v>
      </c>
      <c r="D40">
        <f>IF($A40="","",INDEX(ScorerData!$D$2:$D$481,MATCH(LARGE(ScorerData!$E$2:$E$481,$A40),ScorerData!$E$2:$E$481,0)))</f>
        <v>1</v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LEONARDO BEDENDO</v>
      </c>
      <c r="C41" t="str">
        <f>IF($A41="","",INDEX(ScorerData!$B$2:$B$481,MATCH(LARGE(ScorerData!$E$2:$E$481,$A41),ScorerData!$E$2:$E$481,0)))</f>
        <v>Pink 5ive</v>
      </c>
      <c r="D41">
        <f>IF($A41="","",INDEX(ScorerData!$D$2:$D$481,MATCH(LARGE(ScorerData!$E$2:$E$481,$A41),ScorerData!$E$2:$E$481,0)))</f>
        <v>1</v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FRANCESCO BERARDI</v>
      </c>
      <c r="C42" t="str">
        <f>IF($A42="","",INDEX(ScorerData!$B$2:$B$481,MATCH(LARGE(ScorerData!$E$2:$E$481,$A42),ScorerData!$E$2:$E$481,0)))</f>
        <v>Barrio Boys</v>
      </c>
      <c r="D42">
        <f>IF($A42="","",INDEX(ScorerData!$D$2:$D$481,MATCH(LARGE(ScorerData!$E$2:$E$481,$A42),ScorerData!$E$2:$E$481,0)))</f>
        <v>1</v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FRANCESCO MARANGON</v>
      </c>
      <c r="C43" t="str">
        <f>IF($A43="","",INDEX(ScorerData!$B$2:$B$481,MATCH(LARGE(ScorerData!$E$2:$E$481,$A43),ScorerData!$E$2:$E$481,0)))</f>
        <v>Barrio Boys</v>
      </c>
      <c r="D43">
        <f>IF($A43="","",INDEX(ScorerData!$D$2:$D$481,MATCH(LARGE(ScorerData!$E$2:$E$481,$A43),ScorerData!$E$2:$E$481,0)))</f>
        <v>1</v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MARTINO GRANFO</v>
      </c>
      <c r="C44" t="str">
        <f>IF($A44="","",INDEX(ScorerData!$B$2:$B$481,MATCH(LARGE(ScorerData!$E$2:$E$481,$A44),ScorerData!$E$2:$E$481,0)))</f>
        <v>All Blacks</v>
      </c>
      <c r="D44">
        <f>IF($A44="","",INDEX(ScorerData!$D$2:$D$481,MATCH(LARGE(ScorerData!$E$2:$E$481,$A44),ScorerData!$E$2:$E$481,0)))</f>
        <v>1</v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>STEFANO BRAGHIN</v>
      </c>
      <c r="C45" t="str">
        <f>IF($A45="","",INDEX(ScorerData!$B$2:$B$481,MATCH(LARGE(ScorerData!$E$2:$E$481,$A45),ScorerData!$E$2:$E$481,0)))</f>
        <v>All Blacks</v>
      </c>
      <c r="D45">
        <f>IF($A45="","",INDEX(ScorerData!$D$2:$D$481,MATCH(LARGE(ScorerData!$E$2:$E$481,$A45),ScorerData!$E$2:$E$481,0)))</f>
        <v>1</v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>NICOLA BRESCIANI</v>
      </c>
      <c r="C46" t="str">
        <f>IF($A46="","",INDEX(ScorerData!$B$2:$B$481,MATCH(LARGE(ScorerData!$E$2:$E$481,$A46),ScorerData!$E$2:$E$481,0)))</f>
        <v>All Blacks</v>
      </c>
      <c r="D46">
        <f>IF($A46="","",INDEX(ScorerData!$D$2:$D$481,MATCH(LARGE(ScorerData!$E$2:$E$481,$A46),ScorerData!$E$2:$E$481,0)))</f>
        <v>1</v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>DAVIDE BEDESCHI</v>
      </c>
      <c r="C47" t="str">
        <f>IF($A47="","",INDEX(ScorerData!$B$2:$B$481,MATCH(LARGE(ScorerData!$E$2:$E$481,$A47),ScorerData!$E$2:$E$481,0)))</f>
        <v>All Blacks</v>
      </c>
      <c r="D47">
        <f>IF($A47="","",INDEX(ScorerData!$D$2:$D$481,MATCH(LARGE(ScorerData!$E$2:$E$481,$A47),ScorerData!$E$2:$E$481,0)))</f>
        <v>1</v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>NICOLÒ BERGANTIN</v>
      </c>
      <c r="C48" t="str">
        <f>IF($A48="","",INDEX(ScorerData!$B$2:$B$481,MATCH(LARGE(ScorerData!$E$2:$E$481,$A48),ScorerData!$E$2:$E$481,0)))</f>
        <v>All Blacks</v>
      </c>
      <c r="D48">
        <f>IF($A48="","",INDEX(ScorerData!$D$2:$D$481,MATCH(LARGE(ScorerData!$E$2:$E$481,$A48),ScorerData!$E$2:$E$481,0)))</f>
        <v>1</v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338</v>
      </c>
      <c r="C1" s="5" t="s">
        <v>342</v>
      </c>
      <c r="D1" s="5" t="s">
        <v>343</v>
      </c>
      <c r="E1" s="5" t="s">
        <v>344</v>
      </c>
      <c r="F1" s="5" t="s">
        <v>345</v>
      </c>
      <c r="G1" s="5" t="s">
        <v>346</v>
      </c>
      <c r="H1" s="5" t="s">
        <v>347</v>
      </c>
      <c r="I1" s="5" t="s">
        <v>348</v>
      </c>
      <c r="J1" s="5" t="s">
        <v>349</v>
      </c>
      <c r="K1" s="5" t="s">
        <v>350</v>
      </c>
      <c r="L1" s="5" t="s">
        <v>351</v>
      </c>
      <c r="M1" s="5" t="s">
        <v>340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1</v>
      </c>
      <c r="D2">
        <f>COUNTIFS(Matches!$G$2:$G$25,$B2,Matches!$L$2:$L$25,"Complete",Matches!$M$2:$M$25,3)+COUNTIFS(Matches!$H$2:$H$25,$B2,Matches!$L$2:$L$25,"Complete",Matches!$N$2:$N$25,3)</f>
        <v>1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6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6</v>
      </c>
      <c r="K2">
        <f>SUMIFS(Matches!$M$2:$M$25,Matches!$G$2:$G$25,$B2,Matches!$L$2:$L$25,"Complete")+SUMIFS(Matches!$N$2:$N$25,Matches!$H$2:$H$25,$B2,Matches!$L$2:$L$25,"Complete")</f>
        <v>3</v>
      </c>
      <c r="L2" s="2">
        <v>0</v>
      </c>
      <c r="M2">
        <f t="shared" ref="M2:M17" si="1">K2*1000000+L2*10000+J2*100+H2-ROW()/1000</f>
        <v>3000605.9980000001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1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6</v>
      </c>
      <c r="J3">
        <f t="shared" si="0"/>
        <v>-6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-600.00300000000004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1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1</v>
      </c>
      <c r="H4">
        <f>SUMIFS(Matches!$I$2:$I$25,Matches!$G$2:$G$25,$B4,Matches!$L$2:$L$25,"Complete")+SUMIFS(Matches!$J$2:$J$25,Matches!$H$2:$H$25,$B4,Matches!$L$2:$L$25,"Complete")</f>
        <v>2</v>
      </c>
      <c r="I4">
        <f>SUMIFS(Matches!$J$2:$J$25,Matches!$G$2:$G$25,$B4,Matches!$L$2:$L$25,"Complete")+SUMIFS(Matches!$I$2:$I$25,Matches!$H$2:$H$25,$B4,Matches!$L$2:$L$25,"Complete")</f>
        <v>5</v>
      </c>
      <c r="J4">
        <f t="shared" si="0"/>
        <v>-3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-298.00400000000002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1</v>
      </c>
      <c r="D5">
        <f>COUNTIFS(Matches!$G$2:$G$25,$B5,Matches!$L$2:$L$25,"Complete",Matches!$M$2:$M$25,3)+COUNTIFS(Matches!$H$2:$H$25,$B5,Matches!$L$2:$L$25,"Complete",Matches!$N$2:$N$25,3)</f>
        <v>1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5</v>
      </c>
      <c r="I5">
        <f>SUMIFS(Matches!$J$2:$J$25,Matches!$G$2:$G$25,$B5,Matches!$L$2:$L$25,"Complete")+SUMIFS(Matches!$I$2:$I$25,Matches!$H$2:$H$25,$B5,Matches!$L$2:$L$25,"Complete")</f>
        <v>2</v>
      </c>
      <c r="J5">
        <f t="shared" si="0"/>
        <v>3</v>
      </c>
      <c r="K5">
        <f>SUMIFS(Matches!$M$2:$M$25,Matches!$G$2:$G$25,$B5,Matches!$L$2:$L$25,"Complete")+SUMIFS(Matches!$N$2:$N$25,Matches!$H$2:$H$25,$B5,Matches!$L$2:$L$25,"Complete")</f>
        <v>3</v>
      </c>
      <c r="L5" s="2">
        <f>0</f>
        <v>0</v>
      </c>
      <c r="M5">
        <f t="shared" si="1"/>
        <v>3000304.9950000001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2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2</v>
      </c>
      <c r="H6">
        <f>SUMIFS(Matches!$I$2:$I$25,Matches!$G$2:$G$25,$B6,Matches!$L$2:$L$25,"Complete")+SUMIFS(Matches!$J$2:$J$25,Matches!$H$2:$H$25,$B6,Matches!$L$2:$L$25,"Complete")</f>
        <v>2</v>
      </c>
      <c r="I6">
        <f>SUMIFS(Matches!$J$2:$J$25,Matches!$G$2:$G$25,$B6,Matches!$L$2:$L$25,"Complete")+SUMIFS(Matches!$I$2:$I$25,Matches!$H$2:$H$25,$B6,Matches!$L$2:$L$25,"Complete")</f>
        <v>4</v>
      </c>
      <c r="J6">
        <f t="shared" si="0"/>
        <v>-2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-198.006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1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1</v>
      </c>
      <c r="K7">
        <f>SUMIFS(Matches!$M$2:$M$25,Matches!$G$2:$G$25,$B7,Matches!$L$2:$L$25,"Complete")+SUMIFS(Matches!$N$2:$N$25,Matches!$H$2:$H$25,$B7,Matches!$L$2:$L$25,"Complete")</f>
        <v>3</v>
      </c>
      <c r="L7" s="2">
        <f>0</f>
        <v>0</v>
      </c>
      <c r="M7">
        <f t="shared" si="1"/>
        <v>3000100.9929999998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2</v>
      </c>
      <c r="D8">
        <f>COUNTIFS(Matches!$G$2:$G$25,$B8,Matches!$L$2:$L$25,"Complete",Matches!$M$2:$M$25,3)+COUNTIFS(Matches!$H$2:$H$25,$B8,Matches!$L$2:$L$25,"Complete",Matches!$N$2:$N$25,3)</f>
        <v>2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4</v>
      </c>
      <c r="I8">
        <f>SUMIFS(Matches!$J$2:$J$25,Matches!$G$2:$G$25,$B8,Matches!$L$2:$L$25,"Complete")+SUMIFS(Matches!$I$2:$I$25,Matches!$H$2:$H$25,$B8,Matches!$L$2:$L$25,"Complete")</f>
        <v>2</v>
      </c>
      <c r="J8">
        <f t="shared" si="0"/>
        <v>2</v>
      </c>
      <c r="K8">
        <f>SUMIFS(Matches!$M$2:$M$25,Matches!$G$2:$G$25,$B8,Matches!$L$2:$L$25,"Complete")+SUMIFS(Matches!$N$2:$N$25,Matches!$H$2:$H$25,$B8,Matches!$L$2:$L$25,"Complete")</f>
        <v>6</v>
      </c>
      <c r="L8" s="2">
        <f>0</f>
        <v>0</v>
      </c>
      <c r="M8">
        <f t="shared" si="1"/>
        <v>6000203.9919999996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1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1</v>
      </c>
      <c r="J9">
        <f t="shared" si="0"/>
        <v>-1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-100.009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1</v>
      </c>
      <c r="D10">
        <f>COUNTIFS(Matches!$G$2:$G$25,$B10,Matches!$L$2:$L$25,"Complete",Matches!$M$2:$M$25,3)+COUNTIFS(Matches!$H$2:$H$25,$B10,Matches!$L$2:$L$25,"Complete",Matches!$N$2:$N$25,3)</f>
        <v>1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3</v>
      </c>
      <c r="I10">
        <f>SUMIFS(Matches!$J$2:$J$25,Matches!$G$2:$G$25,$B10,Matches!$L$2:$L$25,"Complete")+SUMIFS(Matches!$I$2:$I$25,Matches!$H$2:$H$25,$B10,Matches!$L$2:$L$25,"Complete")</f>
        <v>2</v>
      </c>
      <c r="J10">
        <f t="shared" si="0"/>
        <v>1</v>
      </c>
      <c r="K10">
        <f>SUMIFS(Matches!$M$2:$M$25,Matches!$G$2:$G$25,$B10,Matches!$L$2:$L$25,"Complete")+SUMIFS(Matches!$N$2:$N$25,Matches!$H$2:$H$25,$B10,Matches!$L$2:$L$25,"Complete")</f>
        <v>3</v>
      </c>
      <c r="L10" s="2">
        <f>0</f>
        <v>0</v>
      </c>
      <c r="M10">
        <f t="shared" si="1"/>
        <v>3000102.99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1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2</v>
      </c>
      <c r="I11">
        <f>SUMIFS(Matches!$J$2:$J$25,Matches!$G$2:$G$25,$B11,Matches!$L$2:$L$25,"Complete")+SUMIFS(Matches!$I$2:$I$25,Matches!$H$2:$H$25,$B11,Matches!$L$2:$L$25,"Complete")</f>
        <v>3</v>
      </c>
      <c r="J11">
        <f t="shared" si="0"/>
        <v>-1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-98.010999999999996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1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2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2</v>
      </c>
      <c r="L12" s="2">
        <f>0</f>
        <v>0</v>
      </c>
      <c r="M12">
        <f t="shared" si="1"/>
        <v>2000001.9879999999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1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1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2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1</v>
      </c>
      <c r="L13" s="2">
        <f>0</f>
        <v>0</v>
      </c>
      <c r="M13">
        <f t="shared" si="1"/>
        <v>1000001.987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3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2</v>
      </c>
      <c r="H14">
        <f>SUMIFS(Matches!$I$2:$I$25,Matches!$G$2:$G$25,$B14,Matches!$L$2:$L$25,"Complete")+SUMIFS(Matches!$J$2:$J$25,Matches!$H$2:$H$25,$B14,Matches!$L$2:$L$25,"Complete")</f>
        <v>7</v>
      </c>
      <c r="I14">
        <f>SUMIFS(Matches!$J$2:$J$25,Matches!$G$2:$G$25,$B14,Matches!$L$2:$L$25,"Complete")+SUMIFS(Matches!$I$2:$I$25,Matches!$H$2:$H$25,$B14,Matches!$L$2:$L$25,"Complete")</f>
        <v>11</v>
      </c>
      <c r="J14">
        <f t="shared" si="0"/>
        <v>-4</v>
      </c>
      <c r="K14">
        <f>SUMIFS(Matches!$M$2:$M$25,Matches!$G$2:$G$25,$B14,Matches!$L$2:$L$25,"Complete")+SUMIFS(Matches!$N$2:$N$25,Matches!$H$2:$H$25,$B14,Matches!$L$2:$L$25,"Complete")</f>
        <v>3</v>
      </c>
      <c r="L14" s="2">
        <f>0</f>
        <v>0</v>
      </c>
      <c r="M14">
        <f t="shared" si="1"/>
        <v>2999606.986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2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2</v>
      </c>
      <c r="H15">
        <f>SUMIFS(Matches!$I$2:$I$25,Matches!$G$2:$G$25,$B15,Matches!$L$2:$L$25,"Complete")+SUMIFS(Matches!$J$2:$J$25,Matches!$H$2:$H$25,$B15,Matches!$L$2:$L$25,"Complete")</f>
        <v>2</v>
      </c>
      <c r="I15">
        <f>SUMIFS(Matches!$J$2:$J$25,Matches!$G$2:$G$25,$B15,Matches!$L$2:$L$25,"Complete")+SUMIFS(Matches!$I$2:$I$25,Matches!$H$2:$H$25,$B15,Matches!$L$2:$L$25,"Complete")</f>
        <v>5</v>
      </c>
      <c r="J15">
        <f t="shared" si="0"/>
        <v>-3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-298.01499999999999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2</v>
      </c>
      <c r="D16">
        <f>COUNTIFS(Matches!$G$2:$G$25,$B16,Matches!$L$2:$L$25,"Complete",Matches!$M$2:$M$25,3)+COUNTIFS(Matches!$H$2:$H$25,$B16,Matches!$L$2:$L$25,"Complete",Matches!$N$2:$N$25,3)</f>
        <v>2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9</v>
      </c>
      <c r="I16">
        <f>SUMIFS(Matches!$J$2:$J$25,Matches!$G$2:$G$25,$B16,Matches!$L$2:$L$25,"Complete")+SUMIFS(Matches!$I$2:$I$25,Matches!$H$2:$H$25,$B16,Matches!$L$2:$L$25,"Complete")</f>
        <v>4</v>
      </c>
      <c r="J16">
        <f t="shared" si="0"/>
        <v>5</v>
      </c>
      <c r="K16">
        <f>SUMIFS(Matches!$M$2:$M$25,Matches!$G$2:$G$25,$B16,Matches!$L$2:$L$25,"Complete")+SUMIFS(Matches!$N$2:$N$25,Matches!$H$2:$H$25,$B16,Matches!$L$2:$L$25,"Complete")</f>
        <v>6</v>
      </c>
      <c r="L16" s="2">
        <f>0</f>
        <v>0</v>
      </c>
      <c r="M16">
        <f t="shared" si="1"/>
        <v>6000508.9840000002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3</v>
      </c>
      <c r="D17">
        <f>COUNTIFS(Matches!$G$2:$G$25,$B17,Matches!$L$2:$L$25,"Complete",Matches!$M$2:$M$25,3)+COUNTIFS(Matches!$H$2:$H$25,$B17,Matches!$L$2:$L$25,"Complete",Matches!$N$2:$N$25,3)</f>
        <v>2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1</v>
      </c>
      <c r="H17">
        <f>SUMIFS(Matches!$I$2:$I$25,Matches!$G$2:$G$25,$B17,Matches!$L$2:$L$25,"Complete")+SUMIFS(Matches!$J$2:$J$25,Matches!$H$2:$H$25,$B17,Matches!$L$2:$L$25,"Complete")</f>
        <v>7</v>
      </c>
      <c r="I17">
        <f>SUMIFS(Matches!$J$2:$J$25,Matches!$G$2:$G$25,$B17,Matches!$L$2:$L$25,"Complete")+SUMIFS(Matches!$I$2:$I$25,Matches!$H$2:$H$25,$B17,Matches!$L$2:$L$25,"Complete")</f>
        <v>5</v>
      </c>
      <c r="J17">
        <f t="shared" si="0"/>
        <v>2</v>
      </c>
      <c r="K17">
        <f>SUMIFS(Matches!$M$2:$M$25,Matches!$G$2:$G$25,$B17,Matches!$L$2:$L$25,"Complete")+SUMIFS(Matches!$N$2:$N$25,Matches!$H$2:$H$25,$B17,Matches!$L$2:$L$25,"Complete")</f>
        <v>6</v>
      </c>
      <c r="L17" s="2">
        <f>0</f>
        <v>0</v>
      </c>
      <c r="M17">
        <f t="shared" si="1"/>
        <v>6000206.983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341</v>
      </c>
      <c r="C1" s="5" t="s">
        <v>338</v>
      </c>
      <c r="D1" s="5" t="s">
        <v>352</v>
      </c>
      <c r="E1" s="5" t="s">
        <v>353</v>
      </c>
      <c r="F1" s="5" t="s">
        <v>354</v>
      </c>
      <c r="G1" s="5" t="s">
        <v>355</v>
      </c>
      <c r="H1" s="5" t="s">
        <v>356</v>
      </c>
      <c r="I1" s="5" t="s">
        <v>357</v>
      </c>
      <c r="J1" s="5" t="s">
        <v>347</v>
      </c>
      <c r="K1" s="5" t="s">
        <v>348</v>
      </c>
      <c r="L1" s="5" t="s">
        <v>349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3</v>
      </c>
      <c r="E2">
        <f>INDEX(StandingsData!$C$2:$C$5,MATCH(LARGE(StandingsData!$M$2:$M$5,1),StandingsData!$M$2:$M$5,0))</f>
        <v>1</v>
      </c>
      <c r="F2">
        <f>INDEX(StandingsData!$D$2:$D$5,MATCH(LARGE(StandingsData!$M$2:$M$5,1),StandingsData!$M$2:$M$5,0))</f>
        <v>1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6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6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Astolfi Impianti Elettrici</v>
      </c>
      <c r="D3">
        <f>INDEX(StandingsData!$K$2:$K$5,MATCH(LARGE(StandingsData!$M$2:$M$5,2),StandingsData!$M$2:$M$5,0))</f>
        <v>3</v>
      </c>
      <c r="E3">
        <f>INDEX(StandingsData!$C$2:$C$5,MATCH(LARGE(StandingsData!$M$2:$M$5,2),StandingsData!$M$2:$M$5,0))</f>
        <v>1</v>
      </c>
      <c r="F3">
        <f>INDEX(StandingsData!$D$2:$D$5,MATCH(LARGE(StandingsData!$M$2:$M$5,2),StandingsData!$M$2:$M$5,0))</f>
        <v>1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5</v>
      </c>
      <c r="K3">
        <f>INDEX(StandingsData!$I$2:$I$5,MATCH(LARGE(StandingsData!$M$2:$M$5,2),StandingsData!$M$2:$M$5,0))</f>
        <v>2</v>
      </c>
      <c r="L3">
        <f>INDEX(StandingsData!$J$2:$J$5,MATCH(LARGE(StandingsData!$M$2:$M$5,2),StandingsData!$M$2:$M$5,0))</f>
        <v>3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1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2</v>
      </c>
      <c r="K4">
        <f>INDEX(StandingsData!$I$2:$I$5,MATCH(LARGE(StandingsData!$M$2:$M$5,3),StandingsData!$M$2:$M$5,0))</f>
        <v>5</v>
      </c>
      <c r="L4">
        <f>INDEX(StandingsData!$J$2:$J$5,MATCH(LARGE(StandingsData!$M$2:$M$5,3),StandingsData!$M$2:$M$5,0))</f>
        <v>-3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FC Internazionale Rovigo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1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1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6</v>
      </c>
      <c r="L5">
        <f>INDEX(StandingsData!$J$2:$J$5,MATCH(LARGE(StandingsData!$M$2:$M$5,4),StandingsData!$M$2:$M$5,0))</f>
        <v>-6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6</v>
      </c>
      <c r="E6">
        <f>INDEX(StandingsData!$C$6:$C$9,MATCH(LARGE(StandingsData!$M$6:$M$9,1),StandingsData!$M$6:$M$9,0))</f>
        <v>2</v>
      </c>
      <c r="F6">
        <f>INDEX(StandingsData!$D$6:$D$9,MATCH(LARGE(StandingsData!$M$6:$M$9,1),StandingsData!$M$6:$M$9,0))</f>
        <v>2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4</v>
      </c>
      <c r="K6">
        <f>INDEX(StandingsData!$I$6:$I$9,MATCH(LARGE(StandingsData!$M$6:$M$9,1),StandingsData!$M$6:$M$9,0))</f>
        <v>2</v>
      </c>
      <c r="L6">
        <f>INDEX(StandingsData!$J$6:$J$9,MATCH(LARGE(StandingsData!$M$6:$M$9,1),StandingsData!$M$6:$M$9,0))</f>
        <v>2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3</v>
      </c>
      <c r="E7">
        <f>INDEX(StandingsData!$C$6:$C$9,MATCH(LARGE(StandingsData!$M$6:$M$9,2),StandingsData!$M$6:$M$9,0))</f>
        <v>1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1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1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1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1</v>
      </c>
      <c r="L8">
        <f>INDEX(StandingsData!$J$6:$J$9,MATCH(LARGE(StandingsData!$M$6:$M$9,3),StandingsData!$M$6:$M$9,0))</f>
        <v>-1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2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2</v>
      </c>
      <c r="J9">
        <f>INDEX(StandingsData!$H$6:$H$9,MATCH(LARGE(StandingsData!$M$6:$M$9,4),StandingsData!$M$6:$M$9,0))</f>
        <v>2</v>
      </c>
      <c r="K9">
        <f>INDEX(StandingsData!$I$6:$I$9,MATCH(LARGE(StandingsData!$M$6:$M$9,4),StandingsData!$M$6:$M$9,0))</f>
        <v>4</v>
      </c>
      <c r="L9">
        <f>INDEX(StandingsData!$J$6:$J$9,MATCH(LARGE(StandingsData!$M$6:$M$9,4),StandingsData!$M$6:$M$9,0))</f>
        <v>-2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3</v>
      </c>
      <c r="E10">
        <f>INDEX(StandingsData!$C$10:$C$13,MATCH(LARGE(StandingsData!$M$10:$M$13,1),StandingsData!$M$10:$M$13,0))</f>
        <v>1</v>
      </c>
      <c r="F10">
        <f>INDEX(StandingsData!$D$10:$D$13,MATCH(LARGE(StandingsData!$M$10:$M$13,1),StandingsData!$M$10:$M$13,0))</f>
        <v>1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3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1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Barrio Boys</v>
      </c>
      <c r="D11">
        <f>INDEX(StandingsData!$K$10:$K$13,MATCH(LARGE(StandingsData!$M$10:$M$13,2),StandingsData!$M$10:$M$13,0))</f>
        <v>2</v>
      </c>
      <c r="E11">
        <f>INDEX(StandingsData!$C$10:$C$13,MATCH(LARGE(StandingsData!$M$10:$M$13,2),StandingsData!$M$10:$M$13,0))</f>
        <v>1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1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2</v>
      </c>
      <c r="K11">
        <f>INDEX(StandingsData!$I$10:$I$13,MATCH(LARGE(StandingsData!$M$10:$M$13,2),StandingsData!$M$10:$M$13,0))</f>
        <v>2</v>
      </c>
      <c r="L11">
        <f>INDEX(StandingsData!$J$10:$J$13,MATCH(LARGE(StandingsData!$M$10:$M$13,2),StandingsData!$M$10:$M$13,0))</f>
        <v>0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Cani</v>
      </c>
      <c r="D12">
        <f>INDEX(StandingsData!$K$10:$K$13,MATCH(LARGE(StandingsData!$M$10:$M$13,3),StandingsData!$M$10:$M$13,0))</f>
        <v>1</v>
      </c>
      <c r="E12">
        <f>INDEX(StandingsData!$C$10:$C$13,MATCH(LARGE(StandingsData!$M$10:$M$13,3),StandingsData!$M$10:$M$13,0))</f>
        <v>1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1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2</v>
      </c>
      <c r="K12">
        <f>INDEX(StandingsData!$I$10:$I$13,MATCH(LARGE(StandingsData!$M$10:$M$13,3),StandingsData!$M$10:$M$13,0))</f>
        <v>2</v>
      </c>
      <c r="L12">
        <f>INDEX(StandingsData!$J$10:$J$13,MATCH(LARGE(StandingsData!$M$10:$M$13,3),StandingsData!$M$10:$M$13,0))</f>
        <v>0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Pink 5ive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1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1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3</v>
      </c>
      <c r="L13">
        <f>INDEX(StandingsData!$J$10:$J$13,MATCH(LARGE(StandingsData!$M$10:$M$13,4),StandingsData!$M$10:$M$13,0))</f>
        <v>-1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Coca Juniors</v>
      </c>
      <c r="D14">
        <f>INDEX(StandingsData!$K$14:$K$17,MATCH(LARGE(StandingsData!$M$14:$M$17,1),StandingsData!$M$14:$M$17,0))</f>
        <v>6</v>
      </c>
      <c r="E14">
        <f>INDEX(StandingsData!$C$14:$C$17,MATCH(LARGE(StandingsData!$M$14:$M$17,1),StandingsData!$M$14:$M$17,0))</f>
        <v>2</v>
      </c>
      <c r="F14">
        <f>INDEX(StandingsData!$D$14:$D$17,MATCH(LARGE(StandingsData!$M$14:$M$17,1),StandingsData!$M$14:$M$17,0))</f>
        <v>2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9</v>
      </c>
      <c r="K14">
        <f>INDEX(StandingsData!$I$14:$I$17,MATCH(LARGE(StandingsData!$M$14:$M$17,1),StandingsData!$M$14:$M$17,0))</f>
        <v>4</v>
      </c>
      <c r="L14">
        <f>INDEX(StandingsData!$J$14:$J$17,MATCH(LARGE(StandingsData!$M$14:$M$17,1),StandingsData!$M$14:$M$17,0))</f>
        <v>5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6</v>
      </c>
      <c r="E15">
        <f>INDEX(StandingsData!$C$14:$C$17,MATCH(LARGE(StandingsData!$M$14:$M$17,2),StandingsData!$M$14:$M$17,0))</f>
        <v>3</v>
      </c>
      <c r="F15">
        <f>INDEX(StandingsData!$D$14:$D$17,MATCH(LARGE(StandingsData!$M$14:$M$17,2),StandingsData!$M$14:$M$17,0))</f>
        <v>2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1</v>
      </c>
      <c r="J15">
        <f>INDEX(StandingsData!$H$14:$H$17,MATCH(LARGE(StandingsData!$M$14:$M$17,2),StandingsData!$M$14:$M$17,0))</f>
        <v>7</v>
      </c>
      <c r="K15">
        <f>INDEX(StandingsData!$I$14:$I$17,MATCH(LARGE(StandingsData!$M$14:$M$17,2),StandingsData!$M$14:$M$17,0))</f>
        <v>5</v>
      </c>
      <c r="L15">
        <f>INDEX(StandingsData!$J$14:$J$17,MATCH(LARGE(StandingsData!$M$14:$M$17,2),StandingsData!$M$14:$M$17,0))</f>
        <v>2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3</v>
      </c>
      <c r="E16">
        <f>INDEX(StandingsData!$C$14:$C$17,MATCH(LARGE(StandingsData!$M$14:$M$17,3),StandingsData!$M$14:$M$17,0))</f>
        <v>3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2</v>
      </c>
      <c r="J16">
        <f>INDEX(StandingsData!$H$14:$H$17,MATCH(LARGE(StandingsData!$M$14:$M$17,3),StandingsData!$M$14:$M$17,0))</f>
        <v>7</v>
      </c>
      <c r="K16">
        <f>INDEX(StandingsData!$I$14:$I$17,MATCH(LARGE(StandingsData!$M$14:$M$17,3),StandingsData!$M$14:$M$17,0))</f>
        <v>11</v>
      </c>
      <c r="L16">
        <f>INDEX(StandingsData!$J$14:$J$17,MATCH(LARGE(StandingsData!$M$14:$M$17,3),StandingsData!$M$14:$M$17,0))</f>
        <v>-4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Boldò Glimt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2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2</v>
      </c>
      <c r="K17">
        <f>INDEX(StandingsData!$I$14:$I$17,MATCH(LARGE(StandingsData!$M$14:$M$17,4),StandingsData!$M$14:$M$17,0))</f>
        <v>5</v>
      </c>
      <c r="L17">
        <f>INDEX(StandingsData!$J$14:$J$17,MATCH(LARGE(StandingsData!$M$14:$M$17,4),StandingsData!$M$14:$M$17,0))</f>
        <v>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G14" sqref="G14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358</v>
      </c>
      <c r="B2" t="s">
        <v>359</v>
      </c>
      <c r="E2" t="s">
        <v>267</v>
      </c>
      <c r="F2" s="12">
        <v>0.74027777777777781</v>
      </c>
      <c r="G2" s="2" t="s">
        <v>30</v>
      </c>
      <c r="H2" s="2" t="s">
        <v>37</v>
      </c>
      <c r="I2" s="2">
        <v>3</v>
      </c>
      <c r="J2" s="2">
        <v>1</v>
      </c>
      <c r="K2" s="2"/>
      <c r="L2" t="str">
        <f t="shared" ref="L2:L8" si="0">IF(OR(I2="",J2=""),"",IF(I2&gt;J2,G2,IF(J2&gt;I2,H2,K2)))</f>
        <v>Cani</v>
      </c>
      <c r="M2" t="str">
        <f t="shared" ref="M2:M8" si="1">IF(OR(I2="",J2=""),"",G2&amp;" "&amp;I2&amp;" - "&amp;J2&amp;" "&amp;H2&amp;IF(K2&lt;&gt;""," (rigori: "&amp;K2&amp;")",""))</f>
        <v>Cani 3 - 1 Coca Juniors</v>
      </c>
    </row>
    <row r="3" spans="1:26" x14ac:dyDescent="0.3">
      <c r="A3" t="s">
        <v>360</v>
      </c>
      <c r="B3" t="s">
        <v>359</v>
      </c>
      <c r="E3" t="s">
        <v>269</v>
      </c>
      <c r="F3" s="12" t="s">
        <v>361</v>
      </c>
      <c r="G3" s="2" t="s">
        <v>6</v>
      </c>
      <c r="H3" s="2" t="s">
        <v>17</v>
      </c>
      <c r="I3" s="2">
        <v>2</v>
      </c>
      <c r="J3" s="2">
        <v>6</v>
      </c>
      <c r="K3" s="2"/>
      <c r="L3" t="str">
        <f t="shared" si="0"/>
        <v>Vecchie Glorie Rovigo</v>
      </c>
      <c r="M3" t="str">
        <f t="shared" si="1"/>
        <v>Fatine FC 2 - 6 Vecchie Glorie Rovigo</v>
      </c>
    </row>
    <row r="4" spans="1:26" x14ac:dyDescent="0.3">
      <c r="A4" t="s">
        <v>362</v>
      </c>
      <c r="B4" t="s">
        <v>359</v>
      </c>
      <c r="E4" t="s">
        <v>267</v>
      </c>
      <c r="F4" s="12" t="s">
        <v>363</v>
      </c>
      <c r="G4" s="2" t="s">
        <v>24</v>
      </c>
      <c r="H4" s="2" t="s">
        <v>39</v>
      </c>
      <c r="I4" s="2">
        <v>4</v>
      </c>
      <c r="J4" s="2">
        <v>0</v>
      </c>
      <c r="K4" s="2"/>
      <c r="L4" t="str">
        <f t="shared" si="0"/>
        <v>Leoni di Ricky</v>
      </c>
      <c r="M4" t="str">
        <f t="shared" si="1"/>
        <v>Leoni di Ricky 4 - 0 Piadineria la Salsiccia</v>
      </c>
    </row>
    <row r="5" spans="1:26" x14ac:dyDescent="0.3">
      <c r="A5" t="s">
        <v>364</v>
      </c>
      <c r="B5" t="s">
        <v>359</v>
      </c>
      <c r="E5" t="s">
        <v>269</v>
      </c>
      <c r="F5" s="12" t="s">
        <v>363</v>
      </c>
      <c r="G5" s="2" t="s">
        <v>19</v>
      </c>
      <c r="H5" s="2" t="s">
        <v>26</v>
      </c>
      <c r="I5" s="2">
        <v>5</v>
      </c>
      <c r="J5" s="2">
        <v>1</v>
      </c>
      <c r="K5" s="2"/>
      <c r="L5" t="str">
        <f t="shared" si="0"/>
        <v>AS Bancatore</v>
      </c>
      <c r="M5" t="str">
        <f t="shared" si="1"/>
        <v>AS Bancatore 5 - 1 Pink 5ive</v>
      </c>
    </row>
    <row r="6" spans="1:26" x14ac:dyDescent="0.3">
      <c r="A6" t="s">
        <v>365</v>
      </c>
      <c r="B6" t="s">
        <v>366</v>
      </c>
      <c r="E6" t="s">
        <v>267</v>
      </c>
      <c r="F6" s="12" t="s">
        <v>367</v>
      </c>
      <c r="G6" s="2" t="s">
        <v>17</v>
      </c>
      <c r="H6" s="2" t="s">
        <v>24</v>
      </c>
      <c r="I6" s="2">
        <v>2</v>
      </c>
      <c r="J6" s="2">
        <v>2</v>
      </c>
      <c r="K6" s="2" t="s">
        <v>24</v>
      </c>
      <c r="L6" t="str">
        <f t="shared" si="0"/>
        <v>Leoni di Ricky</v>
      </c>
      <c r="M6" t="str">
        <f t="shared" si="1"/>
        <v>Vecchie Glorie Rovigo 2 - 2 Leoni di Ricky (rigori: Leoni di Ricky)</v>
      </c>
    </row>
    <row r="7" spans="1:26" x14ac:dyDescent="0.3">
      <c r="A7" t="s">
        <v>368</v>
      </c>
      <c r="B7" t="s">
        <v>366</v>
      </c>
      <c r="E7" t="s">
        <v>269</v>
      </c>
      <c r="F7" s="12" t="s">
        <v>367</v>
      </c>
      <c r="G7" s="2" t="s">
        <v>19</v>
      </c>
      <c r="H7" s="2" t="s">
        <v>30</v>
      </c>
      <c r="I7" s="2">
        <v>4</v>
      </c>
      <c r="J7" s="2">
        <v>2</v>
      </c>
      <c r="K7" s="2"/>
      <c r="L7" t="str">
        <f t="shared" si="0"/>
        <v>AS Bancatore</v>
      </c>
      <c r="M7" t="str">
        <f t="shared" si="1"/>
        <v>AS Bancatore 4 - 2 Cani</v>
      </c>
    </row>
    <row r="8" spans="1:26" x14ac:dyDescent="0.3">
      <c r="A8" t="s">
        <v>369</v>
      </c>
      <c r="B8" t="s">
        <v>370</v>
      </c>
      <c r="F8" s="12">
        <v>0.4548611111111111</v>
      </c>
      <c r="G8" s="2" t="s">
        <v>24</v>
      </c>
      <c r="H8" s="2" t="s">
        <v>30</v>
      </c>
      <c r="I8" s="2">
        <v>3</v>
      </c>
      <c r="J8" s="2">
        <v>0</v>
      </c>
      <c r="K8" s="2"/>
      <c r="L8" t="str">
        <f t="shared" si="0"/>
        <v>Leoni di Ricky</v>
      </c>
      <c r="M8" t="str">
        <f t="shared" si="1"/>
        <v>Leoni di Ricky 3 - 0 Cani</v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24" activePane="bottomLeft" state="frozen"/>
      <selection pane="bottomLeft" activeCell="I85" sqref="I85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>QF1</v>
      </c>
      <c r="B2" t="str">
        <f>IF(A2="","",IF(J2&lt;=INDEX(Knockout!$I$2:$I$8,I2-1),INDEX(Knockout!$G$2:$G$8,I2-1),INDEX(Knockout!$H$2:$H$8,I2-1)))</f>
        <v>Cani</v>
      </c>
      <c r="C2">
        <f>IF(A2="","",COUNTIFS($A$2:A2,A2,$B$2:B2,B2))</f>
        <v>1</v>
      </c>
      <c r="D2" s="2" t="str">
        <f t="shared" ref="D2:D33" si="0">IF(A2="","","Goal")</f>
        <v>Goal</v>
      </c>
      <c r="E2" s="2" t="s">
        <v>371</v>
      </c>
      <c r="F2" t="str">
        <f t="shared" ref="F2:F33" si="1">IF(A2="","",IF(D2="Autogol","",IF(D2="Goal",B2,"")))</f>
        <v>Cani</v>
      </c>
      <c r="G2" t="str">
        <f t="shared" ref="G2:G33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Validation!$N$2:$N$31</v>
      </c>
      <c r="I2">
        <f>INT((ROW()-2)/Settings!$B$6)+2</f>
        <v>2</v>
      </c>
      <c r="J2">
        <f>MOD(ROW()-2,Settings!$B$6)+1</f>
        <v>1</v>
      </c>
      <c r="K2" t="s">
        <v>372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>QF1</v>
      </c>
      <c r="B3" t="str">
        <f>IF(A3="","",IF(J3&lt;=INDEX(Knockout!$I$2:$I$8,I3-1),INDEX(Knockout!$G$2:$G$8,I3-1),INDEX(Knockout!$H$2:$H$8,I3-1)))</f>
        <v>Cani</v>
      </c>
      <c r="C3">
        <f>IF(A3="","",COUNTIFS($A$2:A3,A3,$B$2:B3,B3))</f>
        <v>2</v>
      </c>
      <c r="D3" s="2" t="str">
        <f t="shared" si="0"/>
        <v>Goal</v>
      </c>
      <c r="E3" s="2" t="s">
        <v>371</v>
      </c>
      <c r="F3" t="str">
        <f t="shared" si="1"/>
        <v>Cani</v>
      </c>
      <c r="G3" t="str">
        <f t="shared" si="2"/>
        <v>OK</v>
      </c>
      <c r="H3" t="str">
        <f>IF(F3="","",VLOOKUP(F3,Validation!$A$2:$B$17,2,FALSE))</f>
        <v>Validation!$N$2:$N$31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>QF1</v>
      </c>
      <c r="B4" t="str">
        <f>IF(A4="","",IF(J4&lt;=INDEX(Knockout!$I$2:$I$8,I4-1),INDEX(Knockout!$G$2:$G$8,I4-1),INDEX(Knockout!$H$2:$H$8,I4-1)))</f>
        <v>Cani</v>
      </c>
      <c r="C4">
        <f>IF(A4="","",COUNTIFS($A$2:A4,A4,$B$2:B4,B4))</f>
        <v>3</v>
      </c>
      <c r="D4" s="2" t="str">
        <f t="shared" si="0"/>
        <v>Goal</v>
      </c>
      <c r="E4" s="2" t="s">
        <v>371</v>
      </c>
      <c r="F4" t="str">
        <f t="shared" si="1"/>
        <v>Cani</v>
      </c>
      <c r="G4" t="str">
        <f t="shared" si="2"/>
        <v>OK</v>
      </c>
      <c r="H4" t="str">
        <f>IF(F4="","",VLOOKUP(F4,Validation!$A$2:$B$17,2,FALSE))</f>
        <v>Validation!$N$2:$N$31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>QF1</v>
      </c>
      <c r="B5" t="str">
        <f>IF(A5="","",IF(J5&lt;=INDEX(Knockout!$I$2:$I$8,I5-1),INDEX(Knockout!$G$2:$G$8,I5-1),INDEX(Knockout!$H$2:$H$8,I5-1)))</f>
        <v>Coca Juniors</v>
      </c>
      <c r="C5">
        <f>IF(A5="","",COUNTIFS($A$2:A5,A5,$B$2:B5,B5))</f>
        <v>1</v>
      </c>
      <c r="D5" s="2" t="str">
        <f t="shared" si="0"/>
        <v>Goal</v>
      </c>
      <c r="E5" s="2" t="s">
        <v>308</v>
      </c>
      <c r="F5" t="str">
        <f t="shared" si="1"/>
        <v>Coca Juniors</v>
      </c>
      <c r="G5" t="str">
        <f t="shared" si="2"/>
        <v>OK</v>
      </c>
      <c r="H5" t="str">
        <f>IF(F5="","",VLOOKUP(F5,Validation!$A$2:$B$17,2,FALSE))</f>
        <v>Validation!$Q$2:$Q$31</v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>QF2</v>
      </c>
      <c r="B14" t="str">
        <f>IF(A14="","",IF(J14&lt;=INDEX(Knockout!$I$2:$I$8,I14-1),INDEX(Knockout!$G$2:$G$8,I14-1),INDEX(Knockout!$H$2:$H$8,I14-1)))</f>
        <v>Fatine FC</v>
      </c>
      <c r="C14">
        <f>IF(A14="","",COUNTIFS($A$2:A14,A14,$B$2:B14,B14))</f>
        <v>1</v>
      </c>
      <c r="D14" s="2" t="str">
        <f t="shared" si="0"/>
        <v>Goal</v>
      </c>
      <c r="E14" s="2" t="s">
        <v>320</v>
      </c>
      <c r="F14" t="str">
        <f t="shared" si="1"/>
        <v>Fatine FC</v>
      </c>
      <c r="G14" t="str">
        <f t="shared" si="2"/>
        <v>OK</v>
      </c>
      <c r="H14" t="str">
        <f>IF(F14="","",VLOOKUP(F14,Validation!$A$2:$B$17,2,FALSE))</f>
        <v>Validation!$C$2:$C$31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>QF2</v>
      </c>
      <c r="B15" t="str">
        <f>IF(A15="","",IF(J15&lt;=INDEX(Knockout!$I$2:$I$8,I15-1),INDEX(Knockout!$G$2:$G$8,I15-1),INDEX(Knockout!$H$2:$H$8,I15-1)))</f>
        <v>Fatine FC</v>
      </c>
      <c r="C15">
        <f>IF(A15="","",COUNTIFS($A$2:A15,A15,$B$2:B15,B15))</f>
        <v>2</v>
      </c>
      <c r="D15" s="2" t="str">
        <f t="shared" si="0"/>
        <v>Goal</v>
      </c>
      <c r="E15" s="2" t="s">
        <v>321</v>
      </c>
      <c r="F15" t="str">
        <f t="shared" si="1"/>
        <v>Fatine FC</v>
      </c>
      <c r="G15" t="str">
        <f t="shared" si="2"/>
        <v>OK</v>
      </c>
      <c r="H15" t="str">
        <f>IF(F15="","",VLOOKUP(F15,Validation!$A$2:$B$17,2,FALSE))</f>
        <v>Validation!$C$2:$C$31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>QF2</v>
      </c>
      <c r="B16" t="str">
        <f>IF(A16="","",IF(J16&lt;=INDEX(Knockout!$I$2:$I$8,I16-1),INDEX(Knockout!$G$2:$G$8,I16-1),INDEX(Knockout!$H$2:$H$8,I16-1)))</f>
        <v>Vecchie Glorie Rovigo</v>
      </c>
      <c r="C16">
        <f>IF(A16="","",COUNTIFS($A$2:A16,A16,$B$2:B16,B16))</f>
        <v>1</v>
      </c>
      <c r="D16" s="2" t="str">
        <f t="shared" si="0"/>
        <v>Goal</v>
      </c>
      <c r="E16" s="2" t="s">
        <v>175</v>
      </c>
      <c r="F16" t="str">
        <f t="shared" si="1"/>
        <v>Vecchie Glorie Rovigo</v>
      </c>
      <c r="G16" t="str">
        <f t="shared" si="2"/>
        <v>OK</v>
      </c>
      <c r="H16" t="str">
        <f>IF(F16="","",VLOOKUP(F16,Validation!$A$2:$B$17,2,FALSE))</f>
        <v>Validation!$H$2:$H$31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>QF2</v>
      </c>
      <c r="B17" t="str">
        <f>IF(A17="","",IF(J17&lt;=INDEX(Knockout!$I$2:$I$8,I17-1),INDEX(Knockout!$G$2:$G$8,I17-1),INDEX(Knockout!$H$2:$H$8,I17-1)))</f>
        <v>Vecchie Glorie Rovigo</v>
      </c>
      <c r="C17">
        <f>IF(A17="","",COUNTIFS($A$2:A17,A17,$B$2:B17,B17))</f>
        <v>2</v>
      </c>
      <c r="D17" s="2" t="str">
        <f t="shared" si="0"/>
        <v>Goal</v>
      </c>
      <c r="E17" s="2" t="s">
        <v>175</v>
      </c>
      <c r="F17" t="str">
        <f t="shared" si="1"/>
        <v>Vecchie Glorie Rovigo</v>
      </c>
      <c r="G17" t="str">
        <f t="shared" si="2"/>
        <v>OK</v>
      </c>
      <c r="H17" t="str">
        <f>IF(F17="","",VLOOKUP(F17,Validation!$A$2:$B$17,2,FALSE))</f>
        <v>Validation!$H$2:$H$31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>QF2</v>
      </c>
      <c r="B18" t="str">
        <f>IF(A18="","",IF(J18&lt;=INDEX(Knockout!$I$2:$I$8,I18-1),INDEX(Knockout!$G$2:$G$8,I18-1),INDEX(Knockout!$H$2:$H$8,I18-1)))</f>
        <v>Vecchie Glorie Rovigo</v>
      </c>
      <c r="C18">
        <f>IF(A18="","",COUNTIFS($A$2:A18,A18,$B$2:B18,B18))</f>
        <v>3</v>
      </c>
      <c r="D18" s="2" t="str">
        <f t="shared" si="0"/>
        <v>Goal</v>
      </c>
      <c r="E18" s="2" t="s">
        <v>175</v>
      </c>
      <c r="F18" t="str">
        <f t="shared" si="1"/>
        <v>Vecchie Glorie Rovigo</v>
      </c>
      <c r="G18" t="str">
        <f t="shared" si="2"/>
        <v>OK</v>
      </c>
      <c r="H18" t="str">
        <f>IF(F18="","",VLOOKUP(F18,Validation!$A$2:$B$17,2,FALSE))</f>
        <v>Validation!$H$2:$H$31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>QF2</v>
      </c>
      <c r="B19" t="str">
        <f>IF(A19="","",IF(J19&lt;=INDEX(Knockout!$I$2:$I$8,I19-1),INDEX(Knockout!$G$2:$G$8,I19-1),INDEX(Knockout!$H$2:$H$8,I19-1)))</f>
        <v>Vecchie Glorie Rovigo</v>
      </c>
      <c r="C19">
        <f>IF(A19="","",COUNTIFS($A$2:A19,A19,$B$2:B19,B19))</f>
        <v>4</v>
      </c>
      <c r="D19" s="2" t="str">
        <f t="shared" si="0"/>
        <v>Goal</v>
      </c>
      <c r="E19" s="2" t="s">
        <v>175</v>
      </c>
      <c r="F19" t="str">
        <f t="shared" si="1"/>
        <v>Vecchie Glorie Rovigo</v>
      </c>
      <c r="G19" t="str">
        <f t="shared" si="2"/>
        <v>OK</v>
      </c>
      <c r="H19" t="str">
        <f>IF(F19="","",VLOOKUP(F19,Validation!$A$2:$B$17,2,FALSE))</f>
        <v>Validation!$H$2:$H$31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>QF2</v>
      </c>
      <c r="B20" t="str">
        <f>IF(A20="","",IF(J20&lt;=INDEX(Knockout!$I$2:$I$8,I20-1),INDEX(Knockout!$G$2:$G$8,I20-1),INDEX(Knockout!$H$2:$H$8,I20-1)))</f>
        <v>Vecchie Glorie Rovigo</v>
      </c>
      <c r="C20">
        <f>IF(A20="","",COUNTIFS($A$2:A20,A20,$B$2:B20,B20))</f>
        <v>5</v>
      </c>
      <c r="D20" s="2" t="str">
        <f t="shared" si="0"/>
        <v>Goal</v>
      </c>
      <c r="E20" s="2" t="s">
        <v>175</v>
      </c>
      <c r="F20" t="str">
        <f t="shared" si="1"/>
        <v>Vecchie Glorie Rovigo</v>
      </c>
      <c r="G20" t="str">
        <f t="shared" si="2"/>
        <v>OK</v>
      </c>
      <c r="H20" t="str">
        <f>IF(F20="","",VLOOKUP(F20,Validation!$A$2:$B$17,2,FALSE))</f>
        <v>Validation!$H$2:$H$31</v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>QF2</v>
      </c>
      <c r="B21" t="str">
        <f>IF(A21="","",IF(J21&lt;=INDEX(Knockout!$I$2:$I$8,I21-1),INDEX(Knockout!$G$2:$G$8,I21-1),INDEX(Knockout!$H$2:$H$8,I21-1)))</f>
        <v>Vecchie Glorie Rovigo</v>
      </c>
      <c r="C21">
        <f>IF(A21="","",COUNTIFS($A$2:A21,A21,$B$2:B21,B21))</f>
        <v>6</v>
      </c>
      <c r="D21" s="2" t="str">
        <f t="shared" si="0"/>
        <v>Goal</v>
      </c>
      <c r="E21" s="2" t="s">
        <v>175</v>
      </c>
      <c r="F21" t="str">
        <f t="shared" si="1"/>
        <v>Vecchie Glorie Rovigo</v>
      </c>
      <c r="G21" t="str">
        <f t="shared" si="2"/>
        <v>OK</v>
      </c>
      <c r="H21" t="str">
        <f>IF(F21="","",VLOOKUP(F21,Validation!$A$2:$B$17,2,FALSE))</f>
        <v>Validation!$H$2:$H$31</v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>QF3</v>
      </c>
      <c r="B26" t="str">
        <f>IF(A26="","",IF(J26&lt;=INDEX(Knockout!$I$2:$I$8,I26-1),INDEX(Knockout!$G$2:$G$8,I26-1),INDEX(Knockout!$H$2:$H$8,I26-1)))</f>
        <v>Leoni di Ricky</v>
      </c>
      <c r="C26">
        <f>IF(A26="","",COUNTIFS($A$2:A26,A26,$B$2:B26,B26))</f>
        <v>1</v>
      </c>
      <c r="D26" s="2" t="str">
        <f t="shared" si="0"/>
        <v>Goal</v>
      </c>
      <c r="E26" s="2" t="s">
        <v>312</v>
      </c>
      <c r="F26" t="str">
        <f t="shared" si="1"/>
        <v>Leoni di Ricky</v>
      </c>
      <c r="G26" t="str">
        <f t="shared" si="2"/>
        <v>OK</v>
      </c>
      <c r="H26" t="str">
        <f>IF(F26="","",VLOOKUP(F26,Validation!$A$2:$B$17,2,FALSE))</f>
        <v>Validation!$K$2:$K$31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>QF3</v>
      </c>
      <c r="B27" t="str">
        <f>IF(A27="","",IF(J27&lt;=INDEX(Knockout!$I$2:$I$8,I27-1),INDEX(Knockout!$G$2:$G$8,I27-1),INDEX(Knockout!$H$2:$H$8,I27-1)))</f>
        <v>Leoni di Ricky</v>
      </c>
      <c r="C27">
        <f>IF(A27="","",COUNTIFS($A$2:A27,A27,$B$2:B27,B27))</f>
        <v>2</v>
      </c>
      <c r="D27" s="2" t="str">
        <f t="shared" si="0"/>
        <v>Goal</v>
      </c>
      <c r="E27" s="2" t="s">
        <v>312</v>
      </c>
      <c r="F27" t="str">
        <f t="shared" si="1"/>
        <v>Leoni di Ricky</v>
      </c>
      <c r="G27" t="str">
        <f t="shared" si="2"/>
        <v>OK</v>
      </c>
      <c r="H27" t="str">
        <f>IF(F27="","",VLOOKUP(F27,Validation!$A$2:$B$17,2,FALSE))</f>
        <v>Validation!$K$2:$K$31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>QF3</v>
      </c>
      <c r="B28" t="str">
        <f>IF(A28="","",IF(J28&lt;=INDEX(Knockout!$I$2:$I$8,I28-1),INDEX(Knockout!$G$2:$G$8,I28-1),INDEX(Knockout!$H$2:$H$8,I28-1)))</f>
        <v>Leoni di Ricky</v>
      </c>
      <c r="C28">
        <f>IF(A28="","",COUNTIFS($A$2:A28,A28,$B$2:B28,B28))</f>
        <v>3</v>
      </c>
      <c r="D28" s="2" t="str">
        <f t="shared" si="0"/>
        <v>Goal</v>
      </c>
      <c r="E28" s="2" t="s">
        <v>312</v>
      </c>
      <c r="F28" t="str">
        <f t="shared" si="1"/>
        <v>Leoni di Ricky</v>
      </c>
      <c r="G28" t="str">
        <f t="shared" si="2"/>
        <v>OK</v>
      </c>
      <c r="H28" t="str">
        <f>IF(F28="","",VLOOKUP(F28,Validation!$A$2:$B$17,2,FALSE))</f>
        <v>Validation!$K$2:$K$31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>QF3</v>
      </c>
      <c r="B29" t="str">
        <f>IF(A29="","",IF(J29&lt;=INDEX(Knockout!$I$2:$I$8,I29-1),INDEX(Knockout!$G$2:$G$8,I29-1),INDEX(Knockout!$H$2:$H$8,I29-1)))</f>
        <v>Leoni di Ricky</v>
      </c>
      <c r="C29">
        <f>IF(A29="","",COUNTIFS($A$2:A29,A29,$B$2:B29,B29))</f>
        <v>4</v>
      </c>
      <c r="D29" s="2" t="str">
        <f t="shared" si="0"/>
        <v>Goal</v>
      </c>
      <c r="E29" s="2" t="s">
        <v>312</v>
      </c>
      <c r="F29" t="str">
        <f t="shared" si="1"/>
        <v>Leoni di Ricky</v>
      </c>
      <c r="G29" t="str">
        <f t="shared" si="2"/>
        <v>OK</v>
      </c>
      <c r="H29" t="str">
        <f>IF(F29="","",VLOOKUP(F29,Validation!$A$2:$B$17,2,FALSE))</f>
        <v>Validation!$K$2:$K$31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>QF4</v>
      </c>
      <c r="B38" t="str">
        <f>IF(A38="","",IF(J38&lt;=INDEX(Knockout!$I$2:$I$8,I38-1),INDEX(Knockout!$G$2:$G$8,I38-1),INDEX(Knockout!$H$2:$H$8,I38-1)))</f>
        <v>AS Bancatore</v>
      </c>
      <c r="C38">
        <f>IF(A38="","",COUNTIFS($A$2:A38,A38,$B$2:B38,B38))</f>
        <v>1</v>
      </c>
      <c r="D38" s="2" t="str">
        <f t="shared" si="3"/>
        <v>Goal</v>
      </c>
      <c r="E38" s="2" t="s">
        <v>373</v>
      </c>
      <c r="F38" t="str">
        <f t="shared" si="4"/>
        <v>AS Bancatore</v>
      </c>
      <c r="G38" t="str">
        <f t="shared" si="5"/>
        <v>OK</v>
      </c>
      <c r="H38" t="str">
        <f>IF(F38="","",VLOOKUP(F38,Validation!$A$2:$B$17,2,FALSE))</f>
        <v>Validation!$I$2:$I$31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>QF4</v>
      </c>
      <c r="B39" t="str">
        <f>IF(A39="","",IF(J39&lt;=INDEX(Knockout!$I$2:$I$8,I39-1),INDEX(Knockout!$G$2:$G$8,I39-1),INDEX(Knockout!$H$2:$H$8,I39-1)))</f>
        <v>AS Bancatore</v>
      </c>
      <c r="C39">
        <f>IF(A39="","",COUNTIFS($A$2:A39,A39,$B$2:B39,B39))</f>
        <v>2</v>
      </c>
      <c r="D39" s="2" t="str">
        <f t="shared" si="3"/>
        <v>Goal</v>
      </c>
      <c r="E39" s="2" t="s">
        <v>373</v>
      </c>
      <c r="F39" t="str">
        <f t="shared" si="4"/>
        <v>AS Bancatore</v>
      </c>
      <c r="G39" t="str">
        <f t="shared" si="5"/>
        <v>OK</v>
      </c>
      <c r="H39" t="str">
        <f>IF(F39="","",VLOOKUP(F39,Validation!$A$2:$B$17,2,FALSE))</f>
        <v>Validation!$I$2:$I$31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>QF4</v>
      </c>
      <c r="B40" t="str">
        <f>IF(A40="","",IF(J40&lt;=INDEX(Knockout!$I$2:$I$8,I40-1),INDEX(Knockout!$G$2:$G$8,I40-1),INDEX(Knockout!$H$2:$H$8,I40-1)))</f>
        <v>AS Bancatore</v>
      </c>
      <c r="C40">
        <f>IF(A40="","",COUNTIFS($A$2:A40,A40,$B$2:B40,B40))</f>
        <v>3</v>
      </c>
      <c r="D40" s="2" t="str">
        <f t="shared" si="3"/>
        <v>Goal</v>
      </c>
      <c r="E40" s="2" t="s">
        <v>373</v>
      </c>
      <c r="F40" t="str">
        <f t="shared" si="4"/>
        <v>AS Bancatore</v>
      </c>
      <c r="G40" t="str">
        <f t="shared" si="5"/>
        <v>OK</v>
      </c>
      <c r="H40" t="str">
        <f>IF(F40="","",VLOOKUP(F40,Validation!$A$2:$B$17,2,FALSE))</f>
        <v>Validation!$I$2:$I$31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>QF4</v>
      </c>
      <c r="B41" t="str">
        <f>IF(A41="","",IF(J41&lt;=INDEX(Knockout!$I$2:$I$8,I41-1),INDEX(Knockout!$G$2:$G$8,I41-1),INDEX(Knockout!$H$2:$H$8,I41-1)))</f>
        <v>AS Bancatore</v>
      </c>
      <c r="C41">
        <f>IF(A41="","",COUNTIFS($A$2:A41,A41,$B$2:B41,B41))</f>
        <v>4</v>
      </c>
      <c r="D41" s="2" t="str">
        <f t="shared" si="3"/>
        <v>Goal</v>
      </c>
      <c r="E41" s="2" t="s">
        <v>373</v>
      </c>
      <c r="F41" t="str">
        <f t="shared" si="4"/>
        <v>AS Bancatore</v>
      </c>
      <c r="G41" t="str">
        <f t="shared" si="5"/>
        <v>OK</v>
      </c>
      <c r="H41" t="str">
        <f>IF(F41="","",VLOOKUP(F41,Validation!$A$2:$B$17,2,FALSE))</f>
        <v>Validation!$I$2:$I$31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>QF4</v>
      </c>
      <c r="B42" t="str">
        <f>IF(A42="","",IF(J42&lt;=INDEX(Knockout!$I$2:$I$8,I42-1),INDEX(Knockout!$G$2:$G$8,I42-1),INDEX(Knockout!$H$2:$H$8,I42-1)))</f>
        <v>AS Bancatore</v>
      </c>
      <c r="C42">
        <f>IF(A42="","",COUNTIFS($A$2:A42,A42,$B$2:B42,B42))</f>
        <v>5</v>
      </c>
      <c r="D42" s="2" t="str">
        <f t="shared" si="3"/>
        <v>Goal</v>
      </c>
      <c r="E42" s="2" t="s">
        <v>373</v>
      </c>
      <c r="F42" t="str">
        <f t="shared" si="4"/>
        <v>AS Bancatore</v>
      </c>
      <c r="G42" t="str">
        <f t="shared" si="5"/>
        <v>OK</v>
      </c>
      <c r="H42" t="str">
        <f>IF(F42="","",VLOOKUP(F42,Validation!$A$2:$B$17,2,FALSE))</f>
        <v>Validation!$I$2:$I$31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>QF4</v>
      </c>
      <c r="B43" t="str">
        <f>IF(A43="","",IF(J43&lt;=INDEX(Knockout!$I$2:$I$8,I43-1),INDEX(Knockout!$G$2:$G$8,I43-1),INDEX(Knockout!$H$2:$H$8,I43-1)))</f>
        <v>Pink 5ive</v>
      </c>
      <c r="C43">
        <f>IF(A43="","",COUNTIFS($A$2:A43,A43,$B$2:B43,B43))</f>
        <v>1</v>
      </c>
      <c r="D43" s="2" t="str">
        <f t="shared" si="3"/>
        <v>Goal</v>
      </c>
      <c r="E43" s="2" t="s">
        <v>374</v>
      </c>
      <c r="F43" t="str">
        <f t="shared" si="4"/>
        <v>Pink 5ive</v>
      </c>
      <c r="G43" t="str">
        <f t="shared" si="5"/>
        <v>OK</v>
      </c>
      <c r="H43" t="str">
        <f>IF(F43="","",VLOOKUP(F43,Validation!$A$2:$B$17,2,FALSE))</f>
        <v>Validation!$L$2:$L$31</v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>SF1</v>
      </c>
      <c r="B50" t="str">
        <f>IF(A50="","",IF(J50&lt;=INDEX(Knockout!$I$2:$I$8,I50-1),INDEX(Knockout!$G$2:$G$8,I50-1),INDEX(Knockout!$H$2:$H$8,I50-1)))</f>
        <v>Vecchie Glorie Rovigo</v>
      </c>
      <c r="C50">
        <f>IF(A50="","",COUNTIFS($A$2:A50,A50,$B$2:B50,B50))</f>
        <v>1</v>
      </c>
      <c r="D50" s="2" t="str">
        <f t="shared" si="3"/>
        <v>Goal</v>
      </c>
      <c r="E50" s="2" t="s">
        <v>128</v>
      </c>
      <c r="F50" t="str">
        <f t="shared" si="4"/>
        <v>Vecchie Glorie Rovigo</v>
      </c>
      <c r="G50" t="str">
        <f t="shared" si="5"/>
        <v>OK</v>
      </c>
      <c r="H50" t="str">
        <f>IF(F50="","",VLOOKUP(F50,Validation!$A$2:$B$17,2,FALSE))</f>
        <v>Validation!$H$2:$H$31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>SF1</v>
      </c>
      <c r="B51" t="str">
        <f>IF(A51="","",IF(J51&lt;=INDEX(Knockout!$I$2:$I$8,I51-1),INDEX(Knockout!$G$2:$G$8,I51-1),INDEX(Knockout!$H$2:$H$8,I51-1)))</f>
        <v>Vecchie Glorie Rovigo</v>
      </c>
      <c r="C51">
        <f>IF(A51="","",COUNTIFS($A$2:A51,A51,$B$2:B51,B51))</f>
        <v>2</v>
      </c>
      <c r="D51" s="2" t="str">
        <f t="shared" si="3"/>
        <v>Goal</v>
      </c>
      <c r="E51" s="2" t="s">
        <v>144</v>
      </c>
      <c r="F51" t="str">
        <f t="shared" si="4"/>
        <v>Vecchie Glorie Rovigo</v>
      </c>
      <c r="G51" t="str">
        <f t="shared" si="5"/>
        <v>OK</v>
      </c>
      <c r="H51" t="str">
        <f>IF(F51="","",VLOOKUP(F51,Validation!$A$2:$B$17,2,FALSE))</f>
        <v>Validation!$H$2:$H$31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>SF1</v>
      </c>
      <c r="B52" t="str">
        <f>IF(A52="","",IF(J52&lt;=INDEX(Knockout!$I$2:$I$8,I52-1),INDEX(Knockout!$G$2:$G$8,I52-1),INDEX(Knockout!$H$2:$H$8,I52-1)))</f>
        <v>Leoni di Ricky</v>
      </c>
      <c r="C52">
        <f>IF(A52="","",COUNTIFS($A$2:A52,A52,$B$2:B52,B52))</f>
        <v>1</v>
      </c>
      <c r="D52" s="2" t="str">
        <f t="shared" si="3"/>
        <v>Goal</v>
      </c>
      <c r="E52" s="2" t="s">
        <v>311</v>
      </c>
      <c r="F52" t="str">
        <f t="shared" si="4"/>
        <v>Leoni di Ricky</v>
      </c>
      <c r="G52" t="str">
        <f t="shared" si="5"/>
        <v>OK</v>
      </c>
      <c r="H52" t="str">
        <f>IF(F52="","",VLOOKUP(F52,Validation!$A$2:$B$17,2,FALSE))</f>
        <v>Validation!$K$2:$K$31</v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>SF1</v>
      </c>
      <c r="B53" t="str">
        <f>IF(A53="","",IF(J53&lt;=INDEX(Knockout!$I$2:$I$8,I53-1),INDEX(Knockout!$G$2:$G$8,I53-1),INDEX(Knockout!$H$2:$H$8,I53-1)))</f>
        <v>Leoni di Ricky</v>
      </c>
      <c r="C53">
        <f>IF(A53="","",COUNTIFS($A$2:A53,A53,$B$2:B53,B53))</f>
        <v>2</v>
      </c>
      <c r="D53" s="2" t="str">
        <f t="shared" si="3"/>
        <v>Goal</v>
      </c>
      <c r="E53" s="2" t="s">
        <v>375</v>
      </c>
      <c r="F53" t="str">
        <f t="shared" si="4"/>
        <v>Leoni di Ricky</v>
      </c>
      <c r="G53" t="str">
        <f t="shared" si="5"/>
        <v>OK</v>
      </c>
      <c r="H53" t="str">
        <f>IF(F53="","",VLOOKUP(F53,Validation!$A$2:$B$17,2,FALSE))</f>
        <v>Validation!$K$2:$K$31</v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>SF2</v>
      </c>
      <c r="B62" t="str">
        <f>IF(A62="","",IF(J62&lt;=INDEX(Knockout!$I$2:$I$8,I62-1),INDEX(Knockout!$G$2:$G$8,I62-1),INDEX(Knockout!$H$2:$H$8,I62-1)))</f>
        <v>AS Bancatore</v>
      </c>
      <c r="C62">
        <f>IF(A62="","",COUNTIFS($A$2:A62,A62,$B$2:B62,B62))</f>
        <v>1</v>
      </c>
      <c r="D62" s="2" t="str">
        <f t="shared" si="3"/>
        <v>Goal</v>
      </c>
      <c r="E62" s="2" t="s">
        <v>373</v>
      </c>
      <c r="F62" t="str">
        <f t="shared" si="4"/>
        <v>AS Bancatore</v>
      </c>
      <c r="G62" t="str">
        <f t="shared" si="5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>SF2</v>
      </c>
      <c r="B63" t="str">
        <f>IF(A63="","",IF(J63&lt;=INDEX(Knockout!$I$2:$I$8,I63-1),INDEX(Knockout!$G$2:$G$8,I63-1),INDEX(Knockout!$H$2:$H$8,I63-1)))</f>
        <v>AS Bancatore</v>
      </c>
      <c r="C63">
        <f>IF(A63="","",COUNTIFS($A$2:A63,A63,$B$2:B63,B63))</f>
        <v>2</v>
      </c>
      <c r="D63" s="2" t="str">
        <f t="shared" si="3"/>
        <v>Goal</v>
      </c>
      <c r="E63" s="2" t="s">
        <v>373</v>
      </c>
      <c r="F63" t="str">
        <f t="shared" si="4"/>
        <v>AS Bancatore</v>
      </c>
      <c r="G63" t="str">
        <f t="shared" si="5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>SF2</v>
      </c>
      <c r="B64" t="str">
        <f>IF(A64="","",IF(J64&lt;=INDEX(Knockout!$I$2:$I$8,I64-1),INDEX(Knockout!$G$2:$G$8,I64-1),INDEX(Knockout!$H$2:$H$8,I64-1)))</f>
        <v>AS Bancatore</v>
      </c>
      <c r="C64">
        <f>IF(A64="","",COUNTIFS($A$2:A64,A64,$B$2:B64,B64))</f>
        <v>3</v>
      </c>
      <c r="D64" s="2" t="str">
        <f t="shared" si="3"/>
        <v>Goal</v>
      </c>
      <c r="E64" s="2" t="s">
        <v>373</v>
      </c>
      <c r="F64" t="str">
        <f t="shared" si="4"/>
        <v>AS Bancatore</v>
      </c>
      <c r="G64" t="str">
        <f t="shared" si="5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>SF2</v>
      </c>
      <c r="B65" t="str">
        <f>IF(A65="","",IF(J65&lt;=INDEX(Knockout!$I$2:$I$8,I65-1),INDEX(Knockout!$G$2:$G$8,I65-1),INDEX(Knockout!$H$2:$H$8,I65-1)))</f>
        <v>AS Bancatore</v>
      </c>
      <c r="C65">
        <f>IF(A65="","",COUNTIFS($A$2:A65,A65,$B$2:B65,B65))</f>
        <v>4</v>
      </c>
      <c r="D65" s="2" t="str">
        <f t="shared" si="3"/>
        <v>Goal</v>
      </c>
      <c r="E65" s="2" t="s">
        <v>373</v>
      </c>
      <c r="F65" t="str">
        <f t="shared" si="4"/>
        <v>AS Bancatore</v>
      </c>
      <c r="G65" t="str">
        <f t="shared" si="5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>SF2</v>
      </c>
      <c r="B66" t="str">
        <f>IF(A66="","",IF(J66&lt;=INDEX(Knockout!$I$2:$I$8,I66-1),INDEX(Knockout!$G$2:$G$8,I66-1),INDEX(Knockout!$H$2:$H$8,I66-1)))</f>
        <v>Cani</v>
      </c>
      <c r="C66">
        <f>IF(A66="","",COUNTIFS($A$2:A66,A66,$B$2:B66,B66))</f>
        <v>1</v>
      </c>
      <c r="D66" s="2" t="str">
        <f t="shared" ref="D66:D85" si="6">IF(A66="","","Goal")</f>
        <v>Goal</v>
      </c>
      <c r="E66" s="2" t="s">
        <v>376</v>
      </c>
      <c r="F66" t="str">
        <f t="shared" ref="F66:F85" si="7">IF(A66="","",IF(D66="Autogol","",IF(D66="Goal",B66,"")))</f>
        <v>Cani</v>
      </c>
      <c r="G66" t="str">
        <f t="shared" ref="G66:G85" si="8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Validation!$N$2:$N$31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>SF2</v>
      </c>
      <c r="B67" t="str">
        <f>IF(A67="","",IF(J67&lt;=INDEX(Knockout!$I$2:$I$8,I67-1),INDEX(Knockout!$G$2:$G$8,I67-1),INDEX(Knockout!$H$2:$H$8,I67-1)))</f>
        <v>Cani</v>
      </c>
      <c r="C67">
        <f>IF(A67="","",COUNTIFS($A$2:A67,A67,$B$2:B67,B67))</f>
        <v>2</v>
      </c>
      <c r="D67" s="2" t="str">
        <f t="shared" si="6"/>
        <v>Goal</v>
      </c>
      <c r="E67" s="2" t="s">
        <v>376</v>
      </c>
      <c r="F67" t="str">
        <f t="shared" si="7"/>
        <v>Cani</v>
      </c>
      <c r="G67" t="str">
        <f t="shared" si="8"/>
        <v>OK</v>
      </c>
      <c r="H67" t="str">
        <f>IF(F67="","",VLOOKUP(F67,Validation!$A$2:$B$17,2,FALSE))</f>
        <v>Validation!$N$2:$N$31</v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>FIN</v>
      </c>
      <c r="B74" t="str">
        <f>IF(A74="","",IF(J74&lt;=INDEX(Knockout!$I$2:$I$8,I74-1),INDEX(Knockout!$G$2:$G$8,I74-1),INDEX(Knockout!$H$2:$H$8,I74-1)))</f>
        <v>Leoni di Ricky</v>
      </c>
      <c r="C74">
        <f>IF(A74="","",COUNTIFS($A$2:A74,A74,$B$2:B74,B74))</f>
        <v>1</v>
      </c>
      <c r="D74" s="2" t="str">
        <f t="shared" si="6"/>
        <v>Goal</v>
      </c>
      <c r="E74" s="2" t="s">
        <v>311</v>
      </c>
      <c r="F74" t="str">
        <f t="shared" si="7"/>
        <v>Leoni di Ricky</v>
      </c>
      <c r="G74" t="str">
        <f t="shared" si="8"/>
        <v>OK</v>
      </c>
      <c r="H74" t="str">
        <f>IF(F74="","",VLOOKUP(F74,Validation!$A$2:$B$17,2,FALSE))</f>
        <v>Validation!$K$2:$K$31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>FIN</v>
      </c>
      <c r="B75" t="str">
        <f>IF(A75="","",IF(J75&lt;=INDEX(Knockout!$I$2:$I$8,I75-1),INDEX(Knockout!$G$2:$G$8,I75-1),INDEX(Knockout!$H$2:$H$8,I75-1)))</f>
        <v>Leoni di Ricky</v>
      </c>
      <c r="C75">
        <f>IF(A75="","",COUNTIFS($A$2:A75,A75,$B$2:B75,B75))</f>
        <v>2</v>
      </c>
      <c r="D75" s="2" t="str">
        <f t="shared" si="6"/>
        <v>Goal</v>
      </c>
      <c r="E75" s="2" t="s">
        <v>311</v>
      </c>
      <c r="F75" t="str">
        <f t="shared" si="7"/>
        <v>Leoni di Ricky</v>
      </c>
      <c r="G75" t="str">
        <f t="shared" si="8"/>
        <v>OK</v>
      </c>
      <c r="H75" t="str">
        <f>IF(F75="","",VLOOKUP(F75,Validation!$A$2:$B$17,2,FALSE))</f>
        <v>Validation!$K$2:$K$31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>FIN</v>
      </c>
      <c r="B76" t="str">
        <f>IF(A76="","",IF(J76&lt;=INDEX(Knockout!$I$2:$I$8,I76-1),INDEX(Knockout!$G$2:$G$8,I76-1),INDEX(Knockout!$H$2:$H$8,I76-1)))</f>
        <v>Leoni di Ricky</v>
      </c>
      <c r="C76">
        <f>IF(A76="","",COUNTIFS($A$2:A76,A76,$B$2:B76,B76))</f>
        <v>3</v>
      </c>
      <c r="D76" s="2" t="str">
        <f t="shared" si="6"/>
        <v>Goal</v>
      </c>
      <c r="E76" s="2" t="s">
        <v>311</v>
      </c>
      <c r="F76" t="str">
        <f t="shared" si="7"/>
        <v>Leoni di Ricky</v>
      </c>
      <c r="G76" t="str">
        <f t="shared" si="8"/>
        <v>OK</v>
      </c>
      <c r="H76" t="str">
        <f>IF(F76="","",VLOOKUP(F76,Validation!$A$2:$B$17,2,FALSE))</f>
        <v>Validation!$K$2:$K$31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377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378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379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380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381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382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383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384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385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386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387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388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12 - DANIELE MORETTO</v>
      </c>
    </row>
    <row r="13" spans="1:26" x14ac:dyDescent="0.3">
      <c r="A13" t="s">
        <v>30</v>
      </c>
      <c r="B13" t="s">
        <v>389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390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391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392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393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394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9" t="s">
        <v>395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396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397</v>
      </c>
      <c r="B4" s="7" t="s">
        <v>398</v>
      </c>
      <c r="C4" s="7" t="s">
        <v>399</v>
      </c>
      <c r="D4" s="7" t="s">
        <v>400</v>
      </c>
      <c r="E4" s="7" t="s">
        <v>401</v>
      </c>
      <c r="F4" s="7" t="s">
        <v>402</v>
      </c>
      <c r="G4" s="7" t="s">
        <v>403</v>
      </c>
      <c r="H4" s="7" t="s">
        <v>404</v>
      </c>
      <c r="I4" s="7" t="s">
        <v>405</v>
      </c>
      <c r="J4" s="7" t="s">
        <v>406</v>
      </c>
      <c r="K4" s="7" t="s">
        <v>407</v>
      </c>
      <c r="L4" s="7" t="s">
        <v>408</v>
      </c>
      <c r="M4" s="1"/>
      <c r="N4" s="7" t="s">
        <v>398</v>
      </c>
      <c r="O4" s="7" t="s">
        <v>409</v>
      </c>
      <c r="P4" s="7" t="s">
        <v>399</v>
      </c>
      <c r="Q4" s="7" t="s">
        <v>410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3</v>
      </c>
      <c r="E5" s="1">
        <f>Standings!E2</f>
        <v>1</v>
      </c>
      <c r="F5" s="1">
        <f>Standings!F2</f>
        <v>1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6</v>
      </c>
      <c r="K5" s="1">
        <f>Standings!K2</f>
        <v>0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MATTEO SAVIOLI</v>
      </c>
      <c r="P5" s="1" t="str">
        <f>IF(TopScorers!C2="","",TopScorers!C2)</f>
        <v>AS Bancatore</v>
      </c>
      <c r="Q5" s="1">
        <f>IF(TopScorers!D2="","",TopScorers!D2)</f>
        <v>9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Astolfi Impianti Elettrici</v>
      </c>
      <c r="D6" s="1">
        <f>Standings!D3</f>
        <v>3</v>
      </c>
      <c r="E6" s="1">
        <f>Standings!E3</f>
        <v>1</v>
      </c>
      <c r="F6" s="1">
        <f>Standings!F3</f>
        <v>1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5</v>
      </c>
      <c r="K6" s="1">
        <f>Standings!K3</f>
        <v>2</v>
      </c>
      <c r="L6" s="1">
        <f>Standings!L3</f>
        <v>3</v>
      </c>
      <c r="M6" s="1"/>
      <c r="N6" s="1">
        <f>IF(TopScorers!A3="","",TopScorers!A3)</f>
        <v>2</v>
      </c>
      <c r="O6" s="1" t="str">
        <f>IF(TopScorers!B3="","",TopScorers!B3)</f>
        <v>DANIELE MORETTO</v>
      </c>
      <c r="P6" s="1" t="str">
        <f>IF(TopScorers!C3="","",TopScorers!C3)</f>
        <v>Piadineria la Salsiccia</v>
      </c>
      <c r="Q6" s="1">
        <f>IF(TopScorers!D3="","",TopScorers!D3)</f>
        <v>7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1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1</v>
      </c>
      <c r="J7" s="1">
        <f>Standings!J4</f>
        <v>2</v>
      </c>
      <c r="K7" s="1">
        <f>Standings!K4</f>
        <v>5</v>
      </c>
      <c r="L7" s="1">
        <f>Standings!L4</f>
        <v>-3</v>
      </c>
      <c r="M7" s="1"/>
      <c r="N7" s="1">
        <f>IF(TopScorers!A4="","",TopScorers!A4)</f>
        <v>3</v>
      </c>
      <c r="O7" s="1" t="str">
        <f>IF(TopScorers!B4="","",TopScorers!B4)</f>
        <v>DENIS TIMPANARO</v>
      </c>
      <c r="P7" s="1" t="str">
        <f>IF(TopScorers!C4="","",TopScorers!C4)</f>
        <v>Vecchie Glorie Rovigo</v>
      </c>
      <c r="Q7" s="1">
        <f>IF(TopScorers!D4="","",TopScorers!D4)</f>
        <v>6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FC Internazionale Rovigo</v>
      </c>
      <c r="D8" s="1">
        <f>Standings!D5</f>
        <v>0</v>
      </c>
      <c r="E8" s="1">
        <f>Standings!E5</f>
        <v>1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1</v>
      </c>
      <c r="J8" s="1">
        <f>Standings!J5</f>
        <v>0</v>
      </c>
      <c r="K8" s="1">
        <f>Standings!K5</f>
        <v>6</v>
      </c>
      <c r="L8" s="1">
        <f>Standings!L5</f>
        <v>-6</v>
      </c>
      <c r="M8" s="1"/>
      <c r="N8" s="1">
        <f>IF(TopScorers!A5="","",TopScorers!A5)</f>
        <v>4</v>
      </c>
      <c r="O8" s="1" t="str">
        <f>IF(TopScorers!B5="","",TopScorers!B5)</f>
        <v>PIETRO VIOLATO</v>
      </c>
      <c r="P8" s="1" t="str">
        <f>IF(TopScorers!C5="","",TopScorers!C5)</f>
        <v>Leoni di Ricky</v>
      </c>
      <c r="Q8" s="1">
        <f>IF(TopScorers!D5="","",TopScorers!D5)</f>
        <v>6</v>
      </c>
      <c r="R8" s="1"/>
      <c r="S8" s="1"/>
      <c r="T8" s="1"/>
      <c r="U8" s="1"/>
      <c r="V8" s="1"/>
      <c r="W8" s="1"/>
      <c r="X8" s="1"/>
      <c r="Y8" s="1"/>
      <c r="Z8" s="1"/>
    </row>
    <row r="9" spans="1:26" ht="28.8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6</v>
      </c>
      <c r="E9" s="1">
        <f>Standings!E6</f>
        <v>2</v>
      </c>
      <c r="F9" s="1">
        <f>Standings!F6</f>
        <v>2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4</v>
      </c>
      <c r="K9" s="1">
        <f>Standings!K6</f>
        <v>2</v>
      </c>
      <c r="L9" s="1">
        <f>Standings!L6</f>
        <v>2</v>
      </c>
      <c r="M9" s="1"/>
      <c r="N9" s="1">
        <f>IF(TopScorers!A6="","",TopScorers!A6)</f>
        <v>5</v>
      </c>
      <c r="O9" s="1" t="str">
        <f>IF(TopScorers!B6="","",TopScorers!B6)</f>
        <v>LEONARDO MAGGIO</v>
      </c>
      <c r="P9" s="1" t="str">
        <f>IF(TopScorers!C6="","",TopScorers!C6)</f>
        <v>Leoni di Ricky</v>
      </c>
      <c r="Q9" s="1">
        <f>IF(TopScorers!D6="","",TopScorers!D6)</f>
        <v>5</v>
      </c>
      <c r="R9" s="1"/>
      <c r="S9" s="1"/>
      <c r="T9" s="1"/>
      <c r="U9" s="1"/>
      <c r="V9" s="1"/>
      <c r="W9" s="1"/>
      <c r="X9" s="1"/>
      <c r="Y9" s="1"/>
      <c r="Z9" s="1"/>
    </row>
    <row r="10" spans="1:26" ht="28.8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3</v>
      </c>
      <c r="E10" s="1">
        <f>Standings!E7</f>
        <v>1</v>
      </c>
      <c r="F10" s="1">
        <f>Standings!F7</f>
        <v>1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1</v>
      </c>
      <c r="K10" s="1">
        <f>Standings!K7</f>
        <v>0</v>
      </c>
      <c r="L10" s="1">
        <f>Standings!L7</f>
        <v>1</v>
      </c>
      <c r="M10" s="1"/>
      <c r="N10" s="1">
        <f>IF(TopScorers!A7="","",TopScorers!A7)</f>
        <v>6</v>
      </c>
      <c r="O10" s="1" t="str">
        <f>IF(TopScorers!B7="","",TopScorers!B7)</f>
        <v>TOMMASO CALZAVARINI</v>
      </c>
      <c r="P10" s="1" t="str">
        <f>IF(TopScorers!C7="","",TopScorers!C7)</f>
        <v>Cani</v>
      </c>
      <c r="Q10" s="1">
        <f>IF(TopScorers!D7="","",TopScorers!D7)</f>
        <v>3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0</v>
      </c>
      <c r="E11" s="1">
        <f>Standings!E8</f>
        <v>1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1</v>
      </c>
      <c r="J11" s="1">
        <f>Standings!J8</f>
        <v>0</v>
      </c>
      <c r="K11" s="1">
        <f>Standings!K8</f>
        <v>1</v>
      </c>
      <c r="L11" s="1">
        <f>Standings!L8</f>
        <v>-1</v>
      </c>
      <c r="M11" s="1"/>
      <c r="N11" s="1">
        <f>IF(TopScorers!A8="","",TopScorers!A8)</f>
        <v>7</v>
      </c>
      <c r="O11" s="1" t="str">
        <f>IF(TopScorers!B8="","",TopScorers!B8)</f>
        <v>GIOVANNI BALLO</v>
      </c>
      <c r="P11" s="1" t="str">
        <f>IF(TopScorers!C8="","",TopScorers!C8)</f>
        <v>Fatine FC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2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2</v>
      </c>
      <c r="J12" s="1">
        <f>Standings!J9</f>
        <v>2</v>
      </c>
      <c r="K12" s="1">
        <f>Standings!K9</f>
        <v>4</v>
      </c>
      <c r="L12" s="1">
        <f>Standings!L9</f>
        <v>-2</v>
      </c>
      <c r="M12" s="1"/>
      <c r="N12" s="1">
        <f>IF(TopScorers!A9="","",TopScorers!A9)</f>
        <v>8</v>
      </c>
      <c r="O12" s="1" t="str">
        <f>IF(TopScorers!B9="","",TopScorers!B9)</f>
        <v>DANIELE MARZOLLA</v>
      </c>
      <c r="P12" s="1" t="str">
        <f>IF(TopScorers!C9="","",TopScorers!C9)</f>
        <v>Fatine FC</v>
      </c>
      <c r="Q12" s="1">
        <f>IF(TopScorers!D9="","",TopScorers!D9)</f>
        <v>2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3</v>
      </c>
      <c r="E13" s="1">
        <f>Standings!E10</f>
        <v>1</v>
      </c>
      <c r="F13" s="1">
        <f>Standings!F10</f>
        <v>1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3</v>
      </c>
      <c r="K13" s="1">
        <f>Standings!K10</f>
        <v>2</v>
      </c>
      <c r="L13" s="1">
        <f>Standings!L10</f>
        <v>1</v>
      </c>
      <c r="M13" s="1"/>
      <c r="N13" s="1">
        <f>IF(TopScorers!A10="","",TopScorers!A10)</f>
        <v>9</v>
      </c>
      <c r="O13" s="1" t="str">
        <f>IF(TopScorers!B10="","",TopScorers!B10)</f>
        <v>LUCA SIMEONE</v>
      </c>
      <c r="P13" s="1" t="str">
        <f>IF(TopScorers!C10="","",TopScorers!C10)</f>
        <v>Astolfi Impianti Elettrici</v>
      </c>
      <c r="Q13" s="1">
        <f>IF(TopScorers!D10="","",TopScorers!D10)</f>
        <v>2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28.8" x14ac:dyDescent="0.3">
      <c r="A14" s="1" t="str">
        <f>Standings!A11</f>
        <v>C</v>
      </c>
      <c r="B14" s="1">
        <f>Standings!B11</f>
        <v>2</v>
      </c>
      <c r="C14" s="1" t="str">
        <f>Standings!C11</f>
        <v>Barrio Boys</v>
      </c>
      <c r="D14" s="1">
        <f>Standings!D11</f>
        <v>2</v>
      </c>
      <c r="E14" s="1">
        <f>Standings!E11</f>
        <v>1</v>
      </c>
      <c r="F14" s="1">
        <f>Standings!F11</f>
        <v>0</v>
      </c>
      <c r="G14" s="1">
        <f>Standings!G11</f>
        <v>1</v>
      </c>
      <c r="H14" s="1">
        <f>Standings!H11</f>
        <v>0</v>
      </c>
      <c r="I14" s="1">
        <f>Standings!I11</f>
        <v>0</v>
      </c>
      <c r="J14" s="1">
        <f>Standings!J11</f>
        <v>2</v>
      </c>
      <c r="K14" s="1">
        <f>Standings!K11</f>
        <v>2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>MANUEL IMPELLICCIERI</v>
      </c>
      <c r="P14" s="1" t="str">
        <f>IF(TopScorers!C11="","",TopScorers!C11)</f>
        <v>Cani</v>
      </c>
      <c r="Q14" s="1">
        <f>IF(TopScorers!D11="","",TopScorers!D11)</f>
        <v>2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ht="28.8" x14ac:dyDescent="0.3">
      <c r="A15" s="1" t="str">
        <f>Standings!A12</f>
        <v>C</v>
      </c>
      <c r="B15" s="1">
        <f>Standings!B12</f>
        <v>3</v>
      </c>
      <c r="C15" s="1" t="str">
        <f>Standings!C12</f>
        <v>Cani</v>
      </c>
      <c r="D15" s="1">
        <f>Standings!D12</f>
        <v>1</v>
      </c>
      <c r="E15" s="1">
        <f>Standings!E12</f>
        <v>1</v>
      </c>
      <c r="F15" s="1">
        <f>Standings!F12</f>
        <v>0</v>
      </c>
      <c r="G15" s="1">
        <f>Standings!G12</f>
        <v>0</v>
      </c>
      <c r="H15" s="1">
        <f>Standings!H12</f>
        <v>1</v>
      </c>
      <c r="I15" s="1">
        <f>Standings!I12</f>
        <v>0</v>
      </c>
      <c r="J15" s="1">
        <f>Standings!J12</f>
        <v>2</v>
      </c>
      <c r="K15" s="1">
        <f>Standings!K12</f>
        <v>2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>ALESSIO GHIRARDELLO</v>
      </c>
      <c r="P15" s="1" t="str">
        <f>IF(TopScorers!C12="","",TopScorers!C12)</f>
        <v>Cani</v>
      </c>
      <c r="Q15" s="1">
        <f>IF(TopScorers!D12="","",TopScorers!D12)</f>
        <v>2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1" t="str">
        <f>Standings!A13</f>
        <v>C</v>
      </c>
      <c r="B16" s="1">
        <f>Standings!B13</f>
        <v>4</v>
      </c>
      <c r="C16" s="1" t="str">
        <f>Standings!C13</f>
        <v>Pink 5ive</v>
      </c>
      <c r="D16" s="1">
        <f>Standings!D13</f>
        <v>0</v>
      </c>
      <c r="E16" s="1">
        <f>Standings!E13</f>
        <v>1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1</v>
      </c>
      <c r="J16" s="1">
        <f>Standings!J13</f>
        <v>2</v>
      </c>
      <c r="K16" s="1">
        <f>Standings!K13</f>
        <v>3</v>
      </c>
      <c r="L16" s="1">
        <f>Standings!L13</f>
        <v>-1</v>
      </c>
      <c r="M16" s="1"/>
      <c r="N16" s="1">
        <f>IF(TopScorers!A13="","",TopScorers!A13)</f>
        <v>12</v>
      </c>
      <c r="O16" s="1" t="str">
        <f>IF(TopScorers!B13="","",TopScorers!B13)</f>
        <v>DAVIDE GIRARDELLO</v>
      </c>
      <c r="P16" s="1" t="str">
        <f>IF(TopScorers!C13="","",TopScorers!C13)</f>
        <v>All Blacks</v>
      </c>
      <c r="Q16" s="1">
        <f>IF(TopScorers!D13="","",TopScorers!D13)</f>
        <v>2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Coca Juniors</v>
      </c>
      <c r="D17" s="1">
        <f>Standings!D14</f>
        <v>6</v>
      </c>
      <c r="E17" s="1">
        <f>Standings!E14</f>
        <v>2</v>
      </c>
      <c r="F17" s="1">
        <f>Standings!F14</f>
        <v>2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9</v>
      </c>
      <c r="K17" s="1">
        <f>Standings!K14</f>
        <v>4</v>
      </c>
      <c r="L17" s="1">
        <f>Standings!L14</f>
        <v>5</v>
      </c>
      <c r="M17" s="1"/>
      <c r="N17" s="1">
        <f>IF(TopScorers!A14="","",TopScorers!A14)</f>
        <v>13</v>
      </c>
      <c r="O17" s="1" t="str">
        <f>IF(TopScorers!B14="","",TopScorers!B14)</f>
        <v>ANGELO REDI</v>
      </c>
      <c r="P17" s="1" t="str">
        <f>IF(TopScorers!C14="","",TopScorers!C14)</f>
        <v>Boldò Glimt</v>
      </c>
      <c r="Q17" s="1">
        <f>IF(TopScorers!D14="","",TopScorers!D14)</f>
        <v>2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6</v>
      </c>
      <c r="E18" s="1">
        <f>Standings!E15</f>
        <v>3</v>
      </c>
      <c r="F18" s="1">
        <f>Standings!F15</f>
        <v>2</v>
      </c>
      <c r="G18" s="1">
        <f>Standings!G15</f>
        <v>0</v>
      </c>
      <c r="H18" s="1">
        <f>Standings!H15</f>
        <v>0</v>
      </c>
      <c r="I18" s="1">
        <f>Standings!I15</f>
        <v>1</v>
      </c>
      <c r="J18" s="1">
        <f>Standings!J15</f>
        <v>7</v>
      </c>
      <c r="K18" s="1">
        <f>Standings!K15</f>
        <v>5</v>
      </c>
      <c r="L18" s="1">
        <f>Standings!L15</f>
        <v>2</v>
      </c>
      <c r="M18" s="1"/>
      <c r="N18" s="1">
        <f>IF(TopScorers!A15="","",TopScorers!A15)</f>
        <v>14</v>
      </c>
      <c r="O18" s="1" t="str">
        <f>IF(TopScorers!B15="","",TopScorers!B15)</f>
        <v>LUCA CAVALLARO</v>
      </c>
      <c r="P18" s="1" t="str">
        <f>IF(TopScorers!C15="","",TopScorers!C15)</f>
        <v>Coca Juniors</v>
      </c>
      <c r="Q18" s="1">
        <f>IF(TopScorers!D15="","",TopScorers!D15)</f>
        <v>2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3</v>
      </c>
      <c r="E19" s="1">
        <f>Standings!E16</f>
        <v>3</v>
      </c>
      <c r="F19" s="1">
        <f>Standings!F16</f>
        <v>1</v>
      </c>
      <c r="G19" s="1">
        <f>Standings!G16</f>
        <v>0</v>
      </c>
      <c r="H19" s="1">
        <f>Standings!H16</f>
        <v>0</v>
      </c>
      <c r="I19" s="1">
        <f>Standings!I16</f>
        <v>2</v>
      </c>
      <c r="J19" s="1">
        <f>Standings!J16</f>
        <v>7</v>
      </c>
      <c r="K19" s="1">
        <f>Standings!K16</f>
        <v>11</v>
      </c>
      <c r="L19" s="1">
        <f>Standings!L16</f>
        <v>-4</v>
      </c>
      <c r="M19" s="1"/>
      <c r="N19" s="1">
        <f>IF(TopScorers!A16="","",TopScorers!A16)</f>
        <v>15</v>
      </c>
      <c r="O19" s="1" t="str">
        <f>IF(TopScorers!B16="","",TopScorers!B16)</f>
        <v>KEVIN DOBROZI</v>
      </c>
      <c r="P19" s="1" t="str">
        <f>IF(TopScorers!C16="","",TopScorers!C16)</f>
        <v>Coca Juniors</v>
      </c>
      <c r="Q19" s="1">
        <f>IF(TopScorers!D16="","",TopScorers!D16)</f>
        <v>2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Boldò Glimt</v>
      </c>
      <c r="D20" s="1">
        <f>Standings!D17</f>
        <v>0</v>
      </c>
      <c r="E20" s="1">
        <f>Standings!E17</f>
        <v>2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2</v>
      </c>
      <c r="J20" s="1">
        <f>Standings!J17</f>
        <v>2</v>
      </c>
      <c r="K20" s="1">
        <f>Standings!K17</f>
        <v>5</v>
      </c>
      <c r="L20" s="1">
        <f>Standings!L17</f>
        <v>-3</v>
      </c>
      <c r="M20" s="1"/>
      <c r="N20" s="1">
        <f>IF(TopScorers!A17="","",TopScorers!A17)</f>
        <v>16</v>
      </c>
      <c r="O20" s="1" t="str">
        <f>IF(TopScorers!B17="","",TopScorers!B17)</f>
        <v>ANDREA PAVAN</v>
      </c>
      <c r="P20" s="1" t="str">
        <f>IF(TopScorers!C17="","",TopScorers!C17)</f>
        <v>Coca Juniors</v>
      </c>
      <c r="Q20" s="1">
        <f>IF(TopScorers!D17="","",TopScorers!D17)</f>
        <v>2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TOMMASO PAVAN</v>
      </c>
      <c r="P21" s="1" t="str">
        <f>IF(TopScorers!C18="","",TopScorers!C18)</f>
        <v>Coca Juniors</v>
      </c>
      <c r="Q21" s="1">
        <f>IF(TopScorers!D18="","",TopScorers!D18)</f>
        <v>2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GIAN MARCO MARANGONI</v>
      </c>
      <c r="P22" s="5" t="str">
        <f>IF(TopScorers!C19="","",TopScorers!C19)</f>
        <v>Coca Juniors</v>
      </c>
      <c r="Q22" s="1">
        <f>IF(TopScorers!D19="","",TopScorers!D19)</f>
        <v>2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19" t="s">
        <v>411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412</v>
      </c>
      <c r="B24" s="7" t="s">
        <v>413</v>
      </c>
      <c r="C24" s="7" t="s">
        <v>397</v>
      </c>
      <c r="D24" s="7" t="s">
        <v>414</v>
      </c>
      <c r="E24" s="7" t="s">
        <v>415</v>
      </c>
      <c r="F24" s="7" t="s">
        <v>416</v>
      </c>
      <c r="G24" s="7" t="s">
        <v>417</v>
      </c>
      <c r="H24" s="7" t="s">
        <v>418</v>
      </c>
      <c r="I24" s="7" t="s">
        <v>419</v>
      </c>
      <c r="J24" s="7" t="s">
        <v>420</v>
      </c>
      <c r="K24" s="7" t="s">
        <v>421</v>
      </c>
      <c r="L24" s="7" t="s">
        <v>422</v>
      </c>
      <c r="M24" s="7" t="s">
        <v>423</v>
      </c>
      <c r="N24" s="7" t="s">
        <v>424</v>
      </c>
      <c r="O24" s="7" t="s">
        <v>425</v>
      </c>
      <c r="P24" s="7" t="s">
        <v>426</v>
      </c>
      <c r="Q24" s="7" t="s">
        <v>427</v>
      </c>
      <c r="R24" s="7" t="s">
        <v>428</v>
      </c>
      <c r="S24" s="7" t="s">
        <v>429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0.47916666666666669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4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3</v>
      </c>
      <c r="N25" s="1">
        <f>IF(Matches!N2="","",Matches!N2)</f>
        <v>0</v>
      </c>
      <c r="O25" s="1" t="str">
        <f>IF(Matches!O2="","",Matches!O2)</f>
        <v>All Blacks</v>
      </c>
      <c r="P25" s="1" t="str">
        <f>IF(Matches!P2="","",Matches!P2)</f>
        <v>All Blacks 4 - 2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5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3</v>
      </c>
      <c r="N26" s="1">
        <f>IF(Matches!N3="","",Matches!N3)</f>
        <v>0</v>
      </c>
      <c r="O26" s="1" t="str">
        <f>IF(Matches!O3="","",Matches!O3)</f>
        <v>Coca Juniors</v>
      </c>
      <c r="P26" s="1" t="str">
        <f>IF(Matches!P3="","",Matches!P3)</f>
        <v>Coca Juniors 5 - 1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3</v>
      </c>
      <c r="J28" s="1">
        <f>IF(Matches!J5="","",Matches!J5)</f>
        <v>2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3 - 2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2</v>
      </c>
      <c r="K29" s="1" t="str">
        <f>IF(Matches!K6="","",Matches!K6)</f>
        <v>Barrio Boys</v>
      </c>
      <c r="L29" s="1" t="str">
        <f>Matches!L6</f>
        <v>Complete</v>
      </c>
      <c r="M29" s="1">
        <f>IF(Matches!M6="","",Matches!M6)</f>
        <v>2</v>
      </c>
      <c r="N29" s="1">
        <f>IF(Matches!N6="","",Matches!N6)</f>
        <v>1</v>
      </c>
      <c r="O29" s="1" t="str">
        <f>IF(Matches!O6="","",Matches!O6)</f>
        <v>Barrio Boys</v>
      </c>
      <c r="P29" s="1" t="str">
        <f>IF(Matches!P6="","",Matches!P6)</f>
        <v>Barrio Boys 2 - 2 Cani (rigori: Barrio Boys)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1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1 - 0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6</v>
      </c>
      <c r="J31" s="1">
        <f>IF(Matches!J8="","",Matches!J8)</f>
        <v>0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6 - 0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2</v>
      </c>
      <c r="J32" s="1">
        <f>IF(Matches!J9="","",Matches!J9)</f>
        <v>5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0</v>
      </c>
      <c r="N32" s="1">
        <f>IF(Matches!N9="","",Matches!N9)</f>
        <v>3</v>
      </c>
      <c r="O32" s="1" t="str">
        <f>IF(Matches!O9="","",Matches!O9)</f>
        <v>Astolfi Impianti Elettrici</v>
      </c>
      <c r="P32" s="1" t="str">
        <f>IF(Matches!P9="","",Matches!P9)</f>
        <v>Moviola Utd 2 - 5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3</v>
      </c>
      <c r="J33" s="1">
        <f>IF(Matches!J10="","",Matches!J10)</f>
        <v>4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0</v>
      </c>
      <c r="N33" s="1">
        <f>IF(Matches!N10="","",Matches!N10)</f>
        <v>3</v>
      </c>
      <c r="O33" s="1" t="str">
        <f>IF(Matches!O10="","",Matches!O10)</f>
        <v>Coca Juniors</v>
      </c>
      <c r="P33" s="1" t="str">
        <f>IF(Matches!P10="","",Matches!P10)</f>
        <v>All Blacks 3 - 4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2</v>
      </c>
      <c r="J34" s="1">
        <f>IF(Matches!J11="","",Matches!J11)</f>
        <v>3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2 - 3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43.2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1</v>
      </c>
      <c r="K36" s="1" t="str">
        <f>IF(Matches!K13="","",Matches!K13)</f>
        <v/>
      </c>
      <c r="L36" s="1" t="str">
        <f>Matches!L13</f>
        <v>Complete</v>
      </c>
      <c r="M36" s="1">
        <f>IF(Matches!M13="","",Matches!M13)</f>
        <v>0</v>
      </c>
      <c r="N36" s="1">
        <f>IF(Matches!N13="","",Matches!N13)</f>
        <v>3</v>
      </c>
      <c r="O36" s="1" t="str">
        <f>IF(Matches!O13="","",Matches!O13)</f>
        <v>Piadineria la Salsiccia</v>
      </c>
      <c r="P36" s="1" t="str">
        <f>IF(Matches!P13="","",Matches!P13)</f>
        <v>Boldò Glimt 0 - 1 Piadineria la Salsiccia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43.2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>
        <f>IF(Matches!I17="","",Matches!I17)</f>
        <v>0</v>
      </c>
      <c r="J40" s="1">
        <f>IF(Matches!J17="","",Matches!J17)</f>
        <v>5</v>
      </c>
      <c r="K40" s="1" t="str">
        <f>IF(Matches!K17="","",Matches!K17)</f>
        <v/>
      </c>
      <c r="L40" s="1" t="str">
        <f>Matches!L17</f>
        <v>Complete</v>
      </c>
      <c r="M40" s="1">
        <f>IF(Matches!M17="","",Matches!M17)</f>
        <v>0</v>
      </c>
      <c r="N40" s="1">
        <f>IF(Matches!N17="","",Matches!N17)</f>
        <v>3</v>
      </c>
      <c r="O40" s="1" t="str">
        <f>IF(Matches!O17="","",Matches!O17)</f>
        <v>Piadineria la Salsiccia</v>
      </c>
      <c r="P40" s="1" t="str">
        <f>IF(Matches!P17="","",Matches!P17)</f>
        <v>All Blacks 0 - 5 Piadineria la Salsiccia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NICOLA BRESCIANI</v>
      </c>
      <c r="P49" s="1" t="str">
        <f>IF(TopScorers!C46="","",TopScorers!C46)</f>
        <v>All Blacks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DAVIDE BEDESCHI</v>
      </c>
      <c r="P50" s="1" t="str">
        <f>IF(TopScorers!C47="","",TopScorers!C47)</f>
        <v>All Blacks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19" t="s">
        <v>430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>NICOLÒ BERGANTIN</v>
      </c>
      <c r="P51" s="1" t="str">
        <f>IF(TopScorers!C48="","",TopScorers!C48)</f>
        <v>All Blacks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412</v>
      </c>
      <c r="B52" s="7" t="s">
        <v>413</v>
      </c>
      <c r="C52" s="7" t="s">
        <v>397</v>
      </c>
      <c r="D52" s="7" t="s">
        <v>414</v>
      </c>
      <c r="E52" s="7" t="s">
        <v>415</v>
      </c>
      <c r="F52" s="7" t="s">
        <v>416</v>
      </c>
      <c r="G52" s="1" t="s">
        <v>417</v>
      </c>
      <c r="H52" s="1" t="s">
        <v>418</v>
      </c>
      <c r="I52" s="1" t="s">
        <v>419</v>
      </c>
      <c r="J52" s="1" t="s">
        <v>420</v>
      </c>
      <c r="K52" s="1" t="s">
        <v>421</v>
      </c>
      <c r="L52" s="1" t="s">
        <v>425</v>
      </c>
      <c r="M52" s="1" t="s">
        <v>426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 t="str">
        <f>Knockout!G2</f>
        <v>Cani</v>
      </c>
      <c r="H53" s="1" t="str">
        <f>Knockout!H2</f>
        <v>Coca Juniors</v>
      </c>
      <c r="I53" s="1">
        <f>IF(Knockout!I2="","",Knockout!I2)</f>
        <v>3</v>
      </c>
      <c r="J53" s="1">
        <f>IF(Knockout!J2="","",Knockout!J2)</f>
        <v>1</v>
      </c>
      <c r="K53" s="1" t="str">
        <f>IF(Knockout!K2="","",Knockout!K2)</f>
        <v/>
      </c>
      <c r="L53" s="1" t="str">
        <f>IF(Knockout!L2="","",Knockout!L2)</f>
        <v>Cani</v>
      </c>
      <c r="M53" s="1" t="str">
        <f>IF(Knockout!M2="","",Knockout!M2)</f>
        <v>Cani 3 - 1 Coca Juniors</v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43.2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 t="str">
        <f>Knockout!G3</f>
        <v>Fatine FC</v>
      </c>
      <c r="H54" s="1" t="str">
        <f>Knockout!H3</f>
        <v>Vecchie Glorie Rovigo</v>
      </c>
      <c r="I54" s="1">
        <f>IF(Knockout!I3="","",Knockout!I3)</f>
        <v>2</v>
      </c>
      <c r="J54" s="1">
        <f>IF(Knockout!J3="","",Knockout!J3)</f>
        <v>6</v>
      </c>
      <c r="K54" s="1" t="str">
        <f>IF(Knockout!K3="","",Knockout!K3)</f>
        <v/>
      </c>
      <c r="L54" s="1" t="str">
        <f>IF(Knockout!L3="","",Knockout!L3)</f>
        <v>Vecchie Glorie Rovigo</v>
      </c>
      <c r="M54" s="1" t="str">
        <f>IF(Knockout!M3="","",Knockout!M3)</f>
        <v>Fatine FC 2 - 6 Vecchie Glorie Rovigo</v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43.2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 t="str">
        <f>Knockout!G4</f>
        <v>Leoni di Ricky</v>
      </c>
      <c r="H55" s="1" t="str">
        <f>Knockout!H4</f>
        <v>Piadineria la Salsiccia</v>
      </c>
      <c r="I55" s="1">
        <f>IF(Knockout!I4="","",Knockout!I4)</f>
        <v>4</v>
      </c>
      <c r="J55" s="1">
        <f>IF(Knockout!J4="","",Knockout!J4)</f>
        <v>0</v>
      </c>
      <c r="K55" s="1" t="str">
        <f>IF(Knockout!K4="","",Knockout!K4)</f>
        <v/>
      </c>
      <c r="L55" s="1" t="str">
        <f>IF(Knockout!L4="","",Knockout!L4)</f>
        <v>Leoni di Ricky</v>
      </c>
      <c r="M55" s="1" t="str">
        <f>IF(Knockout!M4="","",Knockout!M4)</f>
        <v>Leoni di Ricky 4 - 0 Piadineria la Salsiccia</v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28.8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 t="str">
        <f>Knockout!G5</f>
        <v>AS Bancatore</v>
      </c>
      <c r="H56" s="1" t="str">
        <f>Knockout!H5</f>
        <v>Pink 5ive</v>
      </c>
      <c r="I56" s="1">
        <f>IF(Knockout!I5="","",Knockout!I5)</f>
        <v>5</v>
      </c>
      <c r="J56" s="1">
        <f>IF(Knockout!J5="","",Knockout!J5)</f>
        <v>1</v>
      </c>
      <c r="K56" s="1" t="str">
        <f>IF(Knockout!K5="","",Knockout!K5)</f>
        <v/>
      </c>
      <c r="L56" s="1" t="str">
        <f>IF(Knockout!L5="","",Knockout!L5)</f>
        <v>AS Bancatore</v>
      </c>
      <c r="M56" s="1" t="str">
        <f>IF(Knockout!M5="","",Knockout!M5)</f>
        <v>AS Bancatore 5 - 1 Pink 5ive</v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 t="str">
        <f>Knockout!G6</f>
        <v>Vecchie Glorie Rovigo</v>
      </c>
      <c r="H57" s="1" t="str">
        <f>Knockout!H6</f>
        <v>Leoni di Ricky</v>
      </c>
      <c r="I57" s="1">
        <f>IF(Knockout!I6="","",Knockout!I6)</f>
        <v>2</v>
      </c>
      <c r="J57" s="1">
        <f>IF(Knockout!J6="","",Knockout!J6)</f>
        <v>2</v>
      </c>
      <c r="K57" s="1" t="str">
        <f>IF(Knockout!K6="","",Knockout!K6)</f>
        <v>Leoni di Ricky</v>
      </c>
      <c r="L57" s="1" t="str">
        <f>IF(Knockout!L6="","",Knockout!L6)</f>
        <v>Leoni di Ricky</v>
      </c>
      <c r="M57" s="1" t="str">
        <f>IF(Knockout!M6="","",Knockout!M6)</f>
        <v>Vecchie Glorie Rovigo 2 - 2 Leoni di Ricky (rigori: Leoni di Ricky)</v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ht="28.8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 t="str">
        <f>Knockout!G7</f>
        <v>AS Bancatore</v>
      </c>
      <c r="H58" s="1" t="str">
        <f>Knockout!H7</f>
        <v>Cani</v>
      </c>
      <c r="I58" s="1">
        <f>IF(Knockout!I7="","",Knockout!I7)</f>
        <v>4</v>
      </c>
      <c r="J58" s="1">
        <f>IF(Knockout!J7="","",Knockout!J7)</f>
        <v>2</v>
      </c>
      <c r="K58" s="1" t="str">
        <f>IF(Knockout!K7="","",Knockout!K7)</f>
        <v/>
      </c>
      <c r="L58" s="1" t="str">
        <f>IF(Knockout!L7="","",Knockout!L7)</f>
        <v>AS Bancatore</v>
      </c>
      <c r="M58" s="1" t="str">
        <f>IF(Knockout!M7="","",Knockout!M7)</f>
        <v>AS Bancatore 4 - 2 Cani</v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ht="28.8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 t="str">
        <f>Knockout!G8</f>
        <v>Leoni di Ricky</v>
      </c>
      <c r="H59" s="1" t="str">
        <f>Knockout!H8</f>
        <v>Cani</v>
      </c>
      <c r="I59" s="1">
        <f>IF(Knockout!I8="","",Knockout!I8)</f>
        <v>3</v>
      </c>
      <c r="J59" s="1">
        <f>IF(Knockout!J8="","",Knockout!J8)</f>
        <v>0</v>
      </c>
      <c r="K59" s="1" t="str">
        <f>IF(Knockout!K8="","",Knockout!K8)</f>
        <v/>
      </c>
      <c r="L59" s="1" t="str">
        <f>IF(Knockout!L8="","",Knockout!L8)</f>
        <v>Leoni di Ricky</v>
      </c>
      <c r="M59" s="1" t="str">
        <f>IF(Knockout!M8="","",Knockout!M8)</f>
        <v>Leoni di Ricky 3 - 0 Cani</v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19" t="s">
        <v>431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412</v>
      </c>
      <c r="B62" s="7" t="s">
        <v>432</v>
      </c>
      <c r="C62" s="7" t="s">
        <v>433</v>
      </c>
      <c r="D62" s="7" t="s">
        <v>434</v>
      </c>
      <c r="E62" s="7" t="s">
        <v>409</v>
      </c>
      <c r="F62" s="7" t="s">
        <v>435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6 - DAVIDE BEDESCHI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IF(Goals!A3="","",Goals!A3)</f>
        <v>M01</v>
      </c>
      <c r="B64" s="1" t="str">
        <f>IF(Goals!A3="","",Goals!B3)</f>
        <v>All Blacks</v>
      </c>
      <c r="C64" s="1">
        <f>IF(Goals!A3="","",Goals!C3)</f>
        <v>2</v>
      </c>
      <c r="D64" s="1" t="str">
        <f>IF(Goals!A3="","",Goals!D3)</f>
        <v>Goal</v>
      </c>
      <c r="E64" s="1" t="str">
        <f>IF(Goals!A3="","",Goals!E3)</f>
        <v>9 - NICOLÒ BERGANTIN</v>
      </c>
      <c r="F64" s="1" t="str">
        <f>IF(Goals!A3="","",Goals!F3)</f>
        <v>All Blacks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All Blacks</v>
      </c>
      <c r="C65" s="1">
        <f>IF(Goals!A4="","",Goals!C4)</f>
        <v>3</v>
      </c>
      <c r="D65" s="1" t="str">
        <f>IF(Goals!A4="","",Goals!D4)</f>
        <v>Goal</v>
      </c>
      <c r="E65" s="1" t="str">
        <f>IF(Goals!A4="","",Goals!E4)</f>
        <v>8 - DAVIDE GIRARDELLO</v>
      </c>
      <c r="F65" s="1" t="str">
        <f>IF(Goals!A4="","",Goals!F4)</f>
        <v>All Blacks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>M01</v>
      </c>
      <c r="B66" s="1" t="str">
        <f>IF(Goals!A5="","",Goals!B5)</f>
        <v>All Blacks</v>
      </c>
      <c r="C66" s="1">
        <f>IF(Goals!A5="","",Goals!C5)</f>
        <v>4</v>
      </c>
      <c r="D66" s="1" t="str">
        <f>IF(Goals!A5="","",Goals!D5)</f>
        <v>Goal</v>
      </c>
      <c r="E66" s="1" t="str">
        <f>IF(Goals!A5="","",Goals!E5)</f>
        <v>8 - DAVIDE GIRARDELLO</v>
      </c>
      <c r="F66" s="1" t="str">
        <f>IF(Goals!A5="","",Goals!F5)</f>
        <v>All Blacks</v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>M01</v>
      </c>
      <c r="B67" s="1" t="str">
        <f>IF(Goals!A6="","",Goals!B6)</f>
        <v>Boldò Glimt</v>
      </c>
      <c r="C67" s="1">
        <f>IF(Goals!A6="","",Goals!C6)</f>
        <v>1</v>
      </c>
      <c r="D67" s="1" t="str">
        <f>IF(Goals!A6="","",Goals!D6)</f>
        <v>Goal</v>
      </c>
      <c r="E67" s="1" t="str">
        <f>IF(Goals!A6="","",Goals!E6)</f>
        <v>7 - ANGELO REDI</v>
      </c>
      <c r="F67" s="1" t="str">
        <f>IF(Goals!A6="","",Goals!F6)</f>
        <v>Boldò Glimt</v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>M01</v>
      </c>
      <c r="B68" s="1" t="str">
        <f>IF(Goals!A7="","",Goals!B7)</f>
        <v>Boldò Glimt</v>
      </c>
      <c r="C68" s="1">
        <f>IF(Goals!A7="","",Goals!C7)</f>
        <v>2</v>
      </c>
      <c r="D68" s="1" t="str">
        <f>IF(Goals!A7="","",Goals!D7)</f>
        <v>Goal</v>
      </c>
      <c r="E68" s="1" t="str">
        <f>IF(Goals!A7="","",Goals!E7)</f>
        <v>7 - ANGELO REDI</v>
      </c>
      <c r="F68" s="1" t="str">
        <f>IF(Goals!A7="","",Goals!F7)</f>
        <v>Boldò Glimt</v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Coca Juniors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5 - TOMMASO PAVAN</v>
      </c>
      <c r="F75" s="1" t="str">
        <f>IF(Goals!A14="","",Goals!F14)</f>
        <v>Coca Juniors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>M02</v>
      </c>
      <c r="B76" s="1" t="str">
        <f>IF(Goals!A15="","",Goals!B15)</f>
        <v>Coca Juniors</v>
      </c>
      <c r="C76" s="1">
        <f>IF(Goals!A15="","",Goals!C15)</f>
        <v>2</v>
      </c>
      <c r="D76" s="1" t="str">
        <f>IF(Goals!A15="","",Goals!D15)</f>
        <v>Goal</v>
      </c>
      <c r="E76" s="1" t="str">
        <f>IF(Goals!A15="","",Goals!E15)</f>
        <v>5 - TOMMASO PAVAN</v>
      </c>
      <c r="F76" s="1" t="str">
        <f>IF(Goals!A15="","",Goals!F15)</f>
        <v>Coca Juniors</v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>M02</v>
      </c>
      <c r="B77" s="1" t="str">
        <f>IF(Goals!A16="","",Goals!B16)</f>
        <v>Coca Juniors</v>
      </c>
      <c r="C77" s="1">
        <f>IF(Goals!A16="","",Goals!C16)</f>
        <v>3</v>
      </c>
      <c r="D77" s="1" t="str">
        <f>IF(Goals!A16="","",Goals!D16)</f>
        <v>Goal</v>
      </c>
      <c r="E77" s="1" t="str">
        <f>IF(Goals!A16="","",Goals!E16)</f>
        <v>7 - GIAN MARCO MARANGONI</v>
      </c>
      <c r="F77" s="1" t="str">
        <f>IF(Goals!A16="","",Goals!F16)</f>
        <v>Coca Juniors</v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>M02</v>
      </c>
      <c r="B78" s="1" t="str">
        <f>IF(Goals!A17="","",Goals!B17)</f>
        <v>Coca Juniors</v>
      </c>
      <c r="C78" s="1">
        <f>IF(Goals!A17="","",Goals!C17)</f>
        <v>4</v>
      </c>
      <c r="D78" s="1" t="str">
        <f>IF(Goals!A17="","",Goals!D17)</f>
        <v>Goal</v>
      </c>
      <c r="E78" s="1" t="str">
        <f>IF(Goals!A17="","",Goals!E17)</f>
        <v>4 - ANDREA PAVAN</v>
      </c>
      <c r="F78" s="1" t="str">
        <f>IF(Goals!A17="","",Goals!F17)</f>
        <v>Coca Juniors</v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>M02</v>
      </c>
      <c r="B79" s="1" t="str">
        <f>IF(Goals!A18="","",Goals!B18)</f>
        <v>Coca Juniors</v>
      </c>
      <c r="C79" s="1">
        <f>IF(Goals!A18="","",Goals!C18)</f>
        <v>5</v>
      </c>
      <c r="D79" s="1" t="str">
        <f>IF(Goals!A18="","",Goals!D18)</f>
        <v>Goal</v>
      </c>
      <c r="E79" s="1" t="str">
        <f>IF(Goals!A18="","",Goals!E18)</f>
        <v>3 - KEVIN DOBROZI</v>
      </c>
      <c r="F79" s="1" t="str">
        <f>IF(Goals!A18="","",Goals!F18)</f>
        <v>Coca Juniors</v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>M02</v>
      </c>
      <c r="B80" s="1" t="str">
        <f>IF(Goals!A19="","",Goals!B19)</f>
        <v>Piadineria la Salsiccia</v>
      </c>
      <c r="C80" s="1">
        <f>IF(Goals!A19="","",Goals!C19)</f>
        <v>1</v>
      </c>
      <c r="D80" s="1" t="str">
        <f>IF(Goals!A19="","",Goals!D19)</f>
        <v>Goal</v>
      </c>
      <c r="E80" s="1" t="str">
        <f>IF(Goals!A19="","",Goals!E19)</f>
        <v>12 - DANIELE MORETTO</v>
      </c>
      <c r="F80" s="1" t="str">
        <f>IF(Goals!A19="","",Goals!F19)</f>
        <v>Piadineria la Salsiccia</v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LEONARDO FUSCO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5 - PIETRO VIOLATO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5 - PIETRO VIOLATO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Pink 5ive</v>
      </c>
      <c r="C102" s="1">
        <f>IF(Goals!A41="","",Goals!C41)</f>
        <v>1</v>
      </c>
      <c r="D102" s="1" t="str">
        <f>IF(Goals!A41="","",Goals!D41)</f>
        <v>Goal</v>
      </c>
      <c r="E102" s="1" t="str">
        <f>IF(Goals!A41="","",Goals!E41)</f>
        <v>21 - LEONARDO BEDENDO</v>
      </c>
      <c r="F102" s="1" t="str">
        <f>IF(Goals!A41="","",Goals!F41)</f>
        <v>Pink 5ive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Pink 5ive</v>
      </c>
      <c r="C103" s="1">
        <f>IF(Goals!A42="","",Goals!C42)</f>
        <v>2</v>
      </c>
      <c r="D103" s="1" t="str">
        <f>IF(Goals!A42="","",Goals!D42)</f>
        <v>Goal</v>
      </c>
      <c r="E103" s="1" t="str">
        <f>IF(Goals!A42="","",Goals!E42)</f>
        <v>7 - TOMMASO FERRARESI</v>
      </c>
      <c r="F103" s="1" t="str">
        <f>IF(Goals!A42="","",Goals!F42)</f>
        <v>Pink 5ive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7 - FRANCESCO BERARDI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8 - FRANCESCO MARANGON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>M05</v>
      </c>
      <c r="B113" s="1" t="str">
        <f>IF(Goals!A52="","",Goals!B52)</f>
        <v>Cani</v>
      </c>
      <c r="C113" s="1">
        <f>IF(Goals!A52="","",Goals!C52)</f>
        <v>1</v>
      </c>
      <c r="D113" s="1" t="str">
        <f>IF(Goals!A52="","",Goals!D52)</f>
        <v>Goal</v>
      </c>
      <c r="E113" s="1" t="str">
        <f>IF(Goals!A52="","",Goals!E52)</f>
        <v>10 - ALESSIO GHIRARDELLO (C)</v>
      </c>
      <c r="F113" s="1" t="str">
        <f>IF(Goals!A52="","",Goals!F52)</f>
        <v>Cani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>M05</v>
      </c>
      <c r="B114" s="1" t="str">
        <f>IF(Goals!A53="","",Goals!B53)</f>
        <v>Cani</v>
      </c>
      <c r="C114" s="1">
        <f>IF(Goals!A53="","",Goals!C53)</f>
        <v>2</v>
      </c>
      <c r="D114" s="1" t="str">
        <f>IF(Goals!A53="","",Goals!D53)</f>
        <v>Goal</v>
      </c>
      <c r="E114" s="1" t="str">
        <f>IF(Goals!A53="","",Goals!E53)</f>
        <v>10 - ALESSIO GHIRARDELLO (C)</v>
      </c>
      <c r="F114" s="1" t="str">
        <f>IF(Goals!A53="","",Goals!F53)</f>
        <v>Cani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10 - GIANLUCA FREZZATI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23 - NICOLA MARINI (C)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4 - GIOVANNI BALLO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Fatine FC</v>
      </c>
      <c r="C137" s="1">
        <f>IF(Goals!A76="","",Goals!C76)</f>
        <v>3</v>
      </c>
      <c r="D137" s="1" t="str">
        <f>IF(Goals!A76="","",Goals!D76)</f>
        <v>Goal</v>
      </c>
      <c r="E137" s="1" t="str">
        <f>IF(Goals!A76="","",Goals!E76)</f>
        <v>5 - DANIELE MARZOLLA</v>
      </c>
      <c r="F137" s="1" t="str">
        <f>IF(Goals!A76="","",Goals!F76)</f>
        <v>Fatine FC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>M07</v>
      </c>
      <c r="B138" s="1" t="str">
        <f>IF(Goals!A77="","",Goals!B77)</f>
        <v>Fatine FC</v>
      </c>
      <c r="C138" s="1">
        <f>IF(Goals!A77="","",Goals!C77)</f>
        <v>4</v>
      </c>
      <c r="D138" s="1" t="str">
        <f>IF(Goals!A77="","",Goals!D77)</f>
        <v>Goal</v>
      </c>
      <c r="E138" s="1" t="str">
        <f>IF(Goals!A77="","",Goals!E77)</f>
        <v>69 - LUCA ROSSETTO</v>
      </c>
      <c r="F138" s="1" t="str">
        <f>IF(Goals!A77="","",Goals!F77)</f>
        <v>Fatine FC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>M07</v>
      </c>
      <c r="B139" s="1" t="str">
        <f>IF(Goals!A78="","",Goals!B78)</f>
        <v>Fatine FC</v>
      </c>
      <c r="C139" s="1">
        <f>IF(Goals!A78="","",Goals!C78)</f>
        <v>5</v>
      </c>
      <c r="D139" s="1" t="str">
        <f>IF(Goals!A78="","",Goals!D78)</f>
        <v>Goal</v>
      </c>
      <c r="E139" s="1" t="str">
        <f>IF(Goals!A78="","",Goals!E78)</f>
        <v>7 - NICHOLAS MILAN</v>
      </c>
      <c r="F139" s="1" t="str">
        <f>IF(Goals!A78="","",Goals!F78)</f>
        <v>Fatine FC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>M07</v>
      </c>
      <c r="B140" s="1" t="str">
        <f>IF(Goals!A79="","",Goals!B79)</f>
        <v>Fatine FC</v>
      </c>
      <c r="C140" s="1">
        <f>IF(Goals!A79="","",Goals!C79)</f>
        <v>6</v>
      </c>
      <c r="D140" s="1" t="str">
        <f>IF(Goals!A79="","",Goals!D79)</f>
        <v>Goal</v>
      </c>
      <c r="E140" s="1" t="str">
        <f>IF(Goals!A79="","",Goals!E79)</f>
        <v>8 - ALESSIO MILAN</v>
      </c>
      <c r="F140" s="1" t="str">
        <f>IF(Goals!A79="","",Goals!F79)</f>
        <v>Fatine FC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LUCA BACCO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FILIPPO SCARANELLO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Astolfi Impianti Elettrici</v>
      </c>
      <c r="C149" s="1">
        <f>IF(Goals!A88="","",Goals!C88)</f>
        <v>1</v>
      </c>
      <c r="D149" s="1" t="str">
        <f>IF(Goals!A88="","",Goals!D88)</f>
        <v>Goal</v>
      </c>
      <c r="E149" s="1" t="str">
        <f>IF(Goals!A88="","",Goals!E88)</f>
        <v>11 - FILIPPO ZANINI (C)</v>
      </c>
      <c r="F149" s="1" t="str">
        <f>IF(Goals!A88="","",Goals!F88)</f>
        <v>Astolfi Impianti Elettrici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>M08</v>
      </c>
      <c r="B150" s="1" t="str">
        <f>IF(Goals!A89="","",Goals!B89)</f>
        <v>Astolfi Impianti Elettrici</v>
      </c>
      <c r="C150" s="1">
        <f>IF(Goals!A89="","",Goals!C89)</f>
        <v>2</v>
      </c>
      <c r="D150" s="1" t="str">
        <f>IF(Goals!A89="","",Goals!D89)</f>
        <v>Goal</v>
      </c>
      <c r="E150" s="1" t="str">
        <f>IF(Goals!A89="","",Goals!E89)</f>
        <v>10 - ELIA NAGLIERI</v>
      </c>
      <c r="F150" s="1" t="str">
        <f>IF(Goals!A89="","",Goals!F89)</f>
        <v>Astolfi Impianti Elettrici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>M08</v>
      </c>
      <c r="B151" s="1" t="str">
        <f>IF(Goals!A90="","",Goals!B90)</f>
        <v>Astolfi Impianti Elettrici</v>
      </c>
      <c r="C151" s="1">
        <f>IF(Goals!A90="","",Goals!C90)</f>
        <v>3</v>
      </c>
      <c r="D151" s="1" t="str">
        <f>IF(Goals!A90="","",Goals!D90)</f>
        <v>Goal</v>
      </c>
      <c r="E151" s="1" t="str">
        <f>IF(Goals!A90="","",Goals!E90)</f>
        <v>9 - LUCA SIMEONE</v>
      </c>
      <c r="F151" s="1" t="str">
        <f>IF(Goals!A90="","",Goals!F90)</f>
        <v>Astolfi Impianti Elettrici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>M08</v>
      </c>
      <c r="B152" s="1" t="str">
        <f>IF(Goals!A91="","",Goals!B91)</f>
        <v>Astolfi Impianti Elettrici</v>
      </c>
      <c r="C152" s="1">
        <f>IF(Goals!A91="","",Goals!C91)</f>
        <v>4</v>
      </c>
      <c r="D152" s="1" t="str">
        <f>IF(Goals!A91="","",Goals!D91)</f>
        <v>Goal</v>
      </c>
      <c r="E152" s="1" t="str">
        <f>IF(Goals!A91="","",Goals!E91)</f>
        <v>9 - LUCA SIMEONE</v>
      </c>
      <c r="F152" s="1" t="str">
        <f>IF(Goals!A91="","",Goals!F91)</f>
        <v>Astolfi Impianti Elettrici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>M08</v>
      </c>
      <c r="B153" s="1" t="str">
        <f>IF(Goals!A92="","",Goals!B92)</f>
        <v>Astolfi Impianti Elettrici</v>
      </c>
      <c r="C153" s="1">
        <f>IF(Goals!A92="","",Goals!C92)</f>
        <v>5</v>
      </c>
      <c r="D153" s="1" t="str">
        <f>IF(Goals!A92="","",Goals!D92)</f>
        <v>Goal</v>
      </c>
      <c r="E153" s="1" t="str">
        <f>IF(Goals!A92="","",Goals!E92)</f>
        <v>4 - GIANLUCA PAVAN</v>
      </c>
      <c r="F153" s="1" t="str">
        <f>IF(Goals!A92="","",Goals!F92)</f>
        <v>Astolfi Impianti Elettrici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3 - MARTINO GRANFO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4 - STEFANO BRAGHIN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Coca Juniors</v>
      </c>
      <c r="C162" s="1">
        <f>IF(Goals!A101="","",Goals!C101)</f>
        <v>1</v>
      </c>
      <c r="D162" s="1" t="str">
        <f>IF(Goals!A101="","",Goals!D101)</f>
        <v>Goal</v>
      </c>
      <c r="E162" s="1" t="str">
        <f>IF(Goals!A101="","",Goals!E101)</f>
        <v>7 - GIAN MARCO MARANGONI</v>
      </c>
      <c r="F162" s="1" t="str">
        <f>IF(Goals!A101="","",Goals!F101)</f>
        <v>Coca Juniors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Coca Juniors</v>
      </c>
      <c r="C163" s="1">
        <f>IF(Goals!A102="","",Goals!C102)</f>
        <v>2</v>
      </c>
      <c r="D163" s="1" t="str">
        <f>IF(Goals!A102="","",Goals!D102)</f>
        <v>Goal</v>
      </c>
      <c r="E163" s="1" t="str">
        <f>IF(Goals!A102="","",Goals!E102)</f>
        <v>1 - LUCA CAVALLARO</v>
      </c>
      <c r="F163" s="1" t="str">
        <f>IF(Goals!A102="","",Goals!F102)</f>
        <v>Coca Juniors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Coca Juniors</v>
      </c>
      <c r="C164" s="1">
        <f>IF(Goals!A103="","",Goals!C103)</f>
        <v>3</v>
      </c>
      <c r="D164" s="1" t="str">
        <f>IF(Goals!A103="","",Goals!D103)</f>
        <v>Goal</v>
      </c>
      <c r="E164" s="1" t="str">
        <f>IF(Goals!A103="","",Goals!E103)</f>
        <v>1 - LUCA CAVALLARO</v>
      </c>
      <c r="F164" s="1" t="str">
        <f>IF(Goals!A103="","",Goals!F103)</f>
        <v>Coca Juniors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Coca Juniors</v>
      </c>
      <c r="C165" s="1">
        <f>IF(Goals!A104="","",Goals!C104)</f>
        <v>4</v>
      </c>
      <c r="D165" s="1" t="str">
        <f>IF(Goals!A104="","",Goals!D104)</f>
        <v>Goal</v>
      </c>
      <c r="E165" s="1" t="str">
        <f>IF(Goals!A104="","",Goals!E104)</f>
        <v>3 - KEVIN DOBROZI</v>
      </c>
      <c r="F165" s="1" t="str">
        <f>IF(Goals!A104="","",Goals!F104)</f>
        <v>Coca Juniors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>M10</v>
      </c>
      <c r="B171" s="1" t="str">
        <f>IF(Goals!A110="","",Goals!B110)</f>
        <v>Totani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5 - DANIEL TARGA</v>
      </c>
      <c r="F171" s="1" t="str">
        <f>IF(Goals!A110="","",Goals!F110)</f>
        <v>Totani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Totani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7 - RICCARDO SANTARATO</v>
      </c>
      <c r="F172" s="1" t="str">
        <f>IF(Goals!A111="","",Goals!F111)</f>
        <v>Totani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1</v>
      </c>
      <c r="D173" s="1" t="str">
        <f>IF(Goals!A112="","",Goals!D112)</f>
        <v>Goal</v>
      </c>
      <c r="E173" s="1" t="str">
        <f>IF(Goals!A112="","",Goals!E112)</f>
        <v>5 - MATTEO LONGO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2</v>
      </c>
      <c r="D174" s="1" t="str">
        <f>IF(Goals!A113="","",Goals!D113)</f>
        <v>Goal</v>
      </c>
      <c r="E174" s="1" t="str">
        <f>IF(Goals!A113="","",Goals!E113)</f>
        <v>20 - NICOLA BARONI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3</v>
      </c>
      <c r="D175" s="1" t="str">
        <f>IF(Goals!A114="","",Goals!D114)</f>
        <v>Goal</v>
      </c>
      <c r="E175" s="1" t="str">
        <f>IF(Goals!A114="","",Goals!E114)</f>
        <v>2 - NICOLÒ MARANGONI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8.8" x14ac:dyDescent="0.3">
      <c r="A195" s="1" t="str">
        <f>IF(Goals!A134="","",Goals!A134)</f>
        <v>M12</v>
      </c>
      <c r="B195" s="1" t="str">
        <f>IF(Goals!A134="","",Goals!B134)</f>
        <v>Piadineria la Salsiccia</v>
      </c>
      <c r="C195" s="1">
        <f>IF(Goals!A134="","",Goals!C134)</f>
        <v>1</v>
      </c>
      <c r="D195" s="1" t="str">
        <f>IF(Goals!A134="","",Goals!D134)</f>
        <v>Goal</v>
      </c>
      <c r="E195" s="1" t="str">
        <f>IF(Goals!A134="","",Goals!E134)</f>
        <v>12 - DANIELE MORETTO</v>
      </c>
      <c r="F195" s="1" t="str">
        <f>IF(Goals!A134="","",Goals!F134)</f>
        <v>Piadineria la Salsiccia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28.8" x14ac:dyDescent="0.3">
      <c r="A243" s="1" t="str">
        <f>IF(Goals!A182="","",Goals!A182)</f>
        <v>M16</v>
      </c>
      <c r="B243" s="1" t="str">
        <f>IF(Goals!A182="","",Goals!B182)</f>
        <v>Piadineria la Salsiccia</v>
      </c>
      <c r="C243" s="1">
        <f>IF(Goals!A182="","",Goals!C182)</f>
        <v>1</v>
      </c>
      <c r="D243" s="1" t="str">
        <f>IF(Goals!A182="","",Goals!D182)</f>
        <v>Goal</v>
      </c>
      <c r="E243" s="1" t="str">
        <f>IF(Goals!A182="","",Goals!E182)</f>
        <v>12 - DANIELE MORETTO</v>
      </c>
      <c r="F243" s="1" t="str">
        <f>IF(Goals!A182="","",Goals!F182)</f>
        <v>Piadineria la Salsiccia</v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28.8" x14ac:dyDescent="0.3">
      <c r="A244" s="1" t="str">
        <f>IF(Goals!A183="","",Goals!A183)</f>
        <v>M16</v>
      </c>
      <c r="B244" s="1" t="str">
        <f>IF(Goals!A183="","",Goals!B183)</f>
        <v>Piadineria la Salsiccia</v>
      </c>
      <c r="C244" s="1">
        <f>IF(Goals!A183="","",Goals!C183)</f>
        <v>2</v>
      </c>
      <c r="D244" s="1" t="str">
        <f>IF(Goals!A183="","",Goals!D183)</f>
        <v>Goal</v>
      </c>
      <c r="E244" s="1" t="str">
        <f>IF(Goals!A183="","",Goals!E183)</f>
        <v>12 - DANIELE MORETTO</v>
      </c>
      <c r="F244" s="1" t="str">
        <f>IF(Goals!A183="","",Goals!F183)</f>
        <v>Piadineria la Salsiccia</v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28.8" x14ac:dyDescent="0.3">
      <c r="A245" s="1" t="str">
        <f>IF(Goals!A184="","",Goals!A184)</f>
        <v>M16</v>
      </c>
      <c r="B245" s="1" t="str">
        <f>IF(Goals!A184="","",Goals!B184)</f>
        <v>Piadineria la Salsiccia</v>
      </c>
      <c r="C245" s="1">
        <f>IF(Goals!A184="","",Goals!C184)</f>
        <v>3</v>
      </c>
      <c r="D245" s="1" t="str">
        <f>IF(Goals!A184="","",Goals!D184)</f>
        <v>Goal</v>
      </c>
      <c r="E245" s="1" t="str">
        <f>IF(Goals!A184="","",Goals!E184)</f>
        <v>12 - DANIELE MORETTO</v>
      </c>
      <c r="F245" s="1" t="str">
        <f>IF(Goals!A184="","",Goals!F184)</f>
        <v>Piadineria la Salsiccia</v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28.8" x14ac:dyDescent="0.3">
      <c r="A246" s="1" t="str">
        <f>IF(Goals!A185="","",Goals!A185)</f>
        <v>M16</v>
      </c>
      <c r="B246" s="1" t="str">
        <f>IF(Goals!A185="","",Goals!B185)</f>
        <v>Piadineria la Salsiccia</v>
      </c>
      <c r="C246" s="1">
        <f>IF(Goals!A185="","",Goals!C185)</f>
        <v>4</v>
      </c>
      <c r="D246" s="1" t="str">
        <f>IF(Goals!A185="","",Goals!D185)</f>
        <v>Goal</v>
      </c>
      <c r="E246" s="1" t="str">
        <f>IF(Goals!A185="","",Goals!E185)</f>
        <v>12 - DANIELE MORETTO</v>
      </c>
      <c r="F246" s="1" t="str">
        <f>IF(Goals!A185="","",Goals!F185)</f>
        <v>Piadineria la Salsiccia</v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28.8" x14ac:dyDescent="0.3">
      <c r="A247" s="1" t="str">
        <f>IF(Goals!A186="","",Goals!A186)</f>
        <v>M16</v>
      </c>
      <c r="B247" s="1" t="str">
        <f>IF(Goals!A186="","",Goals!B186)</f>
        <v>Piadineria la Salsiccia</v>
      </c>
      <c r="C247" s="1">
        <f>IF(Goals!A186="","",Goals!C186)</f>
        <v>5</v>
      </c>
      <c r="D247" s="1" t="str">
        <f>IF(Goals!A186="","",Goals!D186)</f>
        <v>Goal</v>
      </c>
      <c r="E247" s="1" t="str">
        <f>IF(Goals!A186="","",Goals!E186)</f>
        <v>12 - DANIELE MORETTO</v>
      </c>
      <c r="F247" s="1" t="str">
        <f>IF(Goals!A186="","",Goals!F186)</f>
        <v>Piadineria la Salsiccia</v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>QF1</v>
      </c>
      <c r="B351" s="1" t="str">
        <f>IF(KnockoutGoals!A2="","",KnockoutGoals!B2)</f>
        <v>Cani</v>
      </c>
      <c r="C351" s="1">
        <f>IF(KnockoutGoals!A2="","",KnockoutGoals!C2)</f>
        <v>1</v>
      </c>
      <c r="D351" s="1" t="str">
        <f>IF(KnockoutGoals!A2="","",KnockoutGoals!D2)</f>
        <v>Goal</v>
      </c>
      <c r="E351" s="1" t="str">
        <f>IF(KnockoutGoals!A2="","",KnockoutGoals!E2)</f>
        <v>22 - TOMMASO CALZAVARINI</v>
      </c>
      <c r="F351" s="1" t="str">
        <f>IF(KnockoutGoals!A2="","",KnockoutGoals!F2)</f>
        <v>Cani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>QF1</v>
      </c>
      <c r="B352" s="1" t="str">
        <f>IF(KnockoutGoals!A3="","",KnockoutGoals!B3)</f>
        <v>Cani</v>
      </c>
      <c r="C352" s="1">
        <f>IF(KnockoutGoals!A3="","",KnockoutGoals!C3)</f>
        <v>2</v>
      </c>
      <c r="D352" s="1" t="str">
        <f>IF(KnockoutGoals!A3="","",KnockoutGoals!D3)</f>
        <v>Goal</v>
      </c>
      <c r="E352" s="1" t="str">
        <f>IF(KnockoutGoals!A3="","",KnockoutGoals!E3)</f>
        <v>22 - TOMMASO CALZAVARINI</v>
      </c>
      <c r="F352" s="1" t="str">
        <f>IF(KnockoutGoals!A3="","",KnockoutGoals!F3)</f>
        <v>Cani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8.8" x14ac:dyDescent="0.3">
      <c r="A353" s="1" t="str">
        <f>IF(KnockoutGoals!A4="","",KnockoutGoals!A4)</f>
        <v>QF1</v>
      </c>
      <c r="B353" s="1" t="str">
        <f>IF(KnockoutGoals!A4="","",KnockoutGoals!B4)</f>
        <v>Cani</v>
      </c>
      <c r="C353" s="1">
        <f>IF(KnockoutGoals!A4="","",KnockoutGoals!C4)</f>
        <v>3</v>
      </c>
      <c r="D353" s="1" t="str">
        <f>IF(KnockoutGoals!A4="","",KnockoutGoals!D4)</f>
        <v>Goal</v>
      </c>
      <c r="E353" s="1" t="str">
        <f>IF(KnockoutGoals!A4="","",KnockoutGoals!E4)</f>
        <v>22 - TOMMASO CALZAVARINI</v>
      </c>
      <c r="F353" s="1" t="str">
        <f>IF(KnockoutGoals!A4="","",KnockoutGoals!F4)</f>
        <v>Cani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>QF1</v>
      </c>
      <c r="B354" s="1" t="str">
        <f>IF(KnockoutGoals!A5="","",KnockoutGoals!B5)</f>
        <v>Coca Juniors</v>
      </c>
      <c r="C354" s="1">
        <f>IF(KnockoutGoals!A5="","",KnockoutGoals!C5)</f>
        <v>1</v>
      </c>
      <c r="D354" s="1" t="str">
        <f>IF(KnockoutGoals!A5="","",KnockoutGoals!D5)</f>
        <v>Goal</v>
      </c>
      <c r="E354" s="1" t="str">
        <f>IF(KnockoutGoals!A5="","",KnockoutGoals!E5)</f>
        <v>4 - ANDREA PAVAN</v>
      </c>
      <c r="F354" s="1" t="str">
        <f>IF(KnockoutGoals!A5="","",KnockoutGoals!F5)</f>
        <v>Coca Juniors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>QF2</v>
      </c>
      <c r="B363" s="1" t="str">
        <f>IF(KnockoutGoals!A14="","",KnockoutGoals!B14)</f>
        <v>Fatine FC</v>
      </c>
      <c r="C363" s="1">
        <f>IF(KnockoutGoals!A14="","",KnockoutGoals!C14)</f>
        <v>1</v>
      </c>
      <c r="D363" s="1" t="str">
        <f>IF(KnockoutGoals!A14="","",KnockoutGoals!D14)</f>
        <v>Goal</v>
      </c>
      <c r="E363" s="1" t="str">
        <f>IF(KnockoutGoals!A14="","",KnockoutGoals!E14)</f>
        <v>4 - GIOVANNI BALLO</v>
      </c>
      <c r="F363" s="1" t="str">
        <f>IF(KnockoutGoals!A14="","",KnockoutGoals!F14)</f>
        <v>Fatine FC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>QF2</v>
      </c>
      <c r="B364" s="1" t="str">
        <f>IF(KnockoutGoals!A15="","",KnockoutGoals!B15)</f>
        <v>Fatine FC</v>
      </c>
      <c r="C364" s="1">
        <f>IF(KnockoutGoals!A15="","",KnockoutGoals!C15)</f>
        <v>2</v>
      </c>
      <c r="D364" s="1" t="str">
        <f>IF(KnockoutGoals!A15="","",KnockoutGoals!D15)</f>
        <v>Goal</v>
      </c>
      <c r="E364" s="1" t="str">
        <f>IF(KnockoutGoals!A15="","",KnockoutGoals!E15)</f>
        <v>5 - DANIELE MARZOLLA</v>
      </c>
      <c r="F364" s="1" t="str">
        <f>IF(KnockoutGoals!A15="","",KnockoutGoals!F15)</f>
        <v>Fatine FC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43.2" x14ac:dyDescent="0.3">
      <c r="A365" s="1" t="str">
        <f>IF(KnockoutGoals!A16="","",KnockoutGoals!A16)</f>
        <v>QF2</v>
      </c>
      <c r="B365" s="1" t="str">
        <f>IF(KnockoutGoals!A16="","",KnockoutGoals!B16)</f>
        <v>Vecchie Glorie Rovigo</v>
      </c>
      <c r="C365" s="1">
        <f>IF(KnockoutGoals!A16="","",KnockoutGoals!C16)</f>
        <v>1</v>
      </c>
      <c r="D365" s="1" t="str">
        <f>IF(KnockoutGoals!A16="","",KnockoutGoals!D16)</f>
        <v>Goal</v>
      </c>
      <c r="E365" s="1" t="str">
        <f>IF(KnockoutGoals!A16="","",KnockoutGoals!E16)</f>
        <v>DENIS TIMPANARO</v>
      </c>
      <c r="F365" s="1" t="str">
        <f>IF(KnockoutGoals!A16="","",KnockoutGoals!F16)</f>
        <v>Vecchie Glorie Rovigo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43.2" x14ac:dyDescent="0.3">
      <c r="A366" s="1" t="str">
        <f>IF(KnockoutGoals!A17="","",KnockoutGoals!A17)</f>
        <v>QF2</v>
      </c>
      <c r="B366" s="1" t="str">
        <f>IF(KnockoutGoals!A17="","",KnockoutGoals!B17)</f>
        <v>Vecchie Glorie Rovigo</v>
      </c>
      <c r="C366" s="1">
        <f>IF(KnockoutGoals!A17="","",KnockoutGoals!C17)</f>
        <v>2</v>
      </c>
      <c r="D366" s="1" t="str">
        <f>IF(KnockoutGoals!A17="","",KnockoutGoals!D17)</f>
        <v>Goal</v>
      </c>
      <c r="E366" s="1" t="str">
        <f>IF(KnockoutGoals!A17="","",KnockoutGoals!E17)</f>
        <v>DENIS TIMPANARO</v>
      </c>
      <c r="F366" s="1" t="str">
        <f>IF(KnockoutGoals!A17="","",KnockoutGoals!F17)</f>
        <v>Vecchie Glorie Rovigo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43.2" x14ac:dyDescent="0.3">
      <c r="A367" s="1" t="str">
        <f>IF(KnockoutGoals!A18="","",KnockoutGoals!A18)</f>
        <v>QF2</v>
      </c>
      <c r="B367" s="1" t="str">
        <f>IF(KnockoutGoals!A18="","",KnockoutGoals!B18)</f>
        <v>Vecchie Glorie Rovigo</v>
      </c>
      <c r="C367" s="1">
        <f>IF(KnockoutGoals!A18="","",KnockoutGoals!C18)</f>
        <v>3</v>
      </c>
      <c r="D367" s="1" t="str">
        <f>IF(KnockoutGoals!A18="","",KnockoutGoals!D18)</f>
        <v>Goal</v>
      </c>
      <c r="E367" s="1" t="str">
        <f>IF(KnockoutGoals!A18="","",KnockoutGoals!E18)</f>
        <v>DENIS TIMPANARO</v>
      </c>
      <c r="F367" s="1" t="str">
        <f>IF(KnockoutGoals!A18="","",KnockoutGoals!F18)</f>
        <v>Vecchie Glorie Rovigo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43.2" x14ac:dyDescent="0.3">
      <c r="A368" s="1" t="str">
        <f>IF(KnockoutGoals!A19="","",KnockoutGoals!A19)</f>
        <v>QF2</v>
      </c>
      <c r="B368" s="1" t="str">
        <f>IF(KnockoutGoals!A19="","",KnockoutGoals!B19)</f>
        <v>Vecchie Glorie Rovigo</v>
      </c>
      <c r="C368" s="1">
        <f>IF(KnockoutGoals!A19="","",KnockoutGoals!C19)</f>
        <v>4</v>
      </c>
      <c r="D368" s="1" t="str">
        <f>IF(KnockoutGoals!A19="","",KnockoutGoals!D19)</f>
        <v>Goal</v>
      </c>
      <c r="E368" s="1" t="str">
        <f>IF(KnockoutGoals!A19="","",KnockoutGoals!E19)</f>
        <v>DENIS TIMPANARO</v>
      </c>
      <c r="F368" s="1" t="str">
        <f>IF(KnockoutGoals!A19="","",KnockoutGoals!F19)</f>
        <v>Vecchie Glorie Rovigo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43.2" x14ac:dyDescent="0.3">
      <c r="A369" s="1" t="str">
        <f>IF(KnockoutGoals!A20="","",KnockoutGoals!A20)</f>
        <v>QF2</v>
      </c>
      <c r="B369" s="1" t="str">
        <f>IF(KnockoutGoals!A20="","",KnockoutGoals!B20)</f>
        <v>Vecchie Glorie Rovigo</v>
      </c>
      <c r="C369" s="1">
        <f>IF(KnockoutGoals!A20="","",KnockoutGoals!C20)</f>
        <v>5</v>
      </c>
      <c r="D369" s="1" t="str">
        <f>IF(KnockoutGoals!A20="","",KnockoutGoals!D20)</f>
        <v>Goal</v>
      </c>
      <c r="E369" s="1" t="str">
        <f>IF(KnockoutGoals!A20="","",KnockoutGoals!E20)</f>
        <v>DENIS TIMPANARO</v>
      </c>
      <c r="F369" s="1" t="str">
        <f>IF(KnockoutGoals!A20="","",KnockoutGoals!F20)</f>
        <v>Vecchie Glorie Rovigo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43.2" x14ac:dyDescent="0.3">
      <c r="A370" s="1" t="str">
        <f>IF(KnockoutGoals!A21="","",KnockoutGoals!A21)</f>
        <v>QF2</v>
      </c>
      <c r="B370" s="1" t="str">
        <f>IF(KnockoutGoals!A21="","",KnockoutGoals!B21)</f>
        <v>Vecchie Glorie Rovigo</v>
      </c>
      <c r="C370" s="1">
        <f>IF(KnockoutGoals!A21="","",KnockoutGoals!C21)</f>
        <v>6</v>
      </c>
      <c r="D370" s="1" t="str">
        <f>IF(KnockoutGoals!A21="","",KnockoutGoals!D21)</f>
        <v>Goal</v>
      </c>
      <c r="E370" s="1" t="str">
        <f>IF(KnockoutGoals!A21="","",KnockoutGoals!E21)</f>
        <v>DENIS TIMPANARO</v>
      </c>
      <c r="F370" s="1" t="str">
        <f>IF(KnockoutGoals!A21="","",KnockoutGoals!F21)</f>
        <v>Vecchie Glorie Rovigo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8.8" x14ac:dyDescent="0.3">
      <c r="A375" s="1" t="str">
        <f>IF(KnockoutGoals!A26="","",KnockoutGoals!A26)</f>
        <v>QF3</v>
      </c>
      <c r="B375" s="1" t="str">
        <f>IF(KnockoutGoals!A26="","",KnockoutGoals!B26)</f>
        <v>Leoni di Ricky</v>
      </c>
      <c r="C375" s="1">
        <f>IF(KnockoutGoals!A26="","",KnockoutGoals!C26)</f>
        <v>1</v>
      </c>
      <c r="D375" s="1" t="str">
        <f>IF(KnockoutGoals!A26="","",KnockoutGoals!D26)</f>
        <v>Goal</v>
      </c>
      <c r="E375" s="1" t="str">
        <f>IF(KnockoutGoals!A26="","",KnockoutGoals!E26)</f>
        <v>3 - LEONARDO MAGGIO</v>
      </c>
      <c r="F375" s="1" t="str">
        <f>IF(KnockoutGoals!A26="","",KnockoutGoals!F26)</f>
        <v>Leoni di Ricky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8.8" x14ac:dyDescent="0.3">
      <c r="A376" s="1" t="str">
        <f>IF(KnockoutGoals!A27="","",KnockoutGoals!A27)</f>
        <v>QF3</v>
      </c>
      <c r="B376" s="1" t="str">
        <f>IF(KnockoutGoals!A27="","",KnockoutGoals!B27)</f>
        <v>Leoni di Ricky</v>
      </c>
      <c r="C376" s="1">
        <f>IF(KnockoutGoals!A27="","",KnockoutGoals!C27)</f>
        <v>2</v>
      </c>
      <c r="D376" s="1" t="str">
        <f>IF(KnockoutGoals!A27="","",KnockoutGoals!D27)</f>
        <v>Goal</v>
      </c>
      <c r="E376" s="1" t="str">
        <f>IF(KnockoutGoals!A27="","",KnockoutGoals!E27)</f>
        <v>3 - LEONARDO MAGGIO</v>
      </c>
      <c r="F376" s="1" t="str">
        <f>IF(KnockoutGoals!A27="","",KnockoutGoals!F27)</f>
        <v>Leoni di Ricky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8.8" x14ac:dyDescent="0.3">
      <c r="A377" s="1" t="str">
        <f>IF(KnockoutGoals!A28="","",KnockoutGoals!A28)</f>
        <v>QF3</v>
      </c>
      <c r="B377" s="1" t="str">
        <f>IF(KnockoutGoals!A28="","",KnockoutGoals!B28)</f>
        <v>Leoni di Ricky</v>
      </c>
      <c r="C377" s="1">
        <f>IF(KnockoutGoals!A28="","",KnockoutGoals!C28)</f>
        <v>3</v>
      </c>
      <c r="D377" s="1" t="str">
        <f>IF(KnockoutGoals!A28="","",KnockoutGoals!D28)</f>
        <v>Goal</v>
      </c>
      <c r="E377" s="1" t="str">
        <f>IF(KnockoutGoals!A28="","",KnockoutGoals!E28)</f>
        <v>3 - LEONARDO MAGGIO</v>
      </c>
      <c r="F377" s="1" t="str">
        <f>IF(KnockoutGoals!A28="","",KnockoutGoals!F28)</f>
        <v>Leoni di Ricky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8.8" x14ac:dyDescent="0.3">
      <c r="A378" s="1" t="str">
        <f>IF(KnockoutGoals!A29="","",KnockoutGoals!A29)</f>
        <v>QF3</v>
      </c>
      <c r="B378" s="1" t="str">
        <f>IF(KnockoutGoals!A29="","",KnockoutGoals!B29)</f>
        <v>Leoni di Ricky</v>
      </c>
      <c r="C378" s="1">
        <f>IF(KnockoutGoals!A29="","",KnockoutGoals!C29)</f>
        <v>4</v>
      </c>
      <c r="D378" s="1" t="str">
        <f>IF(KnockoutGoals!A29="","",KnockoutGoals!D29)</f>
        <v>Goal</v>
      </c>
      <c r="E378" s="1" t="str">
        <f>IF(KnockoutGoals!A29="","",KnockoutGoals!E29)</f>
        <v>3 - LEONARDO MAGGIO</v>
      </c>
      <c r="F378" s="1" t="str">
        <f>IF(KnockoutGoals!A29="","",KnockoutGoals!F29)</f>
        <v>Leoni di Ricky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28.8" x14ac:dyDescent="0.3">
      <c r="A387" s="1" t="str">
        <f>IF(KnockoutGoals!A38="","",KnockoutGoals!A38)</f>
        <v>QF4</v>
      </c>
      <c r="B387" s="1" t="str">
        <f>IF(KnockoutGoals!A38="","",KnockoutGoals!B38)</f>
        <v>AS Bancatore</v>
      </c>
      <c r="C387" s="1">
        <f>IF(KnockoutGoals!A38="","",KnockoutGoals!C38)</f>
        <v>1</v>
      </c>
      <c r="D387" s="1" t="str">
        <f>IF(KnockoutGoals!A38="","",KnockoutGoals!D38)</f>
        <v>Goal</v>
      </c>
      <c r="E387" s="1" t="str">
        <f>IF(KnockoutGoals!A38="","",KnockoutGoals!E38)</f>
        <v>8 - MATTEO SAVIOLI (C)</v>
      </c>
      <c r="F387" s="1" t="str">
        <f>IF(KnockoutGoals!A38="","",KnockoutGoals!F38)</f>
        <v>AS Bancatore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8.8" x14ac:dyDescent="0.3">
      <c r="A388" s="1" t="str">
        <f>IF(KnockoutGoals!A39="","",KnockoutGoals!A39)</f>
        <v>QF4</v>
      </c>
      <c r="B388" s="1" t="str">
        <f>IF(KnockoutGoals!A39="","",KnockoutGoals!B39)</f>
        <v>AS Bancatore</v>
      </c>
      <c r="C388" s="1">
        <f>IF(KnockoutGoals!A39="","",KnockoutGoals!C39)</f>
        <v>2</v>
      </c>
      <c r="D388" s="1" t="str">
        <f>IF(KnockoutGoals!A39="","",KnockoutGoals!D39)</f>
        <v>Goal</v>
      </c>
      <c r="E388" s="1" t="str">
        <f>IF(KnockoutGoals!A39="","",KnockoutGoals!E39)</f>
        <v>8 - MATTEO SAVIOLI (C)</v>
      </c>
      <c r="F388" s="1" t="str">
        <f>IF(KnockoutGoals!A39="","",KnockoutGoals!F39)</f>
        <v>AS Bancatore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8.8" x14ac:dyDescent="0.3">
      <c r="A389" s="1" t="str">
        <f>IF(KnockoutGoals!A40="","",KnockoutGoals!A40)</f>
        <v>QF4</v>
      </c>
      <c r="B389" s="1" t="str">
        <f>IF(KnockoutGoals!A40="","",KnockoutGoals!B40)</f>
        <v>AS Bancatore</v>
      </c>
      <c r="C389" s="1">
        <f>IF(KnockoutGoals!A40="","",KnockoutGoals!C40)</f>
        <v>3</v>
      </c>
      <c r="D389" s="1" t="str">
        <f>IF(KnockoutGoals!A40="","",KnockoutGoals!D40)</f>
        <v>Goal</v>
      </c>
      <c r="E389" s="1" t="str">
        <f>IF(KnockoutGoals!A40="","",KnockoutGoals!E40)</f>
        <v>8 - MATTEO SAVIOLI (C)</v>
      </c>
      <c r="F389" s="1" t="str">
        <f>IF(KnockoutGoals!A40="","",KnockoutGoals!F40)</f>
        <v>AS Bancatore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28.8" x14ac:dyDescent="0.3">
      <c r="A390" s="1" t="str">
        <f>IF(KnockoutGoals!A41="","",KnockoutGoals!A41)</f>
        <v>QF4</v>
      </c>
      <c r="B390" s="1" t="str">
        <f>IF(KnockoutGoals!A41="","",KnockoutGoals!B41)</f>
        <v>AS Bancatore</v>
      </c>
      <c r="C390" s="1">
        <f>IF(KnockoutGoals!A41="","",KnockoutGoals!C41)</f>
        <v>4</v>
      </c>
      <c r="D390" s="1" t="str">
        <f>IF(KnockoutGoals!A41="","",KnockoutGoals!D41)</f>
        <v>Goal</v>
      </c>
      <c r="E390" s="1" t="str">
        <f>IF(KnockoutGoals!A41="","",KnockoutGoals!E41)</f>
        <v>8 - MATTEO SAVIOLI (C)</v>
      </c>
      <c r="F390" s="1" t="str">
        <f>IF(KnockoutGoals!A41="","",KnockoutGoals!F41)</f>
        <v>AS Bancatore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28.8" x14ac:dyDescent="0.3">
      <c r="A391" s="1" t="str">
        <f>IF(KnockoutGoals!A42="","",KnockoutGoals!A42)</f>
        <v>QF4</v>
      </c>
      <c r="B391" s="1" t="str">
        <f>IF(KnockoutGoals!A42="","",KnockoutGoals!B42)</f>
        <v>AS Bancatore</v>
      </c>
      <c r="C391" s="1">
        <f>IF(KnockoutGoals!A42="","",KnockoutGoals!C42)</f>
        <v>5</v>
      </c>
      <c r="D391" s="1" t="str">
        <f>IF(KnockoutGoals!A42="","",KnockoutGoals!D42)</f>
        <v>Goal</v>
      </c>
      <c r="E391" s="1" t="str">
        <f>IF(KnockoutGoals!A42="","",KnockoutGoals!E42)</f>
        <v>8 - MATTEO SAVIOLI (C)</v>
      </c>
      <c r="F391" s="1" t="str">
        <f>IF(KnockoutGoals!A42="","",KnockoutGoals!F42)</f>
        <v>AS Bancatore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>QF4</v>
      </c>
      <c r="B392" s="1" t="str">
        <f>IF(KnockoutGoals!A43="","",KnockoutGoals!B43)</f>
        <v>Pink 5ive</v>
      </c>
      <c r="C392" s="1">
        <f>IF(KnockoutGoals!A43="","",KnockoutGoals!C43)</f>
        <v>1</v>
      </c>
      <c r="D392" s="1" t="str">
        <f>IF(KnockoutGoals!A43="","",KnockoutGoals!D43)</f>
        <v>Goal</v>
      </c>
      <c r="E392" s="1" t="str">
        <f>IF(KnockoutGoals!A43="","",KnockoutGoals!E43)</f>
        <v>4 - LORENZO BOSCOLO</v>
      </c>
      <c r="F392" s="1" t="str">
        <f>IF(KnockoutGoals!A43="","",KnockoutGoals!F43)</f>
        <v>Pink 5ive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43.2" x14ac:dyDescent="0.3">
      <c r="A399" s="1" t="str">
        <f>IF(KnockoutGoals!A50="","",KnockoutGoals!A50)</f>
        <v>SF1</v>
      </c>
      <c r="B399" s="1" t="str">
        <f>IF(KnockoutGoals!A50="","",KnockoutGoals!B50)</f>
        <v>Vecchie Glorie Rovigo</v>
      </c>
      <c r="C399" s="1">
        <f>IF(KnockoutGoals!A50="","",KnockoutGoals!C50)</f>
        <v>1</v>
      </c>
      <c r="D399" s="1" t="str">
        <f>IF(KnockoutGoals!A50="","",KnockoutGoals!D50)</f>
        <v>Goal</v>
      </c>
      <c r="E399" s="1" t="str">
        <f>IF(KnockoutGoals!A50="","",KnockoutGoals!E50)</f>
        <v>MATTEO ZAMBERLAN</v>
      </c>
      <c r="F399" s="1" t="str">
        <f>IF(KnockoutGoals!A50="","",KnockoutGoals!F50)</f>
        <v>Vecchie Glorie Rovigo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43.2" x14ac:dyDescent="0.3">
      <c r="A400" s="1" t="str">
        <f>IF(KnockoutGoals!A51="","",KnockoutGoals!A51)</f>
        <v>SF1</v>
      </c>
      <c r="B400" s="1" t="str">
        <f>IF(KnockoutGoals!A51="","",KnockoutGoals!B51)</f>
        <v>Vecchie Glorie Rovigo</v>
      </c>
      <c r="C400" s="1">
        <f>IF(KnockoutGoals!A51="","",KnockoutGoals!C51)</f>
        <v>2</v>
      </c>
      <c r="D400" s="1" t="str">
        <f>IF(KnockoutGoals!A51="","",KnockoutGoals!D51)</f>
        <v>Goal</v>
      </c>
      <c r="E400" s="1" t="str">
        <f>IF(KnockoutGoals!A51="","",KnockoutGoals!E51)</f>
        <v>MATTEO DALL'ARA</v>
      </c>
      <c r="F400" s="1" t="str">
        <f>IF(KnockoutGoals!A51="","",KnockoutGoals!F51)</f>
        <v>Vecchie Glorie Rovigo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8.8" x14ac:dyDescent="0.3">
      <c r="A401" s="1" t="str">
        <f>IF(KnockoutGoals!A52="","",KnockoutGoals!A52)</f>
        <v>SF1</v>
      </c>
      <c r="B401" s="1" t="str">
        <f>IF(KnockoutGoals!A52="","",KnockoutGoals!B52)</f>
        <v>Leoni di Ricky</v>
      </c>
      <c r="C401" s="1">
        <f>IF(KnockoutGoals!A52="","",KnockoutGoals!C52)</f>
        <v>1</v>
      </c>
      <c r="D401" s="1" t="str">
        <f>IF(KnockoutGoals!A52="","",KnockoutGoals!D52)</f>
        <v>Goal</v>
      </c>
      <c r="E401" s="1" t="str">
        <f>IF(KnockoutGoals!A52="","",KnockoutGoals!E52)</f>
        <v>5 - PIETRO VIOLATO</v>
      </c>
      <c r="F401" s="1" t="str">
        <f>IF(KnockoutGoals!A52="","",KnockoutGoals!F52)</f>
        <v>Leoni di Ricky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8.8" x14ac:dyDescent="0.3">
      <c r="A402" s="1" t="str">
        <f>IF(KnockoutGoals!A53="","",KnockoutGoals!A53)</f>
        <v>SF1</v>
      </c>
      <c r="B402" s="1" t="str">
        <f>IF(KnockoutGoals!A53="","",KnockoutGoals!B53)</f>
        <v>Leoni di Ricky</v>
      </c>
      <c r="C402" s="1">
        <f>IF(KnockoutGoals!A53="","",KnockoutGoals!C53)</f>
        <v>2</v>
      </c>
      <c r="D402" s="1" t="str">
        <f>IF(KnockoutGoals!A53="","",KnockoutGoals!D53)</f>
        <v>Goal</v>
      </c>
      <c r="E402" s="1" t="str">
        <f>IF(KnockoutGoals!A53="","",KnockoutGoals!E53)</f>
        <v>4 - AMIN MASSAGHRI (C)</v>
      </c>
      <c r="F402" s="1" t="str">
        <f>IF(KnockoutGoals!A53="","",KnockoutGoals!F53)</f>
        <v>Leoni di Ricky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8.8" x14ac:dyDescent="0.3">
      <c r="A411" s="1" t="str">
        <f>IF(KnockoutGoals!A62="","",KnockoutGoals!A62)</f>
        <v>SF2</v>
      </c>
      <c r="B411" s="1" t="str">
        <f>IF(KnockoutGoals!A62="","",KnockoutGoals!B62)</f>
        <v>AS Bancatore</v>
      </c>
      <c r="C411" s="1">
        <f>IF(KnockoutGoals!A62="","",KnockoutGoals!C62)</f>
        <v>1</v>
      </c>
      <c r="D411" s="1" t="str">
        <f>IF(KnockoutGoals!A62="","",KnockoutGoals!D62)</f>
        <v>Goal</v>
      </c>
      <c r="E411" s="1" t="str">
        <f>IF(KnockoutGoals!A62="","",KnockoutGoals!E62)</f>
        <v>8 - MATTEO SAVIOLI (C)</v>
      </c>
      <c r="F411" s="1" t="str">
        <f>IF(KnockoutGoals!A62="","",KnockoutGoals!F62)</f>
        <v>AS Bancatore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8.8" x14ac:dyDescent="0.3">
      <c r="A412" s="1" t="str">
        <f>IF(KnockoutGoals!A63="","",KnockoutGoals!A63)</f>
        <v>SF2</v>
      </c>
      <c r="B412" s="1" t="str">
        <f>IF(KnockoutGoals!A63="","",KnockoutGoals!B63)</f>
        <v>AS Bancatore</v>
      </c>
      <c r="C412" s="1">
        <f>IF(KnockoutGoals!A63="","",KnockoutGoals!C63)</f>
        <v>2</v>
      </c>
      <c r="D412" s="1" t="str">
        <f>IF(KnockoutGoals!A63="","",KnockoutGoals!D63)</f>
        <v>Goal</v>
      </c>
      <c r="E412" s="1" t="str">
        <f>IF(KnockoutGoals!A63="","",KnockoutGoals!E63)</f>
        <v>8 - MATTEO SAVIOLI (C)</v>
      </c>
      <c r="F412" s="1" t="str">
        <f>IF(KnockoutGoals!A63="","",KnockoutGoals!F63)</f>
        <v>AS Bancatore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8.8" x14ac:dyDescent="0.3">
      <c r="A413" s="1" t="str">
        <f>IF(KnockoutGoals!A64="","",KnockoutGoals!A64)</f>
        <v>SF2</v>
      </c>
      <c r="B413" s="1" t="str">
        <f>IF(KnockoutGoals!A64="","",KnockoutGoals!B64)</f>
        <v>AS Bancatore</v>
      </c>
      <c r="C413" s="1">
        <f>IF(KnockoutGoals!A64="","",KnockoutGoals!C64)</f>
        <v>3</v>
      </c>
      <c r="D413" s="1" t="str">
        <f>IF(KnockoutGoals!A64="","",KnockoutGoals!D64)</f>
        <v>Goal</v>
      </c>
      <c r="E413" s="1" t="str">
        <f>IF(KnockoutGoals!A64="","",KnockoutGoals!E64)</f>
        <v>8 - MATTEO SAVIOLI (C)</v>
      </c>
      <c r="F413" s="1" t="str">
        <f>IF(KnockoutGoals!A64="","",KnockoutGoals!F64)</f>
        <v>AS Bancatore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8.8" x14ac:dyDescent="0.3">
      <c r="A414" s="1" t="str">
        <f>IF(KnockoutGoals!A65="","",KnockoutGoals!A65)</f>
        <v>SF2</v>
      </c>
      <c r="B414" s="1" t="str">
        <f>IF(KnockoutGoals!A65="","",KnockoutGoals!B65)</f>
        <v>AS Bancatore</v>
      </c>
      <c r="C414" s="1">
        <f>IF(KnockoutGoals!A65="","",KnockoutGoals!C65)</f>
        <v>4</v>
      </c>
      <c r="D414" s="1" t="str">
        <f>IF(KnockoutGoals!A65="","",KnockoutGoals!D65)</f>
        <v>Goal</v>
      </c>
      <c r="E414" s="1" t="str">
        <f>IF(KnockoutGoals!A65="","",KnockoutGoals!E65)</f>
        <v>8 - MATTEO SAVIOLI (C)</v>
      </c>
      <c r="F414" s="1" t="str">
        <f>IF(KnockoutGoals!A65="","",KnockoutGoals!F65)</f>
        <v>AS Bancatore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28.8" x14ac:dyDescent="0.3">
      <c r="A415" s="1" t="str">
        <f>IF(KnockoutGoals!A66="","",KnockoutGoals!A66)</f>
        <v>SF2</v>
      </c>
      <c r="B415" s="1" t="str">
        <f>IF(KnockoutGoals!A66="","",KnockoutGoals!B66)</f>
        <v>Cani</v>
      </c>
      <c r="C415" s="1">
        <f>IF(KnockoutGoals!A66="","",KnockoutGoals!C66)</f>
        <v>1</v>
      </c>
      <c r="D415" s="1" t="str">
        <f>IF(KnockoutGoals!A66="","",KnockoutGoals!D66)</f>
        <v>Goal</v>
      </c>
      <c r="E415" s="1" t="str">
        <f>IF(KnockoutGoals!A66="","",KnockoutGoals!E66)</f>
        <v>4 - MANUEL IMPELLICCIERI</v>
      </c>
      <c r="F415" s="1" t="str">
        <f>IF(KnockoutGoals!A66="","",KnockoutGoals!F66)</f>
        <v>Cani</v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28.8" x14ac:dyDescent="0.3">
      <c r="A416" s="1" t="str">
        <f>IF(KnockoutGoals!A67="","",KnockoutGoals!A67)</f>
        <v>SF2</v>
      </c>
      <c r="B416" s="1" t="str">
        <f>IF(KnockoutGoals!A67="","",KnockoutGoals!B67)</f>
        <v>Cani</v>
      </c>
      <c r="C416" s="1">
        <f>IF(KnockoutGoals!A67="","",KnockoutGoals!C67)</f>
        <v>2</v>
      </c>
      <c r="D416" s="1" t="str">
        <f>IF(KnockoutGoals!A67="","",KnockoutGoals!D67)</f>
        <v>Goal</v>
      </c>
      <c r="E416" s="1" t="str">
        <f>IF(KnockoutGoals!A67="","",KnockoutGoals!E67)</f>
        <v>4 - MANUEL IMPELLICCIERI</v>
      </c>
      <c r="F416" s="1" t="str">
        <f>IF(KnockoutGoals!A67="","",KnockoutGoals!F67)</f>
        <v>Cani</v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ht="28.8" x14ac:dyDescent="0.3">
      <c r="A423" s="1" t="str">
        <f>IF(KnockoutGoals!A74="","",KnockoutGoals!A74)</f>
        <v>FIN</v>
      </c>
      <c r="B423" s="1" t="str">
        <f>IF(KnockoutGoals!A74="","",KnockoutGoals!B74)</f>
        <v>Leoni di Ricky</v>
      </c>
      <c r="C423" s="1">
        <f>IF(KnockoutGoals!A74="","",KnockoutGoals!C74)</f>
        <v>1</v>
      </c>
      <c r="D423" s="1" t="str">
        <f>IF(KnockoutGoals!A74="","",KnockoutGoals!D74)</f>
        <v>Goal</v>
      </c>
      <c r="E423" s="1" t="str">
        <f>IF(KnockoutGoals!A74="","",KnockoutGoals!E74)</f>
        <v>5 - PIETRO VIOLATO</v>
      </c>
      <c r="F423" s="1" t="str">
        <f>IF(KnockoutGoals!A74="","",KnockoutGoals!F74)</f>
        <v>Leoni di Ricky</v>
      </c>
      <c r="G423" s="1"/>
      <c r="H423" s="1"/>
      <c r="I423" s="1"/>
      <c r="J423" s="1"/>
      <c r="K423" s="1"/>
      <c r="L423" s="1"/>
      <c r="M423" s="1"/>
    </row>
    <row r="424" spans="1:26" ht="28.8" x14ac:dyDescent="0.3">
      <c r="A424" s="1" t="str">
        <f>IF(KnockoutGoals!A75="","",KnockoutGoals!A75)</f>
        <v>FIN</v>
      </c>
      <c r="B424" s="1" t="str">
        <f>IF(KnockoutGoals!A75="","",KnockoutGoals!B75)</f>
        <v>Leoni di Ricky</v>
      </c>
      <c r="C424" s="1">
        <f>IF(KnockoutGoals!A75="","",KnockoutGoals!C75)</f>
        <v>2</v>
      </c>
      <c r="D424" s="1" t="str">
        <f>IF(KnockoutGoals!A75="","",KnockoutGoals!D75)</f>
        <v>Goal</v>
      </c>
      <c r="E424" s="1" t="str">
        <f>IF(KnockoutGoals!A75="","",KnockoutGoals!E75)</f>
        <v>5 - PIETRO VIOLATO</v>
      </c>
      <c r="F424" s="1" t="str">
        <f>IF(KnockoutGoals!A75="","",KnockoutGoals!F75)</f>
        <v>Leoni di Ricky</v>
      </c>
      <c r="G424" s="1"/>
      <c r="H424" s="1"/>
      <c r="I424" s="1"/>
      <c r="J424" s="1"/>
      <c r="K424" s="1"/>
      <c r="L424" s="1"/>
      <c r="M424" s="1"/>
    </row>
    <row r="425" spans="1:26" ht="28.8" x14ac:dyDescent="0.3">
      <c r="A425" s="1" t="str">
        <f>IF(KnockoutGoals!A76="","",KnockoutGoals!A76)</f>
        <v>FIN</v>
      </c>
      <c r="B425" s="1" t="str">
        <f>IF(KnockoutGoals!A76="","",KnockoutGoals!B76)</f>
        <v>Leoni di Ricky</v>
      </c>
      <c r="C425" s="1">
        <f>IF(KnockoutGoals!A76="","",KnockoutGoals!C76)</f>
        <v>3</v>
      </c>
      <c r="D425" s="1" t="str">
        <f>IF(KnockoutGoals!A76="","",KnockoutGoals!D76)</f>
        <v>Goal</v>
      </c>
      <c r="E425" s="1" t="str">
        <f>IF(KnockoutGoals!A76="","",KnockoutGoals!E76)</f>
        <v>5 - PIETRO VIOLATO</v>
      </c>
      <c r="F425" s="1" t="str">
        <f>IF(KnockoutGoals!A76="","",KnockoutGoals!F76)</f>
        <v>Leoni di Ricky</v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2026-06-28T09:38:17Z</dcterms:modified>
</cp:coreProperties>
</file>