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12orebosaro\"/>
    </mc:Choice>
  </mc:AlternateContent>
  <xr:revisionPtr revIDLastSave="0" documentId="13_ncr:1_{5C439043-C99F-4F47-8236-8B2DBF61A887}" xr6:coauthVersionLast="47" xr6:coauthVersionMax="47" xr10:uidLastSave="{00000000-0000-0000-0000-000000000000}"/>
  <bookViews>
    <workbookView xWindow="-108" yWindow="-108" windowWidth="23256" windowHeight="12576" firstSheet="1" activeTab="3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6" i="13" l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D77" i="13" s="1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E426" i="15"/>
  <c r="A426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G250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G74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D16" i="13" l="1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C250" i="8"/>
  <c r="D250" i="8"/>
  <c r="E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C74" i="8"/>
  <c r="D74" i="8"/>
  <c r="E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B423" i="15" l="1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F19" i="7"/>
  <c r="G19" i="7"/>
  <c r="D160" i="15"/>
  <c r="G99" i="7"/>
  <c r="F99" i="7"/>
  <c r="F18" i="7"/>
  <c r="G18" i="7"/>
  <c r="F15" i="7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70" i="8"/>
  <c r="D367" i="8"/>
  <c r="D362" i="8"/>
  <c r="E362" i="8" s="1"/>
  <c r="C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D246" i="8" s="1"/>
  <c r="C38" i="13"/>
  <c r="C387" i="15" s="1"/>
  <c r="G29" i="13"/>
  <c r="F29" i="13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D460" i="8" l="1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<sst xmlns="http://schemas.openxmlformats.org/spreadsheetml/2006/main" count="886" uniqueCount="400">
  <si>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</si>
  <si>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</si>
  <si>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</si>
  <si>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</si>
  <si>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</si>
  <si>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</si>
  <si>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</si>
  <si>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</si>
  <si>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</si>
  <si>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</si>
  <si>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</si>
  <si>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</si>
  <si>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</si>
  <si>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</si>
  <si>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</si>
  <si>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</si>
  <si>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</si>
  <si>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</si>
  <si>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</si>
  <si>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</si>
  <si>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</si>
  <si>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</si>
  <si>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</si>
  <si>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</si>
  <si>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</si>
  <si>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</si>
  <si>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</si>
  <si>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</si>
  <si>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</si>
  <si>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</si>
  <si>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</si>
  <si>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</si>
  <si>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</si>
  <si>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</si>
  <si>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</si>
  <si>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</si>
  <si>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</si>
  <si>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</si>
  <si>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</si>
  <si>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</si>
  <si>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</si>
  <si>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</si>
  <si>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</si>
  <si>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</si>
  <si>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</si>
  <si>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</si>
  <si>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</si>
  <si>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</si>
  <si>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</si>
  <si>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</si>
  <si>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</si>
  <si>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</si>
  <si>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</si>
  <si>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</si>
  <si>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</si>
  <si>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</si>
  <si>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</si>
  <si>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</si>
  <si>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</si>
  <si>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</si>
  <si>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</si>
  <si>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</si>
  <si>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</si>
  <si>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</si>
  <si>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</si>
  <si>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</si>
  <si>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</si>
  <si>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</si>
  <si>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</si>
  <si>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</si>
  <si>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</si>
  <si>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</si>
  <si>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</si>
  <si>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</si>
  <si>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</si>
  <si>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</si>
  <si>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</si>
  <si>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</si>
  <si>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</si>
  <si>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</si>
  <si>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</si>
  <si>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</si>
  <si>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</si>
  <si>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</si>
  <si>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</si>
  <si>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</si>
  <si>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</si>
  <si>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</si>
  <si>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</si>
  <si>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</si>
  <si>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</si>
  <si>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</si>
  <si>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FILIPPO ZANFORLIN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</si>
  <si>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</si>
  <si>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</si>
  <si>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</si>
  <si>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</si>
  <si>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</si>
  <si>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</si>
  <si>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</si>
  <si>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</si>
  <si>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</si>
  <si>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</si>
  <si>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</si>
  <si>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</si>
  <si>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</si>
  <si>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</si>
  <si>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</si>
  <si>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</si>
  <si>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</si>
  <si>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</si>
  <si>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</si>
  <si>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</si>
  <si>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</si>
  <si>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</si>
  <si>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</si>
  <si>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TOMMASO FERRARESI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</si>
  <si>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</si>
  <si>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</si>
  <si>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</si>
  <si>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</si>
  <si>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</si>
  <si>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</si>
  <si>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</si>
  <si>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</si>
  <si>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</si>
  <si>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</si>
  <si>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</si>
  <si>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</si>
  <si>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</si>
  <si>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</si>
  <si>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</si>
  <si>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</si>
  <si>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</si>
  <si>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</si>
  <si>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</si>
  <si>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</si>
  <si>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</si>
  <si>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</si>
  <si>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</si>
  <si>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NICOLÒ ANDOLFO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</si>
  <si>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</si>
  <si>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</si>
  <si>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</si>
  <si>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</si>
  <si>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</si>
  <si>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</si>
  <si>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</si>
  <si>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AARON PROVITO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</si>
  <si>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</si>
  <si>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</si>
  <si>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</si>
  <si>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</si>
  <si>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</si>
  <si>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</si>
  <si>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</si>
  <si>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</si>
  <si>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LORENZO NOVENTA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</si>
  <si>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</si>
  <si>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</si>
  <si>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</si>
  <si>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</si>
  <si>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</si>
  <si>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</si>
  <si>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</si>
  <si>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</si>
  <si>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</si>
  <si>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</si>
  <si>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</si>
  <si>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</si>
  <si>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</si>
  <si>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</si>
  <si>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</si>
  <si>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</si>
  <si>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</si>
  <si>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</si>
  <si>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</si>
  <si>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</si>
  <si>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</si>
  <si>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</si>
  <si>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</si>
  <si>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</si>
  <si>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</si>
  <si>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</si>
  <si>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</si>
  <si>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</si>
  <si>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DAVIDE GHIRARDI</t>
  </si>
  <si>
    <t>HAMZA AGRIBI</t>
  </si>
  <si>
    <t>MARCO CASAROTTI</t>
  </si>
  <si>
    <t>ELIA NAGLIERI</t>
  </si>
  <si>
    <t>LUCA PAPARELLA</t>
  </si>
  <si>
    <t>MATTEO TOSETTI</t>
  </si>
  <si>
    <t>GIANLUCA FREZZATI</t>
  </si>
  <si>
    <t>ANDREA BARZAGHIDEANU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</si>
  <si>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</si>
  <si>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</si>
  <si>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</si>
  <si>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</si>
  <si>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</si>
  <si>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</si>
  <si>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</si>
  <si>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</si>
  <si>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</si>
  <si>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</si>
  <si>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</si>
  <si>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</si>
  <si>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</si>
  <si>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</si>
  <si>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</si>
  <si>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</si>
  <si>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</si>
  <si>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</si>
  <si>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</si>
  <si>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</si>
  <si>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</si>
  <si>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</si>
  <si>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</si>
  <si>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</si>
  <si>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</si>
  <si>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</si>
  <si>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</si>
  <si>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</si>
  <si>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</si>
  <si>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</si>
  <si>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</si>
  <si>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</si>
  <si>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</si>
  <si>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</si>
  <si>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</si>
  <si>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</si>
  <si>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MANUEL MEDEA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</si>
  <si>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</si>
  <si>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</si>
  <si>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</si>
  <si>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</si>
  <si>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</si>
  <si>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</si>
  <si>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</si>
  <si>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</si>
  <si>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</si>
  <si>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</si>
  <si>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</si>
  <si>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</si>
  <si>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</si>
  <si>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</si>
  <si>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</si>
  <si>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</si>
  <si>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</si>
  <si>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</si>
  <si>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</si>
  <si>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</si>
  <si>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</si>
  <si>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</si>
  <si>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</si>
  <si>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</si>
  <si>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</si>
  <si>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</si>
  <si>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</si>
  <si>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</si>
  <si>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</si>
  <si>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</si>
  <si>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</si>
  <si>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</si>
  <si>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</si>
  <si>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</si>
  <si>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</si>
  <si>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</si>
  <si>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</si>
  <si>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</si>
  <si>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</si>
  <si>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</si>
  <si>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</si>
  <si>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</si>
  <si>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</si>
  <si>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</si>
  <si>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</si>
  <si>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</si>
  <si>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</si>
  <si>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</si>
  <si>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</si>
  <si>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</si>
  <si>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</si>
  <si>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</si>
  <si>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</si>
  <si>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</si>
  <si>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</si>
  <si>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</si>
  <si>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</si>
  <si>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</si>
  <si>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</si>
  <si>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</si>
  <si>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</si>
  <si>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</si>
  <si>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</si>
  <si>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</si>
  <si>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</si>
  <si>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</si>
  <si>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</si>
  <si>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</si>
  <si>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</si>
  <si>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</si>
  <si>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</si>
  <si>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</si>
  <si>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</si>
  <si>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</si>
  <si>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</si>
  <si>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</si>
  <si>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</si>
  <si>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</si>
  <si>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</si>
  <si>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</si>
  <si>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</si>
  <si>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</si>
  <si>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</si>
  <si>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</si>
  <si>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</si>
  <si>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</si>
  <si>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</si>
  <si>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</si>
  <si>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</si>
  <si>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</si>
  <si>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</si>
  <si>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</si>
  <si>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</si>
  <si>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</si>
  <si>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</si>
  <si>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</si>
  <si>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</si>
  <si>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</si>
  <si>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</si>
  <si>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</si>
  <si>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</si>
  <si>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</si>
  <si>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</si>
  <si>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</si>
  <si>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</si>
  <si>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</si>
  <si>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</si>
  <si>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</si>
  <si>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</si>
  <si>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</si>
  <si>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</si>
  <si>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</si>
  <si>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</si>
  <si>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</si>
  <si>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</si>
  <si>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</si>
  <si>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</si>
  <si>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</si>
  <si>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</si>
  <si>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</si>
  <si>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</si>
  <si>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</si>
  <si>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</si>
  <si>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</si>
  <si>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</si>
  <si>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</si>
  <si>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</si>
  <si>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</si>
  <si>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</si>
  <si>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</si>
  <si>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</si>
  <si>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</si>
  <si>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</si>
  <si>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</si>
  <si>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</si>
  <si>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</si>
  <si>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</si>
  <si>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</si>
  <si>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</si>
  <si>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</si>
  <si>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</si>
  <si>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</si>
  <si>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</si>
  <si>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</si>
  <si>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</si>
  <si>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</si>
  <si>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</si>
  <si>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</si>
  <si>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</si>
  <si>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</si>
  <si>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</si>
  <si>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</si>
  <si>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</si>
  <si>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</si>
  <si>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</si>
  <si>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</si>
  <si>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</si>
  <si>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</si>
  <si>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</si>
  <si>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</si>
  <si>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</si>
  <si>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</si>
  <si>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</si>
  <si>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</si>
  <si>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</si>
  <si>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</si>
  <si>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Nome</t>
  </si>
  <si>
    <t>Cognome</t>
  </si>
  <si>
    <t>Punti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</si>
</sst>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e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E11" sqref="E11"/>
    </sheetView>
  </sheetViews>
  <sheetFormatPr defaultRowHeight="13.8"/>
  <cols>
    <col min="1" max="1" width="71.19921875" customWidth="1"/>
    <col min="2" max="2" width="38" customWidth="1"/>
  </cols>
  <sheetData>
    <row r="1" spans="1:26" ht="21" customHeight="1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>
      <c r="A3" s="1" t="s">
        <v>41</v>
      </c>
    </row>
    <row r="5" spans="1:26">
      <c r="A5" s="1" t="s">
        <v>42</v>
      </c>
      <c r="B5" s="1">
        <v>3</v>
      </c>
    </row>
    <row r="6" spans="1:26">
      <c r="A6" s="1" t="s">
        <v>43</v>
      </c>
      <c r="B6" s="1">
        <v>2</v>
      </c>
    </row>
    <row r="7" spans="1:26">
      <c r="A7" s="1" t="s">
        <v>44</v>
      </c>
      <c r="B7" s="1">
        <v>1</v>
      </c>
    </row>
    <row r="8" spans="1:26">
      <c r="A8" s="1" t="s">
        <v>45</v>
      </c>
      <c r="B8" s="1">
        <v>0</v>
      </c>
    </row>
    <row r="9" spans="1:26">
      <c r="A9" s="1" t="s">
        <v>46</v>
      </c>
      <c r="B9" s="1" t="s">
        <v>47</v>
      </c>
    </row>
    <row r="10" spans="1:26" ht="28.8" customHeight="1">
      <c r="A10" s="1" t="s">
        <v>48</v>
      </c>
      <c r="B10" s="1" t="s">
        <v>49</v>
      </c>
    </row>
    <row r="11" spans="1:26">
      <c r="A11" s="1" t="s">
        <v>50</v>
      </c>
      <c r="B11" s="1" t="s">
        <v>51</v>
      </c>
    </row>
    <row r="12" spans="1:26" ht="28.8" customHeight="1">
      <c r="A12" s="1" t="s">
        <v>52</v>
      </c>
      <c r="B12" s="1" t="s">
        <v>53</v>
      </c>
    </row>
    <row r="14" spans="1:26">
      <c r="A14" t="s">
        <v>54</v>
      </c>
      <c r="B14" t="s">
        <v>55</v>
      </c>
    </row>
    <row r="15" spans="1:26">
      <c r="A15" t="s">
        <v>56</v>
      </c>
      <c r="B15" t="s">
        <v>57</v>
      </c>
    </row>
    <row r="16" spans="1:26">
      <c r="A16" t="s">
        <v>58</v>
      </c>
      <c r="B16" t="s">
        <v>59</v>
      </c>
    </row>
    <row r="17" spans="1:6">
      <c r="A17" t="s">
        <v>60</v>
      </c>
      <c r="B17" t="s">
        <v>61</v>
      </c>
    </row>
    <row r="18" spans="1:6">
      <c r="A18" t="s">
        <v>62</v>
      </c>
    </row>
    <row r="19" spans="1:6">
      <c r="A19" s="20"/>
      <c r="B19" s="20"/>
      <c r="C19" s="20"/>
      <c r="D19" s="20"/>
      <c r="E19" s="20"/>
      <c r="F19" s="20"/>
    </row>
    <row r="20" spans="1:6">
      <c r="A20" s="20"/>
      <c r="B20" s="20"/>
      <c r="C20" s="20"/>
      <c r="D20" s="20"/>
      <c r="E20" s="20"/>
      <c r="F20" s="20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C11" sqref="C11"/>
    </sheetView>
  </sheetViews>
  <sheetFormatPr defaultRowHeight="13.8"/>
  <cols>
    <col min="1" max="2" width="24" customWidth="1"/>
  </cols>
  <sheetData>
    <row r="1" spans="1:26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65</v>
      </c>
      <c r="B2">
        <v>3</v>
      </c>
    </row>
    <row r="3" spans="1:26">
      <c r="A3" t="s">
        <v>66</v>
      </c>
      <c r="B3">
        <v>2</v>
      </c>
    </row>
    <row r="4" spans="1:26">
      <c r="A4" t="s">
        <v>67</v>
      </c>
      <c r="B4">
        <v>1</v>
      </c>
    </row>
    <row r="5" spans="1:26">
      <c r="A5" t="s">
        <v>68</v>
      </c>
      <c r="B5">
        <v>0</v>
      </c>
    </row>
    <row r="6" spans="1:26">
      <c r="A6" t="s">
        <v>69</v>
      </c>
      <c r="B6">
        <v>12</v>
      </c>
    </row>
    <row r="7" spans="1:26">
      <c r="A7" t="s">
        <v>395</v>
      </c>
      <c r="B7" s="16" t="s">
        <v>396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3.8"/>
  <cols>
    <col min="1" max="4" width="24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>
      <c r="A4" t="s">
        <v>9</v>
      </c>
      <c r="B4" t="s">
        <v>5</v>
      </c>
      <c r="C4" t="s">
        <v>10</v>
      </c>
      <c r="D4">
        <f>COUNTIF(Players!$B$2:$B$481,A4)</f>
        <v>12</v>
      </c>
    </row>
    <row r="5" spans="1:26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>
      <c r="A10" t="s">
        <v>22</v>
      </c>
      <c r="B10" t="s">
        <v>23</v>
      </c>
      <c r="C10" t="s">
        <v>24</v>
      </c>
      <c r="D10">
        <f>COUNTIF(Players!$B$2:$B$481,A10)</f>
        <v>8</v>
      </c>
    </row>
    <row r="11" spans="1:26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>
      <c r="A17" t="s">
        <v>38</v>
      </c>
      <c r="B17" t="s">
        <v>32</v>
      </c>
      <c r="C17" t="s">
        <v>39</v>
      </c>
      <c r="D17">
        <f>COUNTIF(Players!$B$2:$B$481,A17)</f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abSelected="1" topLeftCell="N1" workbookViewId="0">
      <pane ySplit="2" topLeftCell="A3" activePane="bottomLeft" state="frozen"/>
      <selection pane="bottomLeft" activeCell="S13" sqref="S13"/>
    </sheetView>
  </sheetViews>
  <sheetFormatPr defaultRowHeight="13.8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>
      <c r="A1" s="21" t="s">
        <v>70</v>
      </c>
      <c r="B1" s="20"/>
      <c r="C1" s="20"/>
      <c r="D1" s="21" t="s">
        <v>71</v>
      </c>
      <c r="E1" s="20"/>
      <c r="F1" s="20"/>
      <c r="G1" s="21" t="s">
        <v>72</v>
      </c>
      <c r="H1" s="20"/>
      <c r="I1" s="20"/>
      <c r="J1" s="21" t="s">
        <v>73</v>
      </c>
      <c r="K1" s="20"/>
      <c r="L1" s="20"/>
      <c r="M1" s="21" t="s">
        <v>74</v>
      </c>
      <c r="N1" s="20"/>
      <c r="O1" s="20"/>
      <c r="P1" s="21" t="s">
        <v>75</v>
      </c>
      <c r="Q1" s="20"/>
      <c r="R1" s="20"/>
      <c r="S1" s="21" t="s">
        <v>76</v>
      </c>
      <c r="T1" s="20"/>
      <c r="U1" s="20"/>
      <c r="V1" s="21" t="s">
        <v>77</v>
      </c>
      <c r="W1" s="20"/>
      <c r="X1" s="20"/>
      <c r="Y1" s="21" t="s">
        <v>78</v>
      </c>
      <c r="Z1" s="20"/>
      <c r="AA1" s="20"/>
      <c r="AB1" s="21" t="s">
        <v>79</v>
      </c>
      <c r="AC1" s="20"/>
      <c r="AD1" s="20"/>
      <c r="AE1" s="21" t="s">
        <v>80</v>
      </c>
      <c r="AF1" s="20"/>
      <c r="AG1" s="20"/>
      <c r="AH1" s="21" t="s">
        <v>81</v>
      </c>
      <c r="AI1" s="20"/>
      <c r="AJ1" s="20"/>
      <c r="AK1" s="21" t="s">
        <v>82</v>
      </c>
      <c r="AL1" s="20"/>
      <c r="AM1" s="20"/>
      <c r="AN1" s="21" t="s">
        <v>83</v>
      </c>
      <c r="AO1" s="20"/>
      <c r="AP1" s="20"/>
      <c r="AQ1" s="21" t="s">
        <v>84</v>
      </c>
      <c r="AR1" s="20"/>
      <c r="AS1" s="20"/>
      <c r="AT1" s="21" t="s">
        <v>85</v>
      </c>
      <c r="AU1" s="20"/>
      <c r="AV1" s="20"/>
    </row>
    <row r="2" spans="1:48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92</v>
      </c>
      <c r="I3" s="15" t="s">
        <v>90</v>
      </c>
      <c r="J3" s="15">
        <v>1</v>
      </c>
      <c r="K3" s="15" t="s">
        <v>93</v>
      </c>
      <c r="L3" s="15" t="s">
        <v>90</v>
      </c>
      <c r="M3" s="15">
        <v>5</v>
      </c>
      <c r="N3" s="15" t="s">
        <v>94</v>
      </c>
      <c r="O3" s="15" t="s">
        <v>90</v>
      </c>
      <c r="P3" s="15"/>
      <c r="Q3" s="15" t="s">
        <v>95</v>
      </c>
      <c r="R3" s="15" t="s">
        <v>90</v>
      </c>
      <c r="S3" s="15">
        <v>1</v>
      </c>
      <c r="T3" s="15" t="s">
        <v>96</v>
      </c>
      <c r="U3" s="15" t="s">
        <v>90</v>
      </c>
      <c r="V3" s="15">
        <v>4</v>
      </c>
      <c r="W3" s="15" t="s">
        <v>97</v>
      </c>
      <c r="X3" s="15" t="s">
        <v>90</v>
      </c>
      <c r="Y3" s="15">
        <v>1</v>
      </c>
      <c r="Z3" s="15" t="s">
        <v>98</v>
      </c>
      <c r="AA3" s="15" t="s">
        <v>90</v>
      </c>
      <c r="AB3" s="15">
        <v>4</v>
      </c>
      <c r="AC3" s="15" t="s">
        <v>99</v>
      </c>
      <c r="AD3" s="15" t="s">
        <v>90</v>
      </c>
      <c r="AE3" s="15">
        <v>1</v>
      </c>
      <c r="AF3" s="15" t="s">
        <v>100</v>
      </c>
      <c r="AG3" s="15" t="s">
        <v>90</v>
      </c>
      <c r="AH3" s="15">
        <v>4</v>
      </c>
      <c r="AI3" s="15" t="s">
        <v>101</v>
      </c>
      <c r="AJ3" s="15" t="s">
        <v>90</v>
      </c>
      <c r="AK3" s="15">
        <v>1</v>
      </c>
      <c r="AL3" s="15" t="s">
        <v>102</v>
      </c>
      <c r="AM3" s="15" t="s">
        <v>90</v>
      </c>
      <c r="AN3" s="15">
        <v>1</v>
      </c>
      <c r="AO3" s="15" t="s">
        <v>103</v>
      </c>
      <c r="AP3" s="15" t="s">
        <v>90</v>
      </c>
      <c r="AQ3" s="15">
        <v>1</v>
      </c>
      <c r="AR3" s="15" t="s">
        <v>104</v>
      </c>
      <c r="AS3" s="15" t="s">
        <v>90</v>
      </c>
      <c r="AT3" s="15">
        <v>1</v>
      </c>
      <c r="AU3" s="15" t="s">
        <v>105</v>
      </c>
      <c r="AV3" s="15" t="s">
        <v>90</v>
      </c>
    </row>
    <row r="4" spans="1:48">
      <c r="A4" s="15">
        <v>4</v>
      </c>
      <c r="B4" s="15" t="s">
        <v>106</v>
      </c>
      <c r="C4" s="15" t="s">
        <v>90</v>
      </c>
      <c r="D4" s="15"/>
      <c r="E4" s="15" t="s">
        <v>107</v>
      </c>
      <c r="F4" s="15" t="s">
        <v>90</v>
      </c>
      <c r="G4" s="15"/>
      <c r="H4" s="15" t="s">
        <v>108</v>
      </c>
      <c r="I4" s="15" t="s">
        <v>109</v>
      </c>
      <c r="J4" s="15">
        <v>4</v>
      </c>
      <c r="K4" s="15" t="s">
        <v>110</v>
      </c>
      <c r="L4" s="15" t="s">
        <v>90</v>
      </c>
      <c r="M4" s="15">
        <v>6</v>
      </c>
      <c r="N4" s="15" t="s">
        <v>111</v>
      </c>
      <c r="O4" s="15" t="s">
        <v>90</v>
      </c>
      <c r="P4" s="15"/>
      <c r="Q4" s="15" t="s">
        <v>112</v>
      </c>
      <c r="R4" s="15" t="s">
        <v>90</v>
      </c>
      <c r="S4" s="15">
        <v>2</v>
      </c>
      <c r="T4" s="15" t="s">
        <v>113</v>
      </c>
      <c r="U4" s="15" t="s">
        <v>90</v>
      </c>
      <c r="V4" s="15">
        <v>10</v>
      </c>
      <c r="W4" s="15" t="s">
        <v>114</v>
      </c>
      <c r="X4" s="15" t="s">
        <v>109</v>
      </c>
      <c r="Y4" s="15">
        <v>3</v>
      </c>
      <c r="Z4" s="15" t="s">
        <v>115</v>
      </c>
      <c r="AA4" s="15" t="s">
        <v>90</v>
      </c>
      <c r="AB4" s="15">
        <v>7</v>
      </c>
      <c r="AC4" s="15" t="s">
        <v>116</v>
      </c>
      <c r="AD4" s="15" t="s">
        <v>90</v>
      </c>
      <c r="AE4" s="15">
        <v>2</v>
      </c>
      <c r="AF4" s="15" t="s">
        <v>117</v>
      </c>
      <c r="AG4" s="15" t="s">
        <v>90</v>
      </c>
      <c r="AH4" s="15">
        <v>5</v>
      </c>
      <c r="AI4" s="15" t="s">
        <v>118</v>
      </c>
      <c r="AJ4" s="15" t="s">
        <v>90</v>
      </c>
      <c r="AK4" s="15">
        <v>3</v>
      </c>
      <c r="AL4" s="15" t="s">
        <v>119</v>
      </c>
      <c r="AM4" s="15" t="s">
        <v>90</v>
      </c>
      <c r="AN4" s="15">
        <v>2</v>
      </c>
      <c r="AO4" s="15" t="s">
        <v>120</v>
      </c>
      <c r="AP4" s="15" t="s">
        <v>90</v>
      </c>
      <c r="AQ4" s="15">
        <v>3</v>
      </c>
      <c r="AR4" s="15" t="s">
        <v>121</v>
      </c>
      <c r="AS4" s="15" t="s">
        <v>90</v>
      </c>
      <c r="AT4" s="15">
        <v>2</v>
      </c>
      <c r="AU4" s="15" t="s">
        <v>122</v>
      </c>
      <c r="AV4" s="15" t="s">
        <v>90</v>
      </c>
    </row>
    <row r="5" spans="1:48">
      <c r="A5" s="15">
        <v>5</v>
      </c>
      <c r="B5" s="15" t="s">
        <v>123</v>
      </c>
      <c r="C5" s="15" t="s">
        <v>90</v>
      </c>
      <c r="D5" s="15"/>
      <c r="E5" s="15" t="s">
        <v>124</v>
      </c>
      <c r="F5" s="15" t="s">
        <v>90</v>
      </c>
      <c r="G5" s="15"/>
      <c r="H5" s="15" t="s">
        <v>125</v>
      </c>
      <c r="I5" s="15" t="s">
        <v>90</v>
      </c>
      <c r="J5" s="15">
        <v>6</v>
      </c>
      <c r="K5" s="15" t="s">
        <v>126</v>
      </c>
      <c r="L5" s="15" t="s">
        <v>90</v>
      </c>
      <c r="M5" s="15">
        <v>7</v>
      </c>
      <c r="N5" s="15" t="s">
        <v>127</v>
      </c>
      <c r="O5" s="15" t="s">
        <v>90</v>
      </c>
      <c r="P5" s="15"/>
      <c r="Q5" s="15" t="s">
        <v>128</v>
      </c>
      <c r="R5" s="15" t="s">
        <v>90</v>
      </c>
      <c r="S5" s="15">
        <v>5</v>
      </c>
      <c r="T5" s="15" t="s">
        <v>129</v>
      </c>
      <c r="U5" s="15" t="s">
        <v>90</v>
      </c>
      <c r="V5" s="15">
        <v>11</v>
      </c>
      <c r="W5" s="15" t="s">
        <v>130</v>
      </c>
      <c r="X5" s="15" t="s">
        <v>90</v>
      </c>
      <c r="Y5" s="15">
        <v>4</v>
      </c>
      <c r="Z5" s="15" t="s">
        <v>131</v>
      </c>
      <c r="AA5" s="15" t="s">
        <v>109</v>
      </c>
      <c r="AB5" s="15">
        <v>9</v>
      </c>
      <c r="AC5" s="15" t="s">
        <v>132</v>
      </c>
      <c r="AD5" s="15" t="s">
        <v>90</v>
      </c>
      <c r="AE5" s="15">
        <v>7</v>
      </c>
      <c r="AF5" s="15" t="s">
        <v>133</v>
      </c>
      <c r="AG5" s="15" t="s">
        <v>90</v>
      </c>
      <c r="AH5" s="15">
        <v>7</v>
      </c>
      <c r="AI5" s="15" t="s">
        <v>134</v>
      </c>
      <c r="AJ5" s="15" t="s">
        <v>90</v>
      </c>
      <c r="AK5" s="15">
        <v>4</v>
      </c>
      <c r="AL5" s="15" t="s">
        <v>135</v>
      </c>
      <c r="AM5" s="15" t="s">
        <v>90</v>
      </c>
      <c r="AN5" s="15">
        <v>4</v>
      </c>
      <c r="AO5" s="15" t="s">
        <v>136</v>
      </c>
      <c r="AP5" s="15" t="s">
        <v>90</v>
      </c>
      <c r="AQ5" s="15">
        <v>4</v>
      </c>
      <c r="AR5" s="15" t="s">
        <v>137</v>
      </c>
      <c r="AS5" s="15" t="s">
        <v>90</v>
      </c>
      <c r="AT5" s="15">
        <v>3</v>
      </c>
      <c r="AU5" s="15" t="s">
        <v>138</v>
      </c>
      <c r="AV5" s="15" t="s">
        <v>90</v>
      </c>
    </row>
    <row r="6" spans="1:48">
      <c r="A6" s="15">
        <v>7</v>
      </c>
      <c r="B6" s="15" t="s">
        <v>139</v>
      </c>
      <c r="C6" s="15" t="s">
        <v>90</v>
      </c>
      <c r="D6" s="15"/>
      <c r="E6" s="15" t="s">
        <v>140</v>
      </c>
      <c r="F6" s="15" t="s">
        <v>90</v>
      </c>
      <c r="G6" s="15"/>
      <c r="H6" s="15" t="s">
        <v>141</v>
      </c>
      <c r="I6" s="15" t="s">
        <v>90</v>
      </c>
      <c r="J6" s="15">
        <v>7</v>
      </c>
      <c r="K6" s="15" t="s">
        <v>142</v>
      </c>
      <c r="L6" s="15" t="s">
        <v>90</v>
      </c>
      <c r="M6" s="15">
        <v>9</v>
      </c>
      <c r="N6" s="15" t="s">
        <v>143</v>
      </c>
      <c r="O6" s="15" t="s">
        <v>90</v>
      </c>
      <c r="P6" s="15"/>
      <c r="Q6" s="15" t="s">
        <v>144</v>
      </c>
      <c r="R6" s="15" t="s">
        <v>90</v>
      </c>
      <c r="S6" s="15">
        <v>7</v>
      </c>
      <c r="T6" s="15" t="s">
        <v>145</v>
      </c>
      <c r="U6" s="15" t="s">
        <v>90</v>
      </c>
      <c r="V6" s="15">
        <v>14</v>
      </c>
      <c r="W6" s="15" t="s">
        <v>146</v>
      </c>
      <c r="X6" s="15" t="s">
        <v>90</v>
      </c>
      <c r="Y6" s="15">
        <v>5</v>
      </c>
      <c r="Z6" s="15" t="s">
        <v>147</v>
      </c>
      <c r="AA6" s="15" t="s">
        <v>90</v>
      </c>
      <c r="AB6" s="15">
        <v>10</v>
      </c>
      <c r="AC6" s="15" t="s">
        <v>148</v>
      </c>
      <c r="AD6" s="15" t="s">
        <v>90</v>
      </c>
      <c r="AE6" s="15">
        <v>8</v>
      </c>
      <c r="AF6" s="15" t="s">
        <v>149</v>
      </c>
      <c r="AG6" s="15" t="s">
        <v>90</v>
      </c>
      <c r="AH6" s="15">
        <v>8</v>
      </c>
      <c r="AI6" s="15" t="s">
        <v>150</v>
      </c>
      <c r="AJ6" s="15" t="s">
        <v>90</v>
      </c>
      <c r="AK6" s="15">
        <v>5</v>
      </c>
      <c r="AL6" s="15" t="s">
        <v>151</v>
      </c>
      <c r="AM6" s="15" t="s">
        <v>90</v>
      </c>
      <c r="AN6" s="15">
        <v>7</v>
      </c>
      <c r="AO6" s="15" t="s">
        <v>152</v>
      </c>
      <c r="AP6" s="15" t="s">
        <v>90</v>
      </c>
      <c r="AQ6" s="15">
        <v>5</v>
      </c>
      <c r="AR6" s="15" t="s">
        <v>153</v>
      </c>
      <c r="AS6" s="15" t="s">
        <v>90</v>
      </c>
      <c r="AT6" s="15">
        <v>4</v>
      </c>
      <c r="AU6" s="15" t="s">
        <v>154</v>
      </c>
      <c r="AV6" s="15" t="s">
        <v>109</v>
      </c>
    </row>
    <row r="7" spans="1:48">
      <c r="A7" s="15">
        <v>8</v>
      </c>
      <c r="B7" s="15" t="s">
        <v>155</v>
      </c>
      <c r="C7" s="15" t="s">
        <v>90</v>
      </c>
      <c r="D7" s="15"/>
      <c r="E7" s="15" t="s">
        <v>156</v>
      </c>
      <c r="F7" s="15" t="s">
        <v>90</v>
      </c>
      <c r="G7" s="15"/>
      <c r="H7" s="15" t="s">
        <v>157</v>
      </c>
      <c r="I7" s="15" t="s">
        <v>90</v>
      </c>
      <c r="J7" s="15">
        <v>8</v>
      </c>
      <c r="K7" s="15" t="s">
        <v>158</v>
      </c>
      <c r="L7" s="15" t="s">
        <v>90</v>
      </c>
      <c r="M7" s="15">
        <v>10</v>
      </c>
      <c r="N7" s="15" t="s">
        <v>159</v>
      </c>
      <c r="O7" s="15" t="s">
        <v>109</v>
      </c>
      <c r="P7" s="15"/>
      <c r="Q7" s="15" t="s">
        <v>160</v>
      </c>
      <c r="R7" s="15" t="s">
        <v>90</v>
      </c>
      <c r="S7" s="15">
        <v>8</v>
      </c>
      <c r="T7" s="15" t="s">
        <v>161</v>
      </c>
      <c r="U7" s="15" t="s">
        <v>109</v>
      </c>
      <c r="V7" s="15">
        <v>19</v>
      </c>
      <c r="W7" s="15" t="s">
        <v>162</v>
      </c>
      <c r="X7" s="15" t="s">
        <v>90</v>
      </c>
      <c r="Y7" s="15">
        <v>6</v>
      </c>
      <c r="Z7" s="15" t="s">
        <v>163</v>
      </c>
      <c r="AA7" s="15" t="s">
        <v>90</v>
      </c>
      <c r="AB7" s="15">
        <v>15</v>
      </c>
      <c r="AC7" s="15" t="s">
        <v>104</v>
      </c>
      <c r="AD7" s="15" t="s">
        <v>90</v>
      </c>
      <c r="AE7" s="15">
        <v>9</v>
      </c>
      <c r="AF7" s="15" t="s">
        <v>164</v>
      </c>
      <c r="AG7" s="15" t="s">
        <v>90</v>
      </c>
      <c r="AH7" s="15">
        <v>10</v>
      </c>
      <c r="AI7" s="15" t="s">
        <v>165</v>
      </c>
      <c r="AJ7" s="15" t="s">
        <v>109</v>
      </c>
      <c r="AK7" s="15">
        <v>6</v>
      </c>
      <c r="AL7" s="15" t="s">
        <v>166</v>
      </c>
      <c r="AM7" s="15" t="s">
        <v>90</v>
      </c>
      <c r="AN7" s="15">
        <v>8</v>
      </c>
      <c r="AO7" s="15" t="s">
        <v>167</v>
      </c>
      <c r="AP7" s="15" t="s">
        <v>90</v>
      </c>
      <c r="AQ7" s="15">
        <v>7</v>
      </c>
      <c r="AR7" s="15" t="s">
        <v>168</v>
      </c>
      <c r="AS7" s="15" t="s">
        <v>90</v>
      </c>
      <c r="AT7" s="15">
        <v>5</v>
      </c>
      <c r="AU7" s="15" t="s">
        <v>169</v>
      </c>
      <c r="AV7" s="15" t="s">
        <v>90</v>
      </c>
    </row>
    <row r="8" spans="1:48">
      <c r="A8" s="15">
        <v>10</v>
      </c>
      <c r="B8" s="15" t="s">
        <v>170</v>
      </c>
      <c r="C8" s="15" t="s">
        <v>90</v>
      </c>
      <c r="D8" s="15"/>
      <c r="E8" s="15" t="s">
        <v>171</v>
      </c>
      <c r="F8" s="15" t="s">
        <v>90</v>
      </c>
      <c r="G8" s="15"/>
      <c r="H8" s="15" t="s">
        <v>172</v>
      </c>
      <c r="I8" s="15" t="s">
        <v>90</v>
      </c>
      <c r="J8" s="15">
        <v>9</v>
      </c>
      <c r="K8" s="15" t="s">
        <v>173</v>
      </c>
      <c r="L8" s="15" t="s">
        <v>90</v>
      </c>
      <c r="M8" s="15">
        <v>12</v>
      </c>
      <c r="N8" s="15" t="s">
        <v>174</v>
      </c>
      <c r="O8" s="15" t="s">
        <v>90</v>
      </c>
      <c r="P8" s="15"/>
      <c r="Q8" s="15" t="s">
        <v>175</v>
      </c>
      <c r="R8" s="15" t="s">
        <v>90</v>
      </c>
      <c r="S8" s="15">
        <v>9</v>
      </c>
      <c r="T8" s="15" t="s">
        <v>176</v>
      </c>
      <c r="U8" s="15" t="s">
        <v>90</v>
      </c>
      <c r="V8" s="15">
        <v>21</v>
      </c>
      <c r="W8" s="15" t="s">
        <v>177</v>
      </c>
      <c r="X8" s="15" t="s">
        <v>90</v>
      </c>
      <c r="Y8" s="15">
        <v>8</v>
      </c>
      <c r="Z8" s="15" t="s">
        <v>178</v>
      </c>
      <c r="AA8" s="15" t="s">
        <v>90</v>
      </c>
      <c r="AB8" s="15">
        <v>19</v>
      </c>
      <c r="AC8" s="15" t="s">
        <v>179</v>
      </c>
      <c r="AD8" s="15" t="s">
        <v>90</v>
      </c>
      <c r="AE8" s="15">
        <v>10</v>
      </c>
      <c r="AF8" s="15" t="s">
        <v>180</v>
      </c>
      <c r="AG8" s="15" t="s">
        <v>109</v>
      </c>
      <c r="AH8" s="15">
        <v>11</v>
      </c>
      <c r="AI8" s="15" t="s">
        <v>181</v>
      </c>
      <c r="AJ8" s="15" t="s">
        <v>90</v>
      </c>
      <c r="AK8" s="15">
        <v>7</v>
      </c>
      <c r="AL8" s="15" t="s">
        <v>182</v>
      </c>
      <c r="AM8" s="15" t="s">
        <v>90</v>
      </c>
      <c r="AN8" s="15">
        <v>9</v>
      </c>
      <c r="AO8" s="15" t="s">
        <v>183</v>
      </c>
      <c r="AP8" s="15" t="s">
        <v>90</v>
      </c>
      <c r="AQ8" s="15">
        <v>9</v>
      </c>
      <c r="AR8" s="15" t="s">
        <v>184</v>
      </c>
      <c r="AS8" s="15" t="s">
        <v>90</v>
      </c>
      <c r="AT8" s="15">
        <v>6</v>
      </c>
      <c r="AU8" s="15" t="s">
        <v>185</v>
      </c>
      <c r="AV8" s="15" t="s">
        <v>90</v>
      </c>
    </row>
    <row r="9" spans="1:48">
      <c r="A9" s="15">
        <v>11</v>
      </c>
      <c r="B9" s="15" t="s">
        <v>186</v>
      </c>
      <c r="C9" s="15" t="s">
        <v>90</v>
      </c>
      <c r="D9" s="15"/>
      <c r="E9" s="15" t="s">
        <v>187</v>
      </c>
      <c r="F9" s="15" t="s">
        <v>109</v>
      </c>
      <c r="G9" s="15"/>
      <c r="H9" s="15" t="s">
        <v>188</v>
      </c>
      <c r="I9" s="15" t="s">
        <v>90</v>
      </c>
      <c r="J9" s="15">
        <v>10</v>
      </c>
      <c r="K9" s="15" t="s">
        <v>189</v>
      </c>
      <c r="L9" s="15" t="s">
        <v>90</v>
      </c>
      <c r="M9" s="15">
        <v>15</v>
      </c>
      <c r="N9" s="15" t="s">
        <v>190</v>
      </c>
      <c r="O9" s="15" t="s">
        <v>90</v>
      </c>
      <c r="P9" s="15"/>
      <c r="Q9" s="15" t="s">
        <v>191</v>
      </c>
      <c r="R9" s="15" t="s">
        <v>90</v>
      </c>
      <c r="S9" s="15">
        <v>10</v>
      </c>
      <c r="T9" s="15" t="s">
        <v>192</v>
      </c>
      <c r="U9" s="15" t="s">
        <v>90</v>
      </c>
      <c r="V9" s="15"/>
      <c r="W9" s="15"/>
      <c r="X9" s="15"/>
      <c r="Y9" s="15">
        <v>10</v>
      </c>
      <c r="Z9" s="15" t="s">
        <v>193</v>
      </c>
      <c r="AA9" s="15" t="s">
        <v>90</v>
      </c>
      <c r="AB9" s="15">
        <v>21</v>
      </c>
      <c r="AC9" s="15" t="s">
        <v>194</v>
      </c>
      <c r="AD9" s="15" t="s">
        <v>90</v>
      </c>
      <c r="AE9" s="15">
        <v>11</v>
      </c>
      <c r="AF9" s="15" t="s">
        <v>195</v>
      </c>
      <c r="AG9" s="15" t="s">
        <v>90</v>
      </c>
      <c r="AH9" s="15">
        <v>19</v>
      </c>
      <c r="AI9" s="15" t="s">
        <v>196</v>
      </c>
      <c r="AJ9" s="15" t="s">
        <v>90</v>
      </c>
      <c r="AK9" s="15">
        <v>8</v>
      </c>
      <c r="AL9" s="15" t="s">
        <v>197</v>
      </c>
      <c r="AM9" s="15" t="s">
        <v>90</v>
      </c>
      <c r="AN9" s="15">
        <v>10</v>
      </c>
      <c r="AO9" s="15" t="s">
        <v>198</v>
      </c>
      <c r="AP9" s="15" t="s">
        <v>109</v>
      </c>
      <c r="AQ9" s="15">
        <v>10</v>
      </c>
      <c r="AR9" s="15" t="s">
        <v>199</v>
      </c>
      <c r="AS9" s="15" t="s">
        <v>109</v>
      </c>
      <c r="AT9" s="15">
        <v>8</v>
      </c>
      <c r="AU9" s="15" t="s">
        <v>200</v>
      </c>
      <c r="AV9" s="15" t="s">
        <v>90</v>
      </c>
    </row>
    <row r="10" spans="1:48">
      <c r="A10" s="15">
        <v>23</v>
      </c>
      <c r="B10" s="15" t="s">
        <v>201</v>
      </c>
      <c r="C10" s="15" t="s">
        <v>109</v>
      </c>
      <c r="D10" s="15"/>
      <c r="E10" s="15" t="s">
        <v>202</v>
      </c>
      <c r="F10" s="15" t="s">
        <v>90</v>
      </c>
      <c r="G10" s="15"/>
      <c r="H10" s="15" t="s">
        <v>203</v>
      </c>
      <c r="I10" s="15" t="s">
        <v>90</v>
      </c>
      <c r="J10" s="15">
        <v>11</v>
      </c>
      <c r="K10" s="15" t="s">
        <v>204</v>
      </c>
      <c r="L10" s="15" t="s">
        <v>109</v>
      </c>
      <c r="M10" s="15">
        <v>18</v>
      </c>
      <c r="N10" s="15" t="s">
        <v>205</v>
      </c>
      <c r="O10" s="15" t="s">
        <v>90</v>
      </c>
      <c r="P10" s="15"/>
      <c r="Q10" s="15" t="s">
        <v>206</v>
      </c>
      <c r="R10" s="15" t="s">
        <v>90</v>
      </c>
      <c r="S10" s="15">
        <v>11</v>
      </c>
      <c r="T10" s="15" t="s">
        <v>207</v>
      </c>
      <c r="U10" s="15" t="s">
        <v>90</v>
      </c>
      <c r="V10" s="15"/>
      <c r="W10" s="15"/>
      <c r="X10" s="15"/>
      <c r="Y10" s="15">
        <v>14</v>
      </c>
      <c r="Z10" s="15" t="s">
        <v>208</v>
      </c>
      <c r="AA10" s="15" t="s">
        <v>90</v>
      </c>
      <c r="AB10" s="15">
        <v>29</v>
      </c>
      <c r="AC10" s="15" t="s">
        <v>209</v>
      </c>
      <c r="AD10" s="15" t="s">
        <v>90</v>
      </c>
      <c r="AE10" s="15">
        <v>14</v>
      </c>
      <c r="AF10" s="15" t="s">
        <v>210</v>
      </c>
      <c r="AG10" s="15" t="s">
        <v>90</v>
      </c>
      <c r="AH10" s="15">
        <v>22</v>
      </c>
      <c r="AI10" s="15" t="s">
        <v>211</v>
      </c>
      <c r="AJ10" s="15" t="s">
        <v>90</v>
      </c>
      <c r="AK10" s="15">
        <v>9</v>
      </c>
      <c r="AL10" s="15" t="s">
        <v>212</v>
      </c>
      <c r="AM10" s="15" t="s">
        <v>90</v>
      </c>
      <c r="AN10" s="15">
        <v>14</v>
      </c>
      <c r="AO10" s="15" t="s">
        <v>213</v>
      </c>
      <c r="AP10" s="15" t="s">
        <v>90</v>
      </c>
      <c r="AQ10" s="15">
        <v>11</v>
      </c>
      <c r="AR10" s="15" t="s">
        <v>214</v>
      </c>
      <c r="AS10" s="15" t="s">
        <v>90</v>
      </c>
      <c r="AT10" s="15">
        <v>9</v>
      </c>
      <c r="AU10" s="15" t="s">
        <v>215</v>
      </c>
      <c r="AV10" s="15" t="s">
        <v>90</v>
      </c>
    </row>
    <row r="11" spans="1:48">
      <c r="A11" s="15">
        <v>69</v>
      </c>
      <c r="B11" s="15" t="s">
        <v>216</v>
      </c>
      <c r="C11" s="15" t="s">
        <v>90</v>
      </c>
      <c r="D11" s="15"/>
      <c r="E11" s="15" t="s">
        <v>217</v>
      </c>
      <c r="F11" s="15" t="s">
        <v>90</v>
      </c>
      <c r="G11" s="15"/>
      <c r="H11" s="15" t="s">
        <v>218</v>
      </c>
      <c r="I11" s="15" t="s">
        <v>90</v>
      </c>
      <c r="J11" s="15">
        <v>14</v>
      </c>
      <c r="K11" s="15" t="s">
        <v>219</v>
      </c>
      <c r="L11" s="15" t="s">
        <v>90</v>
      </c>
      <c r="M11" s="15">
        <v>71</v>
      </c>
      <c r="N11" s="15" t="s">
        <v>220</v>
      </c>
      <c r="O11" s="15" t="s">
        <v>90</v>
      </c>
      <c r="P11" s="15"/>
      <c r="Q11" s="15" t="s">
        <v>221</v>
      </c>
      <c r="R11" s="15" t="s">
        <v>90</v>
      </c>
      <c r="S11" s="15">
        <v>13</v>
      </c>
      <c r="T11" s="15" t="s">
        <v>222</v>
      </c>
      <c r="U11" s="15" t="s">
        <v>90</v>
      </c>
      <c r="V11" s="15"/>
      <c r="W11" s="15"/>
      <c r="X11" s="15"/>
      <c r="Y11" s="15"/>
      <c r="Z11" s="15"/>
      <c r="AA11" s="15"/>
      <c r="AB11" s="15">
        <v>63</v>
      </c>
      <c r="AC11" s="15" t="s">
        <v>223</v>
      </c>
      <c r="AD11" s="15" t="s">
        <v>109</v>
      </c>
      <c r="AE11" s="15">
        <v>18</v>
      </c>
      <c r="AF11" s="15" t="s">
        <v>224</v>
      </c>
      <c r="AG11" s="15" t="s">
        <v>90</v>
      </c>
      <c r="AH11" s="15">
        <v>45</v>
      </c>
      <c r="AI11" s="15" t="s">
        <v>225</v>
      </c>
      <c r="AJ11" s="15" t="s">
        <v>90</v>
      </c>
      <c r="AK11" s="15">
        <v>10</v>
      </c>
      <c r="AL11" s="15" t="s">
        <v>226</v>
      </c>
      <c r="AM11" s="15" t="s">
        <v>90</v>
      </c>
      <c r="AN11" s="15">
        <v>17</v>
      </c>
      <c r="AO11" s="15" t="s">
        <v>227</v>
      </c>
      <c r="AP11" s="15" t="s">
        <v>90</v>
      </c>
      <c r="AQ11" s="15">
        <v>23</v>
      </c>
      <c r="AR11" s="15" t="s">
        <v>228</v>
      </c>
      <c r="AS11" s="15" t="s">
        <v>90</v>
      </c>
      <c r="AT11" s="15">
        <v>10</v>
      </c>
      <c r="AU11" s="15" t="s">
        <v>229</v>
      </c>
      <c r="AV11" s="15" t="s">
        <v>90</v>
      </c>
    </row>
    <row r="12" spans="1:48">
      <c r="A12" s="15">
        <v>90</v>
      </c>
      <c r="B12" s="15" t="s">
        <v>230</v>
      </c>
      <c r="C12" s="15" t="s">
        <v>90</v>
      </c>
      <c r="D12" s="15"/>
      <c r="E12" s="15" t="s">
        <v>231</v>
      </c>
      <c r="F12" s="15" t="s">
        <v>90</v>
      </c>
      <c r="G12" s="15"/>
      <c r="H12" s="15" t="s">
        <v>232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233</v>
      </c>
      <c r="R12" s="15" t="s">
        <v>109</v>
      </c>
      <c r="S12" s="15">
        <v>14</v>
      </c>
      <c r="T12" s="15" t="s">
        <v>234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235</v>
      </c>
      <c r="AD12" s="15" t="s">
        <v>90</v>
      </c>
      <c r="AE12" s="15">
        <v>20</v>
      </c>
      <c r="AF12" s="15" t="s">
        <v>236</v>
      </c>
      <c r="AG12" s="15" t="s">
        <v>90</v>
      </c>
      <c r="AH12" s="15">
        <v>67</v>
      </c>
      <c r="AI12" s="15" t="s">
        <v>237</v>
      </c>
      <c r="AJ12" s="15" t="s">
        <v>90</v>
      </c>
      <c r="AK12" s="15">
        <v>11</v>
      </c>
      <c r="AL12" s="15" t="s">
        <v>238</v>
      </c>
      <c r="AM12" s="15" t="s">
        <v>109</v>
      </c>
      <c r="AN12" s="15">
        <v>21</v>
      </c>
      <c r="AO12" s="15" t="s">
        <v>239</v>
      </c>
      <c r="AP12" s="15" t="s">
        <v>90</v>
      </c>
      <c r="AQ12" s="15">
        <v>28</v>
      </c>
      <c r="AR12" s="15" t="s">
        <v>240</v>
      </c>
      <c r="AS12" s="15" t="s">
        <v>90</v>
      </c>
      <c r="AT12" s="15">
        <v>11</v>
      </c>
      <c r="AU12" s="15" t="s">
        <v>241</v>
      </c>
      <c r="AV12" s="15" t="s">
        <v>90</v>
      </c>
    </row>
    <row r="13" spans="1:48">
      <c r="A13" s="15"/>
      <c r="B13" s="15"/>
      <c r="C13" s="15"/>
      <c r="D13" s="15"/>
      <c r="E13" s="15"/>
      <c r="F13" s="15"/>
      <c r="G13" s="15"/>
      <c r="H13" s="15" t="s">
        <v>242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243</v>
      </c>
      <c r="R13" s="15" t="s">
        <v>90</v>
      </c>
      <c r="S13" s="15">
        <v>17</v>
      </c>
      <c r="T13" s="15" t="s">
        <v>244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245</v>
      </c>
      <c r="AM13" s="15" t="s">
        <v>90</v>
      </c>
      <c r="AN13" s="15"/>
      <c r="AO13" s="15"/>
      <c r="AP13" s="15"/>
      <c r="AQ13" s="15"/>
      <c r="AR13" s="15"/>
      <c r="AS13" s="15"/>
      <c r="AT13" s="15"/>
      <c r="AU13" s="15"/>
      <c r="AV13" s="15"/>
    </row>
    <row r="14" spans="1:48">
      <c r="A14" s="15"/>
      <c r="B14" s="15"/>
      <c r="C14" s="15"/>
      <c r="D14" s="15"/>
      <c r="E14" s="15"/>
      <c r="F14" s="15"/>
      <c r="G14" s="15"/>
      <c r="H14" s="15" t="s">
        <v>246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3.8"/>
  <cols>
    <col min="1" max="6" width="24" customWidth="1"/>
    <col min="7" max="7" width="34" customWidth="1"/>
  </cols>
  <sheetData>
    <row r="1" spans="1:26">
      <c r="A1" s="5" t="s">
        <v>247</v>
      </c>
      <c r="B1" s="5" t="s">
        <v>0</v>
      </c>
      <c r="C1" s="5" t="s">
        <v>2</v>
      </c>
      <c r="D1" s="5" t="s">
        <v>248</v>
      </c>
      <c r="E1" s="5" t="s">
        <v>249</v>
      </c>
      <c r="F1" s="5" t="s">
        <v>250</v>
      </c>
      <c r="G1" s="5" t="s">
        <v>251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DAVIDE GHIRARDI</v>
      </c>
      <c r="F8" t="str">
        <f>IF(E8="","",Rosters!C9)</f>
        <v>No</v>
      </c>
      <c r="G8" t="str">
        <f t="shared" si="1"/>
        <v>11 - DAVIDE GHIRARDI</v>
      </c>
    </row>
    <row r="9" spans="1:26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MANUEL MEDEA</v>
      </c>
      <c r="F11" t="str">
        <f>IF(E11="","",Rosters!C12)</f>
        <v>No</v>
      </c>
      <c r="G11" t="str">
        <f t="shared" si="1"/>
        <v>90 - MANUEL MEDEA</v>
      </c>
    </row>
    <row r="12" spans="1:26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NICOLÒ ANDOLFO</v>
      </c>
      <c r="F35" t="str">
        <f>IF(E35="","",Rosters!F6)</f>
        <v>No</v>
      </c>
      <c r="G35" t="str">
        <f t="shared" si="1"/>
        <v>0 - NICOLÒ ANDOLFO</v>
      </c>
    </row>
    <row r="36" spans="1:7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FILIPPO ZANFORLIN</v>
      </c>
      <c r="F62" t="str">
        <f>IF(E62="","",Rosters!I3)</f>
        <v>No</v>
      </c>
      <c r="G62" t="str">
        <f t="shared" si="1"/>
        <v>0 - FILIPPO ZANFORLIN</v>
      </c>
    </row>
    <row r="63" spans="1:7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LORENZO NOVENTA</v>
      </c>
      <c r="F66" t="str">
        <f>IF(E66="","",Rosters!I7)</f>
        <v>No</v>
      </c>
      <c r="G66" t="str">
        <f t="shared" ref="G66:G129" si="3">IF(E66="","",IF(D66="","",D66&amp;" - ")&amp;E66&amp;IF(F66="Yes"," (C)",""))</f>
        <v>0 - LORENZO NOVENTA</v>
      </c>
    </row>
    <row r="67" spans="1:7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>
      <c r="A74" t="str">
        <f t="shared" si="2"/>
        <v/>
      </c>
      <c r="B74" t="str">
        <f>IF(E74="","",Teams!A4)</f>
        <v/>
      </c>
      <c r="C74" t="str">
        <f>IF(E74="","",Teams!C4)</f>
        <v/>
      </c>
      <c r="D74" t="str">
        <f>IF(E74="","",Rosters!G15)</f>
        <v/>
      </c>
      <c r="E74" t="str">
        <f>IF(Rosters!H15="","",Rosters!H15)</f>
        <v/>
      </c>
      <c r="F74" t="str">
        <f>IF(E74="","",Rosters!I15)</f>
        <v/>
      </c>
      <c r="G74" t="str">
        <f t="shared" si="3"/>
        <v/>
      </c>
    </row>
    <row r="75" spans="1:7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17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17 - NICOLA BARONI</v>
      </c>
    </row>
    <row r="193" spans="1:7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ANDREA BARZAGHIDEANU</v>
      </c>
      <c r="F248" t="str">
        <f>IF(E248="","",Rosters!AA9)</f>
        <v>No</v>
      </c>
      <c r="G248" t="str">
        <f t="shared" si="7"/>
        <v>10 - ANDREA BARZAGHIDEANU</v>
      </c>
    </row>
    <row r="249" spans="1:7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>
      <c r="A250" t="str">
        <f t="shared" si="6"/>
        <v/>
      </c>
      <c r="B250" t="str">
        <f>IF(E250="","",Teams!A10)</f>
        <v/>
      </c>
      <c r="C250" t="str">
        <f>IF(E250="","",Teams!C10)</f>
        <v/>
      </c>
      <c r="D250" t="str">
        <f>IF(E250="","",Rosters!Y11)</f>
        <v/>
      </c>
      <c r="E250" t="str">
        <f>IF(Rosters!Z11="","",Rosters!Z11)</f>
        <v/>
      </c>
      <c r="F250" t="str">
        <f>IF(E250="","",Rosters!AA11)</f>
        <v/>
      </c>
      <c r="G250" t="str">
        <f t="shared" si="7"/>
        <v/>
      </c>
    </row>
    <row r="251" spans="1:7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TOMMASO FERRARESI</v>
      </c>
      <c r="F273" t="str">
        <f>IF(E273="","",Rosters!AD4)</f>
        <v>No</v>
      </c>
      <c r="G273" t="str">
        <f t="shared" si="9"/>
        <v>7 - TOMMASO FERRARESI</v>
      </c>
    </row>
    <row r="274" spans="1:7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AARON PROVITO</v>
      </c>
      <c r="F275" t="str">
        <f>IF(E275="","",Rosters!AD6)</f>
        <v>No</v>
      </c>
      <c r="G275" t="str">
        <f t="shared" si="9"/>
        <v>10 - AARON PROVITO</v>
      </c>
    </row>
    <row r="276" spans="1:7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>
      <c r="A462" t="str">
        <f t="shared" si="14"/>
        <v/>
      </c>
      <c r="B462" t="str">
        <f>IF(E462="","",Teams!A17)</f>
        <v/>
      </c>
      <c r="C462" t="str">
        <f>IF(E462="","",Teams!C17)</f>
        <v/>
      </c>
      <c r="D462" t="str">
        <f>IF(E462="","",Rosters!AT13)</f>
        <v/>
      </c>
      <c r="E462" t="str">
        <f>IF(Rosters!AU13="","",Rosters!AU13)</f>
        <v/>
      </c>
      <c r="F462" t="str">
        <f>IF(E462="","",Rosters!AV13)</f>
        <v/>
      </c>
      <c r="G462" t="str">
        <f t="shared" si="15"/>
        <v/>
      </c>
    </row>
    <row r="463" spans="1:7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1" workbookViewId="0">
      <selection activeCell="I10" sqref="I10"/>
    </sheetView>
  </sheetViews>
  <sheetFormatPr defaultRowHeight="13.8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8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261</v>
      </c>
      <c r="M1" s="5" t="s">
        <v>262</v>
      </c>
      <c r="N1" s="5" t="s">
        <v>263</v>
      </c>
      <c r="O1" s="5" t="s">
        <v>264</v>
      </c>
      <c r="P1" s="5" t="s">
        <v>265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266</v>
      </c>
      <c r="B2" t="s">
        <v>1</v>
      </c>
      <c r="C2" t="s">
        <v>32</v>
      </c>
      <c r="D2">
        <v>1</v>
      </c>
      <c r="E2" t="s">
        <v>267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>
      <c r="A3" t="s">
        <v>268</v>
      </c>
      <c r="B3" t="s">
        <v>1</v>
      </c>
      <c r="C3" t="s">
        <v>32</v>
      </c>
      <c r="D3">
        <v>1</v>
      </c>
      <c r="E3" t="s">
        <v>269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>
      <c r="A4" t="s">
        <v>270</v>
      </c>
      <c r="B4" t="s">
        <v>1</v>
      </c>
      <c r="C4" t="s">
        <v>14</v>
      </c>
      <c r="D4">
        <v>1</v>
      </c>
      <c r="E4" t="s">
        <v>271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>
      <c r="A5" t="s">
        <v>272</v>
      </c>
      <c r="B5" t="s">
        <v>1</v>
      </c>
      <c r="C5" t="s">
        <v>23</v>
      </c>
      <c r="D5">
        <v>1</v>
      </c>
      <c r="E5" t="s">
        <v>267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>
      <c r="A6" t="s">
        <v>273</v>
      </c>
      <c r="B6" t="s">
        <v>1</v>
      </c>
      <c r="C6" t="s">
        <v>23</v>
      </c>
      <c r="D6">
        <v>1</v>
      </c>
      <c r="E6" t="s">
        <v>269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>
      <c r="A7" t="s">
        <v>274</v>
      </c>
      <c r="B7" t="s">
        <v>1</v>
      </c>
      <c r="C7" t="s">
        <v>14</v>
      </c>
      <c r="D7">
        <v>1</v>
      </c>
      <c r="E7" t="s">
        <v>271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>
      <c r="A8" t="s">
        <v>275</v>
      </c>
      <c r="B8" t="s">
        <v>1</v>
      </c>
      <c r="C8" t="s">
        <v>5</v>
      </c>
      <c r="D8">
        <v>1</v>
      </c>
      <c r="E8" t="s">
        <v>267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>
      <c r="A9" t="s">
        <v>276</v>
      </c>
      <c r="B9" t="s">
        <v>1</v>
      </c>
      <c r="C9" t="s">
        <v>5</v>
      </c>
      <c r="D9">
        <v>1</v>
      </c>
      <c r="E9" t="s">
        <v>269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>
      <c r="A10" t="s">
        <v>277</v>
      </c>
      <c r="B10" t="s">
        <v>1</v>
      </c>
      <c r="C10" t="s">
        <v>32</v>
      </c>
      <c r="D10">
        <v>2</v>
      </c>
      <c r="E10" t="s">
        <v>271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>
      <c r="A11" t="s">
        <v>278</v>
      </c>
      <c r="B11" t="s">
        <v>1</v>
      </c>
      <c r="C11" t="s">
        <v>14</v>
      </c>
      <c r="D11">
        <v>2</v>
      </c>
      <c r="E11" t="s">
        <v>267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>
      <c r="A12" t="s">
        <v>279</v>
      </c>
      <c r="B12" t="s">
        <v>1</v>
      </c>
      <c r="C12" t="s">
        <v>14</v>
      </c>
      <c r="D12">
        <v>2</v>
      </c>
      <c r="E12" t="s">
        <v>269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>
      <c r="A13" t="s">
        <v>280</v>
      </c>
      <c r="B13" t="s">
        <v>1</v>
      </c>
      <c r="C13" t="s">
        <v>32</v>
      </c>
      <c r="D13">
        <v>2</v>
      </c>
      <c r="E13" t="s">
        <v>271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>
      <c r="A14" t="s">
        <v>281</v>
      </c>
      <c r="B14" t="s">
        <v>1</v>
      </c>
      <c r="C14" t="s">
        <v>23</v>
      </c>
      <c r="D14">
        <v>2</v>
      </c>
      <c r="E14" t="s">
        <v>267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>
      <c r="A15" t="s">
        <v>282</v>
      </c>
      <c r="B15" t="s">
        <v>1</v>
      </c>
      <c r="C15" t="s">
        <v>23</v>
      </c>
      <c r="D15">
        <v>2</v>
      </c>
      <c r="E15" t="s">
        <v>269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>
      <c r="A16" t="s">
        <v>283</v>
      </c>
      <c r="B16" t="s">
        <v>1</v>
      </c>
      <c r="C16" t="s">
        <v>5</v>
      </c>
      <c r="D16">
        <v>2</v>
      </c>
      <c r="E16" t="s">
        <v>271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>
      <c r="A17" t="s">
        <v>284</v>
      </c>
      <c r="B17" t="s">
        <v>1</v>
      </c>
      <c r="C17" t="s">
        <v>32</v>
      </c>
      <c r="D17">
        <v>3</v>
      </c>
      <c r="E17" t="s">
        <v>267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>
      <c r="A18" t="s">
        <v>285</v>
      </c>
      <c r="B18" t="s">
        <v>1</v>
      </c>
      <c r="C18" t="s">
        <v>32</v>
      </c>
      <c r="D18">
        <v>3</v>
      </c>
      <c r="E18" t="s">
        <v>269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>
      <c r="A19" t="s">
        <v>286</v>
      </c>
      <c r="B19" t="s">
        <v>1</v>
      </c>
      <c r="C19" t="s">
        <v>5</v>
      </c>
      <c r="D19">
        <v>2</v>
      </c>
      <c r="E19" t="s">
        <v>271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>
      <c r="A20" t="s">
        <v>287</v>
      </c>
      <c r="B20" t="s">
        <v>1</v>
      </c>
      <c r="C20" t="s">
        <v>14</v>
      </c>
      <c r="D20">
        <v>3</v>
      </c>
      <c r="E20" t="s">
        <v>267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>
      <c r="A21" t="s">
        <v>288</v>
      </c>
      <c r="B21" t="s">
        <v>1</v>
      </c>
      <c r="C21" t="s">
        <v>14</v>
      </c>
      <c r="D21">
        <v>3</v>
      </c>
      <c r="E21" t="s">
        <v>269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>
      <c r="A22" t="s">
        <v>289</v>
      </c>
      <c r="B22" t="s">
        <v>1</v>
      </c>
      <c r="C22" t="s">
        <v>23</v>
      </c>
      <c r="D22">
        <v>3</v>
      </c>
      <c r="E22" t="s">
        <v>271</v>
      </c>
      <c r="F22" s="10">
        <v>0.69930555555555551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>
      <c r="A23" t="s">
        <v>290</v>
      </c>
      <c r="B23" t="s">
        <v>1</v>
      </c>
      <c r="C23" t="s">
        <v>5</v>
      </c>
      <c r="D23">
        <v>3</v>
      </c>
      <c r="E23" t="s">
        <v>267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>
      <c r="A24" t="s">
        <v>291</v>
      </c>
      <c r="B24" t="s">
        <v>1</v>
      </c>
      <c r="C24" t="s">
        <v>5</v>
      </c>
      <c r="D24">
        <v>3</v>
      </c>
      <c r="E24" t="s">
        <v>269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>
      <c r="A25" t="s">
        <v>292</v>
      </c>
      <c r="B25" t="s">
        <v>1</v>
      </c>
      <c r="C25" t="s">
        <v>23</v>
      </c>
      <c r="D25">
        <v>3</v>
      </c>
      <c r="E25" t="s">
        <v>271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G17" sqref="G17"/>
    </sheetView>
  </sheetViews>
  <sheetFormatPr defaultRowHeight="13.8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301</v>
      </c>
    </row>
    <row r="3" spans="1:26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/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/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/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3.8"/>
  <cols>
    <col min="1" max="2" width="28" customWidth="1"/>
    <col min="3" max="3" width="38" customWidth="1"/>
    <col min="4" max="5" width="28" customWidth="1"/>
  </cols>
  <sheetData>
    <row r="1" spans="1:26">
      <c r="A1" s="5" t="s">
        <v>295</v>
      </c>
      <c r="B1" s="5" t="s">
        <v>302</v>
      </c>
      <c r="C1" s="5" t="s">
        <v>251</v>
      </c>
      <c r="D1" s="5" t="s">
        <v>303</v>
      </c>
      <c r="E1" s="5" t="s">
        <v>304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>
      <c r="A8" t="str">
        <f>IF(Players!E8="","",Players!E8)</f>
        <v>DAVIDE GHIRARDI</v>
      </c>
      <c r="B8" t="str">
        <f>IF(A8="","",Players!C8)</f>
        <v>Fatine FC</v>
      </c>
      <c r="C8" t="str">
        <f>IF(A8="","",Players!G8)</f>
        <v>11 - DAVIDE GHIRARDI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>
      <c r="A11" t="str">
        <f>IF(Players!E11="","",Players!E11)</f>
        <v>MANUEL MEDEA</v>
      </c>
      <c r="B11" t="str">
        <f>IF(A11="","",Players!C11)</f>
        <v>Fatine FC</v>
      </c>
      <c r="C11" t="str">
        <f>IF(A11="","",Players!G11)</f>
        <v>90 - MANUEL MEDEA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>
      <c r="A35" t="str">
        <f>IF(Players!E35="","",Players!E35)</f>
        <v>NICOLÒ ANDOLFO</v>
      </c>
      <c r="B35" t="str">
        <f>IF(A35="","",Players!C35)</f>
        <v>FC Internazionale Rovigo</v>
      </c>
      <c r="C35" t="str">
        <f>IF(A35="","",Players!G35)</f>
        <v>0 - NICOLÒ ANDOLFO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>
      <c r="A62" t="str">
        <f>IF(Players!E62="","",Players!E62)</f>
        <v>FILIPPO ZANFORLIN</v>
      </c>
      <c r="B62" t="str">
        <f>IF(A62="","",Players!C62)</f>
        <v>Moviola Utd</v>
      </c>
      <c r="C62" t="str">
        <f>IF(A62="","",Players!G62)</f>
        <v>0 - FILIPPO ZANFORLIN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>
      <c r="A66" t="str">
        <f>IF(Players!E66="","",Players!E66)</f>
        <v>LORENZO NOVENTA</v>
      </c>
      <c r="B66" t="str">
        <f>IF(A66="","",Players!C66)</f>
        <v>Moviola Utd</v>
      </c>
      <c r="C66" t="str">
        <f>IF(A66="","",Players!G66)</f>
        <v>0 - LORENZO NOVENTA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>
      <c r="A74" t="str">
        <f>IF(Players!E74="","",Players!E74)</f>
        <v/>
      </c>
      <c r="B74" t="str">
        <f>IF(A74="","",Players!C74)</f>
        <v/>
      </c>
      <c r="C74" t="str">
        <f>IF(A74="","",Players!G74)</f>
        <v/>
      </c>
      <c r="D74" t="str">
        <f>IF(A74="","",COUNTIFS(Goals!$D$2:$D$289,"Goal",Goals!$E$2:$E$289,"*"&amp;A74&amp;"*",Goals!$F$2:$F$289,B74)+COUNTIFS(KnockoutGoals!$D$2:$D$85,"Goal",KnockoutGoals!$E$2:$E$85,"*"&amp;A74&amp;"*",KnockoutGoals!$F$2:$F$85,B74))</f>
        <v/>
      </c>
      <c r="E74">
        <f t="shared" si="1"/>
        <v>0</v>
      </c>
    </row>
    <row r="75" spans="1:5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17 -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>
      <c r="A248" t="str">
        <f>IF(Players!E248="","",Players!E248)</f>
        <v>ANDREA BARZAGHIDEANU</v>
      </c>
      <c r="B248" t="str">
        <f>IF(A248="","",Players!C248)</f>
        <v>Leoni di Ricky</v>
      </c>
      <c r="C248" t="str">
        <f>IF(A248="","",Players!G248)</f>
        <v>10 - ANDREA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>
      <c r="A250" t="str">
        <f>IF(Players!E250="","",Players!E250)</f>
        <v/>
      </c>
      <c r="B250" t="str">
        <f>IF(A250="","",Players!C250)</f>
        <v/>
      </c>
      <c r="C250" t="str">
        <f>IF(A250="","",Players!G250)</f>
        <v/>
      </c>
      <c r="D250" t="str">
        <f>IF(A250="","",COUNTIFS(Goals!$D$2:$D$289,"Goal",Goals!$E$2:$E$289,"*"&amp;A250&amp;"*",Goals!$F$2:$F$289,B250)+COUNTIFS(KnockoutGoals!$D$2:$D$85,"Goal",KnockoutGoals!$E$2:$E$85,"*"&amp;A250&amp;"*",KnockoutGoals!$F$2:$F$85,B250))</f>
        <v/>
      </c>
      <c r="E250">
        <f t="shared" si="3"/>
        <v>0</v>
      </c>
    </row>
    <row r="251" spans="1:5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>
      <c r="A273" t="str">
        <f>IF(Players!E273="","",Players!E273)</f>
        <v>TOMMASO FERRARESI</v>
      </c>
      <c r="B273" t="str">
        <f>IF(A273="","",Players!C273)</f>
        <v>Pink 5ive</v>
      </c>
      <c r="C273" t="str">
        <f>IF(A273="","",Players!G273)</f>
        <v>7 - TOMMASO FERRARESI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>
      <c r="A275" t="str">
        <f>IF(Players!E275="","",Players!E275)</f>
        <v>AARON PROVITO</v>
      </c>
      <c r="B275" t="str">
        <f>IF(A275="","",Players!C275)</f>
        <v>Pink 5ive</v>
      </c>
      <c r="C275" t="str">
        <f>IF(A275="","",Players!G275)</f>
        <v>10 - AARON PROVITO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>
      <c r="A462" t="str">
        <f>IF(Players!E462="","",Players!E462)</f>
        <v/>
      </c>
      <c r="B462" t="str">
        <f>IF(A462="","",Players!C462)</f>
        <v/>
      </c>
      <c r="C462" t="str">
        <f>IF(A462="","",Players!G462)</f>
        <v/>
      </c>
      <c r="D462" t="str">
        <f>IF(A462="","",COUNTIFS(Goals!$D$2:$D$289,"Goal",Goals!$E$2:$E$289,"*"&amp;A462&amp;"*",Goals!$F$2:$F$289,B462)+COUNTIFS(KnockoutGoals!$D$2:$D$85,"Goal",KnockoutGoals!$E$2:$E$85,"*"&amp;A462&amp;"*",KnockoutGoals!$F$2:$F$85,B462))</f>
        <v/>
      </c>
      <c r="E462">
        <f t="shared" si="7"/>
        <v>0</v>
      </c>
    </row>
    <row r="463" spans="1:5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3.8"/>
  <cols>
    <col min="1" max="4" width="28" customWidth="1"/>
  </cols>
  <sheetData>
    <row r="1" spans="1:26">
      <c r="A1" s="5" t="s">
        <v>305</v>
      </c>
      <c r="B1" s="5" t="s">
        <v>295</v>
      </c>
      <c r="C1" s="5" t="s">
        <v>302</v>
      </c>
      <c r="D1" s="5" t="s">
        <v>303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3.8"/>
  <cols>
    <col min="1" max="1" width="14" customWidth="1"/>
    <col min="2" max="2" width="28" customWidth="1"/>
    <col min="3" max="13" width="14" customWidth="1"/>
  </cols>
  <sheetData>
    <row r="1" spans="1:26">
      <c r="A1" s="5" t="s">
        <v>1</v>
      </c>
      <c r="B1" s="5" t="s">
        <v>302</v>
      </c>
      <c r="C1" s="5" t="s">
        <v>306</v>
      </c>
      <c r="D1" s="5" t="s">
        <v>307</v>
      </c>
      <c r="E1" s="5" t="s">
        <v>308</v>
      </c>
      <c r="F1" s="5" t="s">
        <v>309</v>
      </c>
      <c r="G1" s="5" t="s">
        <v>310</v>
      </c>
      <c r="H1" s="5" t="s">
        <v>311</v>
      </c>
      <c r="I1" s="5" t="s">
        <v>312</v>
      </c>
      <c r="J1" s="5" t="s">
        <v>313</v>
      </c>
      <c r="K1" s="5" t="s">
        <v>314</v>
      </c>
      <c r="L1" s="5" t="s">
        <v>315</v>
      </c>
      <c r="M1" s="5" t="s">
        <v>304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3.8"/>
  <cols>
    <col min="1" max="2" width="12" customWidth="1"/>
    <col min="3" max="3" width="30" customWidth="1"/>
    <col min="4" max="12" width="12" customWidth="1"/>
  </cols>
  <sheetData>
    <row r="1" spans="1:26">
      <c r="A1" s="5" t="s">
        <v>1</v>
      </c>
      <c r="B1" s="5" t="s">
        <v>305</v>
      </c>
      <c r="C1" s="5" t="s">
        <v>302</v>
      </c>
      <c r="D1" s="5" t="s">
        <v>316</v>
      </c>
      <c r="E1" s="5" t="s">
        <v>317</v>
      </c>
      <c r="F1" s="5" t="s">
        <v>318</v>
      </c>
      <c r="G1" s="5" t="s">
        <v>319</v>
      </c>
      <c r="H1" s="5" t="s">
        <v>320</v>
      </c>
      <c r="I1" s="5" t="s">
        <v>321</v>
      </c>
      <c r="J1" s="5" t="s">
        <v>311</v>
      </c>
      <c r="K1" s="5" t="s">
        <v>312</v>
      </c>
      <c r="L1" s="5" t="s">
        <v>313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K9" sqref="K9"/>
    </sheetView>
  </sheetViews>
  <sheetFormatPr defaultRowHeight="13.8"/>
  <cols>
    <col min="1" max="6" width="18" customWidth="1"/>
    <col min="7" max="8" width="28" customWidth="1"/>
    <col min="9" max="13" width="18" customWidth="1"/>
  </cols>
  <sheetData>
    <row r="1" spans="1:26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5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264</v>
      </c>
      <c r="M1" s="5" t="s">
        <v>265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322</v>
      </c>
      <c r="B2" t="s">
        <v>323</v>
      </c>
      <c r="E2" t="s">
        <v>267</v>
      </c>
      <c r="F2" s="12">
        <v>0.74027777777777781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>
      <c r="A3" t="s">
        <v>324</v>
      </c>
      <c r="B3" t="s">
        <v>323</v>
      </c>
      <c r="E3" t="s">
        <v>269</v>
      </c>
      <c r="F3" s="12" t="s">
        <v>325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>
      <c r="A4" t="s">
        <v>326</v>
      </c>
      <c r="B4" t="s">
        <v>323</v>
      </c>
      <c r="E4" t="s">
        <v>267</v>
      </c>
      <c r="F4" s="12" t="s">
        <v>327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>
      <c r="A5" t="s">
        <v>328</v>
      </c>
      <c r="B5" t="s">
        <v>323</v>
      </c>
      <c r="E5" t="s">
        <v>269</v>
      </c>
      <c r="F5" s="12" t="s">
        <v>327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>
      <c r="A6" t="s">
        <v>329</v>
      </c>
      <c r="B6" t="s">
        <v>330</v>
      </c>
      <c r="E6" t="s">
        <v>267</v>
      </c>
      <c r="F6" s="12" t="s">
        <v>331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>
      <c r="A7" t="s">
        <v>332</v>
      </c>
      <c r="B7" t="s">
        <v>330</v>
      </c>
      <c r="E7" t="s">
        <v>269</v>
      </c>
      <c r="F7" s="12" t="s">
        <v>331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>
      <c r="A8" t="s">
        <v>333</v>
      </c>
      <c r="B8" t="s">
        <v>334</v>
      </c>
      <c r="F8" s="12">
        <v>0.4548611111111111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75" activePane="bottomLeft" state="frozen"/>
      <selection pane="bottomLeft" activeCell="F84" sqref="F84"/>
    </sheetView>
  </sheetViews>
  <sheetFormatPr defaultRowHeight="13.8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335</v>
      </c>
    </row>
    <row r="3" spans="1:26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workbookViewId="0">
      <selection activeCell="A2" sqref="A2:C6"/>
    </sheetView>
  </sheetViews>
  <sheetFormatPr defaultRowHeight="13.8"/>
  <cols>
    <col min="1" max="1" width="24.796875" customWidth="1"/>
    <col min="2" max="2" width="28.796875" customWidth="1"/>
    <col min="3" max="3" width="12.796875" customWidth="1"/>
  </cols>
  <sheetData>
    <row r="1" spans="1:3" ht="25.05" customHeight="1">
      <c r="A1" s="17" t="s">
        <v>397</v>
      </c>
      <c r="B1" s="17" t="s">
        <v>398</v>
      </c>
      <c r="C1" s="17" t="s">
        <v>399</v>
      </c>
    </row>
    <row r="2" spans="1:3">
      <c r="A2" s="18"/>
      <c r="B2" s="18"/>
      <c r="C2" s="19"/>
    </row>
    <row r="3" spans="1:3">
      <c r="A3" s="18"/>
      <c r="B3" s="18"/>
      <c r="C3" s="19"/>
    </row>
    <row r="4" spans="1:3">
      <c r="A4" s="18"/>
      <c r="B4" s="18"/>
      <c r="C4" s="19"/>
    </row>
    <row r="5" spans="1:3">
      <c r="A5" s="18"/>
      <c r="B5" s="18"/>
      <c r="C5" s="19"/>
    </row>
    <row r="6" spans="1:3">
      <c r="A6" s="18"/>
      <c r="B6" s="18"/>
      <c r="C6" s="19"/>
    </row>
    <row r="7" spans="1:3">
      <c r="A7" s="18"/>
      <c r="B7" s="18"/>
      <c r="C7" s="19"/>
    </row>
    <row r="8" spans="1:3">
      <c r="A8" s="18"/>
      <c r="B8" s="18"/>
      <c r="C8" s="19"/>
    </row>
    <row r="9" spans="1:3">
      <c r="A9" s="18"/>
      <c r="B9" s="18"/>
      <c r="C9" s="19"/>
    </row>
    <row r="10" spans="1:3">
      <c r="A10" s="18"/>
      <c r="B10" s="18"/>
      <c r="C10" s="19"/>
    </row>
    <row r="11" spans="1:3">
      <c r="A11" s="18"/>
      <c r="B11" s="18"/>
      <c r="C11" s="19"/>
    </row>
    <row r="12" spans="1:3">
      <c r="A12" s="18"/>
      <c r="B12" s="18"/>
      <c r="C12" s="19"/>
    </row>
    <row r="13" spans="1:3">
      <c r="A13" s="18"/>
      <c r="B13" s="18"/>
      <c r="C13" s="19"/>
    </row>
    <row r="14" spans="1:3">
      <c r="A14" s="18"/>
      <c r="B14" s="18"/>
      <c r="C14" s="19"/>
    </row>
    <row r="15" spans="1:3">
      <c r="A15" s="18"/>
      <c r="B15" s="18"/>
      <c r="C15" s="19"/>
    </row>
    <row r="16" spans="1:3">
      <c r="A16" s="18"/>
      <c r="B16" s="18"/>
      <c r="C16" s="19"/>
    </row>
    <row r="17" spans="1:3">
      <c r="A17" s="18"/>
      <c r="B17" s="18"/>
      <c r="C17" s="19"/>
    </row>
    <row r="18" spans="1:3">
      <c r="A18" s="18"/>
      <c r="B18" s="18"/>
      <c r="C18" s="19"/>
    </row>
    <row r="19" spans="1:3">
      <c r="A19" s="18"/>
      <c r="B19" s="18"/>
      <c r="C19" s="19"/>
    </row>
    <row r="20" spans="1:3">
      <c r="A20" s="18"/>
      <c r="B20" s="18"/>
      <c r="C20" s="19"/>
    </row>
    <row r="21" spans="1:3">
      <c r="A21" s="18"/>
      <c r="B21" s="18"/>
      <c r="C21" s="19"/>
    </row>
    <row r="22" spans="1:3">
      <c r="A22" s="18"/>
      <c r="B22" s="18"/>
      <c r="C22" s="19"/>
    </row>
    <row r="23" spans="1:3">
      <c r="A23" s="18"/>
      <c r="B23" s="18"/>
      <c r="C23" s="19"/>
    </row>
    <row r="24" spans="1:3">
      <c r="A24" s="18"/>
      <c r="B24" s="18"/>
      <c r="C24" s="19"/>
    </row>
    <row r="25" spans="1:3">
      <c r="A25" s="18"/>
      <c r="B25" s="18"/>
      <c r="C25" s="19"/>
    </row>
    <row r="26" spans="1:3">
      <c r="A26" s="18"/>
      <c r="B26" s="18"/>
      <c r="C26" s="19"/>
    </row>
    <row r="27" spans="1:3">
      <c r="A27" s="18"/>
      <c r="B27" s="18"/>
      <c r="C27" s="19"/>
    </row>
    <row r="28" spans="1:3">
      <c r="A28" s="18"/>
      <c r="B28" s="18"/>
      <c r="C28" s="19"/>
    </row>
    <row r="29" spans="1:3">
      <c r="A29" s="18"/>
      <c r="B29" s="18"/>
      <c r="C29" s="19"/>
    </row>
    <row r="30" spans="1:3">
      <c r="A30" s="18"/>
      <c r="B30" s="18"/>
      <c r="C30" s="19"/>
    </row>
    <row r="31" spans="1:3">
      <c r="A31" s="18"/>
      <c r="B31" s="18"/>
      <c r="C31" s="19"/>
    </row>
    <row r="32" spans="1:3">
      <c r="A32" s="18"/>
      <c r="B32" s="18"/>
      <c r="C32" s="19"/>
    </row>
    <row r="33" spans="1:3">
      <c r="A33" s="18"/>
      <c r="B33" s="18"/>
      <c r="C33" s="19"/>
    </row>
    <row r="34" spans="1:3">
      <c r="A34" s="18"/>
      <c r="B34" s="18"/>
      <c r="C34" s="19"/>
    </row>
    <row r="35" spans="1:3">
      <c r="A35" s="18"/>
      <c r="B35" s="18"/>
      <c r="C35" s="19"/>
    </row>
    <row r="36" spans="1:3">
      <c r="A36" s="18"/>
      <c r="B36" s="18"/>
      <c r="C36" s="19"/>
    </row>
    <row r="37" spans="1:3">
      <c r="A37" s="18"/>
      <c r="B37" s="18"/>
      <c r="C37" s="19"/>
    </row>
    <row r="38" spans="1:3">
      <c r="A38" s="18"/>
      <c r="B38" s="18"/>
      <c r="C38" s="19"/>
    </row>
    <row r="39" spans="1:3">
      <c r="A39" s="18"/>
      <c r="B39" s="18"/>
      <c r="C39" s="19"/>
    </row>
    <row r="40" spans="1:3">
      <c r="A40" s="18"/>
      <c r="B40" s="18"/>
      <c r="C40" s="19"/>
    </row>
    <row r="41" spans="1:3">
      <c r="A41" s="18"/>
      <c r="B41" s="18"/>
      <c r="C41" s="19"/>
    </row>
    <row r="42" spans="1:3">
      <c r="A42" s="18"/>
      <c r="B42" s="18"/>
      <c r="C42" s="19"/>
    </row>
    <row r="43" spans="1:3">
      <c r="A43" s="18"/>
      <c r="B43" s="18"/>
      <c r="C43" s="19"/>
    </row>
    <row r="44" spans="1:3">
      <c r="A44" s="18"/>
      <c r="B44" s="18"/>
      <c r="C44" s="19"/>
    </row>
    <row r="45" spans="1:3">
      <c r="A45" s="18"/>
      <c r="B45" s="18"/>
      <c r="C45" s="19"/>
    </row>
    <row r="46" spans="1:3">
      <c r="A46" s="18"/>
      <c r="B46" s="18"/>
      <c r="C46" s="19"/>
    </row>
    <row r="47" spans="1:3">
      <c r="A47" s="18"/>
      <c r="B47" s="18"/>
      <c r="C47" s="19"/>
    </row>
    <row r="48" spans="1:3">
      <c r="A48" s="18"/>
      <c r="B48" s="18"/>
      <c r="C48" s="19"/>
    </row>
    <row r="49" spans="1:3">
      <c r="A49" s="18"/>
      <c r="B49" s="18"/>
      <c r="C49" s="19"/>
    </row>
    <row r="50" spans="1:3">
      <c r="A50" s="18"/>
      <c r="B50" s="18"/>
      <c r="C50" s="19"/>
    </row>
    <row r="51" spans="1:3">
      <c r="A51" s="18"/>
      <c r="B51" s="18"/>
      <c r="C51" s="19"/>
    </row>
    <row r="52" spans="1:3">
      <c r="A52" s="18"/>
      <c r="B52" s="18"/>
      <c r="C52" s="19"/>
    </row>
    <row r="53" spans="1:3">
      <c r="A53" s="18"/>
      <c r="B53" s="18"/>
      <c r="C53" s="19"/>
    </row>
    <row r="54" spans="1:3">
      <c r="A54" s="18"/>
      <c r="B54" s="18"/>
      <c r="C54" s="19"/>
    </row>
    <row r="55" spans="1:3">
      <c r="A55" s="18"/>
      <c r="B55" s="18"/>
      <c r="C55" s="19"/>
    </row>
    <row r="56" spans="1:3">
      <c r="A56" s="18"/>
      <c r="B56" s="18"/>
      <c r="C56" s="19"/>
    </row>
    <row r="57" spans="1:3">
      <c r="A57" s="18"/>
      <c r="B57" s="18"/>
      <c r="C57" s="19"/>
    </row>
    <row r="58" spans="1:3">
      <c r="A58" s="18"/>
      <c r="B58" s="18"/>
      <c r="C58" s="19"/>
    </row>
    <row r="59" spans="1:3">
      <c r="A59" s="18"/>
      <c r="B59" s="18"/>
      <c r="C59" s="19"/>
    </row>
    <row r="60" spans="1:3">
      <c r="A60" s="18"/>
      <c r="B60" s="18"/>
      <c r="C60" s="19"/>
    </row>
    <row r="61" spans="1:3">
      <c r="A61" s="18"/>
      <c r="B61" s="18"/>
      <c r="C61" s="19"/>
    </row>
    <row r="62" spans="1:3">
      <c r="A62" s="18"/>
      <c r="B62" s="18"/>
      <c r="C62" s="19"/>
    </row>
    <row r="63" spans="1:3">
      <c r="A63" s="18"/>
      <c r="B63" s="18"/>
      <c r="C63" s="19"/>
    </row>
    <row r="64" spans="1:3">
      <c r="A64" s="18"/>
      <c r="B64" s="18"/>
      <c r="C64" s="19"/>
    </row>
    <row r="65" spans="1:3">
      <c r="A65" s="18"/>
      <c r="B65" s="18"/>
      <c r="C65" s="19"/>
    </row>
    <row r="66" spans="1:3">
      <c r="A66" s="18"/>
      <c r="B66" s="18"/>
      <c r="C66" s="19"/>
    </row>
    <row r="67" spans="1:3">
      <c r="A67" s="18"/>
      <c r="B67" s="18"/>
      <c r="C67" s="19"/>
    </row>
    <row r="68" spans="1:3">
      <c r="A68" s="18"/>
      <c r="B68" s="18"/>
      <c r="C68" s="19"/>
    </row>
    <row r="69" spans="1:3">
      <c r="A69" s="18"/>
      <c r="B69" s="18"/>
      <c r="C69" s="19"/>
    </row>
    <row r="70" spans="1:3">
      <c r="A70" s="18"/>
      <c r="B70" s="18"/>
      <c r="C70" s="19"/>
    </row>
    <row r="71" spans="1:3">
      <c r="A71" s="18"/>
      <c r="B71" s="18"/>
      <c r="C71" s="19"/>
    </row>
    <row r="72" spans="1:3">
      <c r="A72" s="18"/>
      <c r="B72" s="18"/>
      <c r="C72" s="19"/>
    </row>
    <row r="73" spans="1:3">
      <c r="A73" s="18"/>
      <c r="B73" s="18"/>
      <c r="C73" s="19"/>
    </row>
    <row r="74" spans="1:3">
      <c r="A74" s="18"/>
      <c r="B74" s="18"/>
      <c r="C74" s="19"/>
    </row>
    <row r="75" spans="1:3">
      <c r="A75" s="18"/>
      <c r="B75" s="18"/>
      <c r="C75" s="19"/>
    </row>
    <row r="76" spans="1:3">
      <c r="A76" s="18"/>
      <c r="B76" s="18"/>
      <c r="C76" s="19"/>
    </row>
    <row r="77" spans="1:3">
      <c r="A77" s="18"/>
      <c r="B77" s="18"/>
      <c r="C77" s="19"/>
    </row>
    <row r="78" spans="1:3">
      <c r="A78" s="18"/>
      <c r="B78" s="18"/>
      <c r="C78" s="19"/>
    </row>
    <row r="79" spans="1:3">
      <c r="A79" s="18"/>
      <c r="B79" s="18"/>
      <c r="C79" s="19"/>
    </row>
    <row r="80" spans="1:3">
      <c r="A80" s="18"/>
      <c r="B80" s="18"/>
      <c r="C80" s="19"/>
    </row>
    <row r="81" spans="1:3">
      <c r="A81" s="18"/>
      <c r="B81" s="18"/>
      <c r="C81" s="19"/>
    </row>
    <row r="82" spans="1:3">
      <c r="A82" s="18"/>
      <c r="B82" s="18"/>
      <c r="C82" s="19"/>
    </row>
    <row r="83" spans="1:3">
      <c r="A83" s="18"/>
      <c r="B83" s="18"/>
      <c r="C83" s="19"/>
    </row>
    <row r="84" spans="1:3">
      <c r="A84" s="18"/>
      <c r="B84" s="18"/>
      <c r="C84" s="19"/>
    </row>
    <row r="85" spans="1:3">
      <c r="A85" s="18"/>
      <c r="B85" s="18"/>
      <c r="C85" s="19"/>
    </row>
    <row r="86" spans="1:3">
      <c r="A86" s="18"/>
      <c r="B86" s="18"/>
      <c r="C86" s="19"/>
    </row>
    <row r="87" spans="1:3">
      <c r="A87" s="18"/>
      <c r="B87" s="18"/>
      <c r="C87" s="19"/>
    </row>
    <row r="88" spans="1:3">
      <c r="A88" s="18"/>
      <c r="B88" s="18"/>
      <c r="C88" s="19"/>
    </row>
    <row r="89" spans="1:3">
      <c r="A89" s="18"/>
      <c r="B89" s="18"/>
      <c r="C89" s="19"/>
    </row>
    <row r="90" spans="1:3">
      <c r="A90" s="18"/>
      <c r="B90" s="18"/>
      <c r="C90" s="19"/>
    </row>
    <row r="91" spans="1:3">
      <c r="A91" s="18"/>
      <c r="B91" s="18"/>
      <c r="C91" s="19"/>
    </row>
    <row r="92" spans="1:3">
      <c r="A92" s="18"/>
      <c r="B92" s="18"/>
      <c r="C92" s="19"/>
    </row>
    <row r="93" spans="1:3">
      <c r="A93" s="18"/>
      <c r="B93" s="18"/>
      <c r="C93" s="19"/>
    </row>
    <row r="94" spans="1:3">
      <c r="A94" s="18"/>
      <c r="B94" s="18"/>
      <c r="C94" s="19"/>
    </row>
    <row r="95" spans="1:3">
      <c r="A95" s="18"/>
      <c r="B95" s="18"/>
      <c r="C95" s="19"/>
    </row>
    <row r="96" spans="1:3">
      <c r="A96" s="18"/>
      <c r="B96" s="18"/>
      <c r="C96" s="19"/>
    </row>
    <row r="97" spans="1:3">
      <c r="A97" s="18"/>
      <c r="B97" s="18"/>
      <c r="C97" s="19"/>
    </row>
    <row r="98" spans="1:3">
      <c r="A98" s="18"/>
      <c r="B98" s="18"/>
      <c r="C98" s="19"/>
    </row>
    <row r="99" spans="1:3">
      <c r="A99" s="18"/>
      <c r="B99" s="18"/>
      <c r="C99" s="19"/>
    </row>
    <row r="100" spans="1:3">
      <c r="A100" s="18"/>
      <c r="B100" s="18"/>
      <c r="C100" s="19"/>
    </row>
    <row r="101" spans="1: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3.8"/>
  <cols>
    <col min="1" max="18" width="28" customWidth="1"/>
  </cols>
  <sheetData>
    <row r="1" spans="1:26">
      <c r="A1" s="5" t="s">
        <v>2</v>
      </c>
      <c r="B1" s="5" t="s">
        <v>336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>
      <c r="A2" t="s">
        <v>6</v>
      </c>
      <c r="B2" t="s">
        <v>337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FILIPPO ZANFORLIN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>
      <c r="A3" t="s">
        <v>8</v>
      </c>
      <c r="B3" t="s">
        <v>338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TOMMASO FERRARESI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>
      <c r="A4" t="s">
        <v>10</v>
      </c>
      <c r="B4" t="s">
        <v>339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>
      <c r="A5" t="s">
        <v>12</v>
      </c>
      <c r="B5" t="s">
        <v>340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NICOLÒ ANDOLFO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AARON PROVITO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>
      <c r="A6" t="s">
        <v>15</v>
      </c>
      <c r="B6" t="s">
        <v>341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LORENZO NOVENTA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>
      <c r="A7" t="s">
        <v>17</v>
      </c>
      <c r="B7" t="s">
        <v>342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>
      <c r="A8" t="s">
        <v>19</v>
      </c>
      <c r="B8" t="s">
        <v>343</v>
      </c>
      <c r="C8" t="str">
        <f>IF(Rosters!B9="","",IF(Rosters!A9="","",Rosters!A9&amp;" - ")&amp;Rosters!B9&amp;IF(Rosters!C9="Yes"," (C)",""))</f>
        <v>11 - DAVIDE GHIRARDI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ANDREA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>
      <c r="A9" t="s">
        <v>21</v>
      </c>
      <c r="B9" t="s">
        <v>344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>
      <c r="A10" t="s">
        <v>24</v>
      </c>
      <c r="B10" t="s">
        <v>345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/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>
      <c r="A11" t="s">
        <v>26</v>
      </c>
      <c r="B11" t="s">
        <v>346</v>
      </c>
      <c r="C11" t="str">
        <f>IF(Rosters!B12="","",IF(Rosters!A12="","",Rosters!A12&amp;" - ")&amp;Rosters!B12&amp;IF(Rosters!C12="Yes"," (C)",""))</f>
        <v>90 - MANUEL MEDEA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>
      <c r="A12" t="s">
        <v>28</v>
      </c>
      <c r="B12" t="s">
        <v>347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17 -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/>
      </c>
    </row>
    <row r="13" spans="1:26">
      <c r="A13" t="s">
        <v>30</v>
      </c>
      <c r="B13" t="s">
        <v>348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>
      <c r="A14" t="s">
        <v>33</v>
      </c>
      <c r="B14" t="s">
        <v>349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/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>
      <c r="A15" t="s">
        <v>35</v>
      </c>
      <c r="B15" t="s">
        <v>350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>
      <c r="A16" t="s">
        <v>37</v>
      </c>
      <c r="B16" t="s">
        <v>351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>
      <c r="A17" t="s">
        <v>39</v>
      </c>
      <c r="B17" t="s">
        <v>352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62" zoomScale="85" zoomScaleNormal="85" workbookViewId="0">
      <selection activeCell="G26" sqref="G26"/>
    </sheetView>
  </sheetViews>
  <sheetFormatPr defaultRowHeight="13.8"/>
  <cols>
    <col min="1" max="1" width="12" customWidth="1"/>
    <col min="2" max="2" width="14" customWidth="1"/>
    <col min="3" max="3" width="24" customWidth="1"/>
    <col min="4" max="4" width="10" customWidth="1"/>
    <col min="5" max="5" width="21.6992187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>
      <c r="A1" s="6" t="s">
        <v>353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2" t="s">
        <v>354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1"/>
      <c r="N3" s="22" t="s">
        <v>355</v>
      </c>
      <c r="O3" s="20"/>
      <c r="P3" s="20"/>
      <c r="Q3" s="20"/>
      <c r="R3" s="1"/>
      <c r="S3" s="1"/>
      <c r="T3" s="1"/>
      <c r="U3" s="1"/>
      <c r="V3" s="1"/>
      <c r="W3" s="1"/>
      <c r="X3" s="1"/>
      <c r="Y3" s="1"/>
      <c r="Z3" s="1"/>
    </row>
    <row r="4" spans="1:26">
      <c r="A4" s="7" t="s">
        <v>356</v>
      </c>
      <c r="B4" s="7" t="s">
        <v>357</v>
      </c>
      <c r="C4" s="7" t="s">
        <v>358</v>
      </c>
      <c r="D4" s="7" t="s">
        <v>359</v>
      </c>
      <c r="E4" s="7" t="s">
        <v>360</v>
      </c>
      <c r="F4" s="7" t="s">
        <v>361</v>
      </c>
      <c r="G4" s="7" t="s">
        <v>362</v>
      </c>
      <c r="H4" s="7" t="s">
        <v>363</v>
      </c>
      <c r="I4" s="7" t="s">
        <v>364</v>
      </c>
      <c r="J4" s="7" t="s">
        <v>365</v>
      </c>
      <c r="K4" s="7" t="s">
        <v>366</v>
      </c>
      <c r="L4" s="7" t="s">
        <v>367</v>
      </c>
      <c r="M4" s="1"/>
      <c r="N4" s="7" t="s">
        <v>357</v>
      </c>
      <c r="O4" s="7" t="s">
        <v>368</v>
      </c>
      <c r="P4" s="7" t="s">
        <v>358</v>
      </c>
      <c r="Q4" s="7" t="s">
        <v>369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22" t="s">
        <v>370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1"/>
      <c r="U23" s="1"/>
      <c r="V23" s="1"/>
      <c r="W23" s="1"/>
      <c r="X23" s="1"/>
      <c r="Y23" s="1"/>
      <c r="Z23" s="1"/>
    </row>
    <row r="24" spans="1:26" ht="28.8" customHeight="1">
      <c r="A24" s="7" t="s">
        <v>371</v>
      </c>
      <c r="B24" s="7" t="s">
        <v>372</v>
      </c>
      <c r="C24" s="7" t="s">
        <v>356</v>
      </c>
      <c r="D24" s="7" t="s">
        <v>373</v>
      </c>
      <c r="E24" s="7" t="s">
        <v>374</v>
      </c>
      <c r="F24" s="7" t="s">
        <v>375</v>
      </c>
      <c r="G24" s="7" t="s">
        <v>376</v>
      </c>
      <c r="H24" s="7" t="s">
        <v>377</v>
      </c>
      <c r="I24" s="7" t="s">
        <v>378</v>
      </c>
      <c r="J24" s="7" t="s">
        <v>379</v>
      </c>
      <c r="K24" s="7" t="s">
        <v>380</v>
      </c>
      <c r="L24" s="7" t="s">
        <v>381</v>
      </c>
      <c r="M24" s="7" t="s">
        <v>382</v>
      </c>
      <c r="N24" s="7" t="s">
        <v>383</v>
      </c>
      <c r="O24" s="7" t="s">
        <v>384</v>
      </c>
      <c r="P24" s="7" t="s">
        <v>385</v>
      </c>
      <c r="Q24" s="7" t="s">
        <v>386</v>
      </c>
      <c r="R24" s="7" t="s">
        <v>387</v>
      </c>
      <c r="S24" s="7" t="s">
        <v>388</v>
      </c>
      <c r="T24" s="1"/>
      <c r="U24" s="1"/>
      <c r="V24" s="1"/>
      <c r="W24" s="1"/>
      <c r="X24" s="1"/>
      <c r="Y24" s="1"/>
      <c r="Z24" s="1"/>
    </row>
    <row r="25" spans="1:26" ht="28.8" customHeight="1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0.69930555555555551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22" t="s">
        <v>389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>
      <c r="A52" s="7" t="s">
        <v>371</v>
      </c>
      <c r="B52" s="7" t="s">
        <v>372</v>
      </c>
      <c r="C52" s="7" t="s">
        <v>356</v>
      </c>
      <c r="D52" s="7" t="s">
        <v>373</v>
      </c>
      <c r="E52" s="7" t="s">
        <v>374</v>
      </c>
      <c r="F52" s="7" t="s">
        <v>375</v>
      </c>
      <c r="G52" s="1" t="s">
        <v>376</v>
      </c>
      <c r="H52" s="1" t="s">
        <v>377</v>
      </c>
      <c r="I52" s="1" t="s">
        <v>378</v>
      </c>
      <c r="J52" s="1" t="s">
        <v>379</v>
      </c>
      <c r="K52" s="1" t="s">
        <v>380</v>
      </c>
      <c r="L52" s="1" t="s">
        <v>384</v>
      </c>
      <c r="M52" s="1" t="s">
        <v>385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0.74027777777777781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0.4548611111111111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22" t="s">
        <v>390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>
      <c r="A62" s="7" t="s">
        <v>371</v>
      </c>
      <c r="B62" s="7" t="s">
        <v>391</v>
      </c>
      <c r="C62" s="7" t="s">
        <v>392</v>
      </c>
      <c r="D62" s="7" t="s">
        <v>393</v>
      </c>
      <c r="E62" s="7" t="s">
        <v>368</v>
      </c>
      <c r="F62" s="7" t="s">
        <v>394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16</vt:i4>
      </vt:variant>
      <vt:variant>
        <vt:lpstr>Intervalli denominati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MARCHI DANIEL</cp:lastModifiedBy>
  <dcterms:created xsi:type="dcterms:W3CDTF">2026-06-27T07:20:54Z</dcterms:created>
  <dcterms:modified xsi:type="dcterms:W3CDTF">2026-07-04T01:22:57Z</dcterms:modified>
</cp:coreProperties>
</file>