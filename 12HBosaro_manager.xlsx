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3CCDDC59-B430-4A17-AD67-89887887A7CB}" xr6:coauthVersionLast="47" xr6:coauthVersionMax="47" xr10:uidLastSave="{00000000-0000-0000-0000-000000000000}"/>
  <bookViews>
    <workbookView xWindow="-108" yWindow="-108" windowWidth="23256" windowHeight="12456" firstSheet="6" activeTab="1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77" i="13" l="1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A316" i="15"/>
  <c r="E315" i="15"/>
  <c r="D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B316" i="15" s="1"/>
  <c r="G254" i="7"/>
  <c r="B254" i="7"/>
  <c r="B315" i="15" s="1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343" i="15" s="1"/>
  <c r="B281" i="7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342" i="15" l="1"/>
  <c r="F281" i="7"/>
  <c r="B318" i="15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D41" i="8" s="1"/>
  <c r="E41" i="8" s="1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D398" i="8" s="1"/>
  <c r="C194" i="7"/>
  <c r="C255" i="15" s="1"/>
  <c r="F172" i="7"/>
  <c r="B233" i="15"/>
  <c r="F173" i="7"/>
  <c r="D70" i="8" s="1"/>
  <c r="E70" i="8" s="1"/>
  <c r="B234" i="15"/>
  <c r="B232" i="15"/>
  <c r="F171" i="7"/>
  <c r="F170" i="7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D7" i="8" l="1"/>
  <c r="E7" i="8" s="1"/>
  <c r="D309" i="8"/>
  <c r="E309" i="8" s="1"/>
  <c r="D66" i="8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<sst xmlns="http://schemas.openxmlformats.org/spreadsheetml/2006/main" count="1022" uniqueCount="478">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</sst>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R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K23" sqref="K2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248" workbookViewId="0">
      <selection activeCell="E258" sqref="E2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2</v>
      </c>
      <c r="E7">
        <f t="shared" si="0"/>
        <v>199999.99299999999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2</v>
      </c>
      <c r="E65">
        <f t="shared" si="0"/>
        <v>199999.935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6</v>
      </c>
      <c r="E187">
        <f t="shared" si="2"/>
        <v>599999.81299999997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4</v>
      </c>
      <c r="E243">
        <f t="shared" si="3"/>
        <v>399999.75699999998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1</v>
      </c>
      <c r="E244">
        <f t="shared" si="3"/>
        <v>99999.755999999994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1</v>
      </c>
      <c r="E246">
        <f t="shared" si="3"/>
        <v>99999.754000000001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2</v>
      </c>
      <c r="E309">
        <f t="shared" si="4"/>
        <v>199999.69099999999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2</v>
      </c>
      <c r="E310">
        <f t="shared" si="4"/>
        <v>199999.69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1</v>
      </c>
      <c r="E398">
        <f t="shared" si="6"/>
        <v>99999.601999999999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6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4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NICOLA BRESCIANI</v>
      </c>
      <c r="C4" t="str">
        <f>IF($A4="","",INDEX(ScorerData!$B$2:$B$481,MATCH(LARGE(ScorerData!$E$2:$E$481,$A4),ScorerData!$E$2:$E$481,0)))</f>
        <v>All Blacks</v>
      </c>
      <c r="D4">
        <f>IF($A4="","",INDEX(ScorerData!$D$2:$D$481,MATCH(LARGE(ScorerData!$E$2:$E$481,$A4),ScorerData!$E$2:$E$481,0)))</f>
        <v>4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DAVIDE ZAGHI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MATTEO ZAMBERLAN</v>
      </c>
      <c r="C6" t="str">
        <f>IF($A6="","",INDEX(ScorerData!$B$2:$B$481,MATCH(LARGE(ScorerData!$E$2:$E$481,$A6),ScorerData!$E$2:$E$481,0)))</f>
        <v>Vecchie Glorie Rovigo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BARONI</v>
      </c>
      <c r="C7" t="str">
        <f>IF($A7="","",INDEX(ScorerData!$B$2:$B$481,MATCH(LARGE(ScorerData!$E$2:$E$481,$A7),ScorerData!$E$2:$E$481,0)))</f>
        <v>AS Bancatore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NICHOLAS MILAN</v>
      </c>
      <c r="C8" t="str">
        <f>IF($A8="","",INDEX(ScorerData!$B$2:$B$481,MATCH(LARGE(ScorerData!$E$2:$E$481,$A8),ScorerData!$E$2:$E$481,0)))</f>
        <v>Fatine FC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LUCA MARINI</v>
      </c>
      <c r="C9" t="str">
        <f>IF($A9="","",INDEX(ScorerData!$B$2:$B$481,MATCH(LARGE(ScorerData!$E$2:$E$481,$A9),ScorerData!$E$2:$E$481,0)))</f>
        <v>Fatine FC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MATTEO COL</v>
      </c>
      <c r="C10" t="str">
        <f>IF($A10="","",INDEX(ScorerData!$B$2:$B$481,MATCH(LARGE(ScorerData!$E$2:$E$481,$A10),ScorerData!$E$2:$E$481,0)))</f>
        <v>Fatine FC</v>
      </c>
      <c r="D10">
        <f>IF($A10="","",INDEX(ScorerData!$D$2:$D$481,MATCH(LARGE(ScorerData!$E$2:$E$481,$A10),ScorerData!$E$2:$E$481,0)))</f>
        <v>2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IVAN DENIS SHEVERAK</v>
      </c>
      <c r="C11" t="str">
        <f>IF($A11="","",INDEX(ScorerData!$B$2:$B$481,MATCH(LARGE(ScorerData!$E$2:$E$481,$A11),ScorerData!$E$2:$E$481,0)))</f>
        <v>FC Internazionale Rovigo</v>
      </c>
      <c r="D11">
        <f>IF($A11="","",INDEX(ScorerData!$D$2:$D$481,MATCH(LARGE(ScorerData!$E$2:$E$481,$A11),ScorerData!$E$2:$E$481,0)))</f>
        <v>2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AHMED ZOUZAF</v>
      </c>
      <c r="C12" t="str">
        <f>IF($A12="","",INDEX(ScorerData!$B$2:$B$481,MATCH(LARGE(ScorerData!$E$2:$E$481,$A12),ScorerData!$E$2:$E$481,0)))</f>
        <v>FC Internazionale Rovigo</v>
      </c>
      <c r="D12">
        <f>IF($A12="","",INDEX(ScorerData!$D$2:$D$481,MATCH(LARGE(ScorerData!$E$2:$E$481,$A12),ScorerData!$E$2:$E$481,0)))</f>
        <v>2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FILIPPO SCARANELLO</v>
      </c>
      <c r="C13" t="str">
        <f>IF($A13="","",INDEX(ScorerData!$B$2:$B$481,MATCH(LARGE(ScorerData!$E$2:$E$481,$A13),ScorerData!$E$2:$E$481,0)))</f>
        <v>Moviola Utd</v>
      </c>
      <c r="D13">
        <f>IF($A13="","",INDEX(ScorerData!$D$2:$D$481,MATCH(LARGE(ScorerData!$E$2:$E$481,$A13),ScorerData!$E$2:$E$481,0)))</f>
        <v>2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EDDY MAZZETTO</v>
      </c>
      <c r="C14" t="str">
        <f>IF($A14="","",INDEX(ScorerData!$B$2:$B$481,MATCH(LARGE(ScorerData!$E$2:$E$481,$A14),ScorerData!$E$2:$E$481,0)))</f>
        <v>Moviola Utd</v>
      </c>
      <c r="D14">
        <f>IF($A14="","",INDEX(ScorerData!$D$2:$D$481,MATCH(LARGE(ScorerData!$E$2:$E$481,$A14),ScorerData!$E$2:$E$481,0)))</f>
        <v>2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SAMUEL BONSU</v>
      </c>
      <c r="C15" t="str">
        <f>IF($A15="","",INDEX(ScorerData!$B$2:$B$481,MATCH(LARGE(ScorerData!$E$2:$E$481,$A15),ScorerData!$E$2:$E$481,0)))</f>
        <v>Beverton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VLAD GABRIEL DUMINICA</v>
      </c>
      <c r="C16" t="str">
        <f>IF($A16="","",INDEX(ScorerData!$B$2:$B$481,MATCH(LARGE(ScorerData!$E$2:$E$481,$A16),ScorerData!$E$2:$E$481,0)))</f>
        <v>Leoni di Ricky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TOMMASO ZANGIROLAMI</v>
      </c>
      <c r="C17" t="str">
        <f>IF($A17="","",INDEX(ScorerData!$B$2:$B$481,MATCH(LARGE(ScorerData!$E$2:$E$481,$A17),ScorerData!$E$2:$E$481,0)))</f>
        <v>Leoni di Ricky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MATTIA COLTRO</v>
      </c>
      <c r="C18" t="str">
        <f>IF($A18="","",INDEX(ScorerData!$B$2:$B$481,MATCH(LARGE(ScorerData!$E$2:$E$481,$A18),ScorerData!$E$2:$E$481,0)))</f>
        <v>Pink 5ive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LUCA NONNATO</v>
      </c>
      <c r="C19" t="str">
        <f>IF($A19="","",INDEX(ScorerData!$B$2:$B$481,MATCH(LARGE(ScorerData!$E$2:$E$481,$A19),ScorerData!$E$2:$E$481,0)))</f>
        <v>Barrio Boys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EDOARDO CAVALLARI</v>
      </c>
      <c r="C20" t="str">
        <f>IF($A20="","",INDEX(ScorerData!$B$2:$B$481,MATCH(LARGE(ScorerData!$E$2:$E$481,$A20),ScorerData!$E$2:$E$481,0)))</f>
        <v>Barrio Boys</v>
      </c>
      <c r="D20">
        <f>IF($A20="","",INDEX(ScorerData!$D$2:$D$481,MATCH(LARGE(ScorerData!$E$2:$E$481,$A20),ScorerData!$E$2:$E$481,0)))</f>
        <v>2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MATTEO FERRO</v>
      </c>
      <c r="C21" t="str">
        <f>IF($A21="","",INDEX(ScorerData!$B$2:$B$481,MATCH(LARGE(ScorerData!$E$2:$E$481,$A21),ScorerData!$E$2:$E$481,0)))</f>
        <v>Barrio Boys</v>
      </c>
      <c r="D21">
        <f>IF($A21="","",INDEX(ScorerData!$D$2:$D$481,MATCH(LARGE(ScorerData!$E$2:$E$481,$A21),ScorerData!$E$2:$E$481,0)))</f>
        <v>2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NICHOLAS MOSCHINI</v>
      </c>
      <c r="C22" t="str">
        <f>IF($A22="","",INDEX(ScorerData!$B$2:$B$481,MATCH(LARGE(ScorerData!$E$2:$E$481,$A22),ScorerData!$E$2:$E$481,0)))</f>
        <v>All Blacks</v>
      </c>
      <c r="D22">
        <f>IF($A22="","",INDEX(ScorerData!$D$2:$D$481,MATCH(LARGE(ScorerData!$E$2:$E$481,$A22),ScorerData!$E$2:$E$481,0)))</f>
        <v>2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LUCA CECCONELLO</v>
      </c>
      <c r="C23" t="str">
        <f>IF($A23="","",INDEX(ScorerData!$B$2:$B$481,MATCH(LARGE(ScorerData!$E$2:$E$481,$A23),ScorerData!$E$2:$E$481,0)))</f>
        <v>Boldò Glimt</v>
      </c>
      <c r="D23">
        <f>IF($A23="","",INDEX(ScorerData!$D$2:$D$481,MATCH(LARGE(ScorerData!$E$2:$E$481,$A23),ScorerData!$E$2:$E$481,0)))</f>
        <v>2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GIOVANNI BALLO</v>
      </c>
      <c r="C24" t="str">
        <f>IF($A24="","",INDEX(ScorerData!$B$2:$B$481,MATCH(LARGE(ScorerData!$E$2:$E$481,$A24),ScorerData!$E$2:$E$481,0)))</f>
        <v>Fatine FC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ABDESSAMAD BAGHROUCH</v>
      </c>
      <c r="C25" t="str">
        <f>IF($A25="","",INDEX(ScorerData!$B$2:$B$481,MATCH(LARGE(ScorerData!$E$2:$E$481,$A25),ScorerData!$E$2:$E$481,0)))</f>
        <v>FC Internazionale Rovigo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LUCA BACCO</v>
      </c>
      <c r="C26" t="str">
        <f>IF($A26="","",INDEX(ScorerData!$B$2:$B$481,MATCH(LARGE(ScorerData!$E$2:$E$481,$A26),ScorerData!$E$2:$E$481,0)))</f>
        <v>Moviola Utd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MATTEO NATALI</v>
      </c>
      <c r="C27" t="str">
        <f>IF($A27="","",INDEX(ScorerData!$B$2:$B$481,MATCH(LARGE(ScorerData!$E$2:$E$481,$A27),ScorerData!$E$2:$E$481,0)))</f>
        <v>Moviola Utd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FRANCESCO DADDATO</v>
      </c>
      <c r="C28" t="str">
        <f>IF($A28="","",INDEX(ScorerData!$B$2:$B$481,MATCH(LARGE(ScorerData!$E$2:$E$481,$A28),ScorerData!$E$2:$E$481,0)))</f>
        <v>Moviola Utd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NICO PAVANI</v>
      </c>
      <c r="C29" t="str">
        <f>IF($A29="","",INDEX(ScorerData!$B$2:$B$481,MATCH(LARGE(ScorerData!$E$2:$E$481,$A29),ScorerData!$E$2:$E$481,0)))</f>
        <v>Moviola Utd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LUCA CHERUBIN</v>
      </c>
      <c r="C30" t="str">
        <f>IF($A30="","",INDEX(ScorerData!$B$2:$B$481,MATCH(LARGE(ScorerData!$E$2:$E$481,$A30),ScorerData!$E$2:$E$481,0)))</f>
        <v>Totani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JACOPO VOLTOLINA</v>
      </c>
      <c r="C31" t="str">
        <f>IF($A31="","",INDEX(ScorerData!$B$2:$B$481,MATCH(LARGE(ScorerData!$E$2:$E$481,$A31),ScorerData!$E$2:$E$481,0)))</f>
        <v>Vecchie Glorie Rovigo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MATTEO DALL'ARA</v>
      </c>
      <c r="C32" t="str">
        <f>IF($A32="","",INDEX(ScorerData!$B$2:$B$481,MATCH(LARGE(ScorerData!$E$2:$E$481,$A32),ScorerData!$E$2:$E$481,0)))</f>
        <v>Vecchie Glorie Rovigo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LEONARDO FUSCO</v>
      </c>
      <c r="C33" t="str">
        <f>IF($A33="","",INDEX(ScorerData!$B$2:$B$481,MATCH(LARGE(ScorerData!$E$2:$E$481,$A33),ScorerData!$E$2:$E$481,0)))</f>
        <v>Vecchie Glorie Rovigo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DENIS TIMPANARO</v>
      </c>
      <c r="C34" t="str">
        <f>IF($A34="","",INDEX(ScorerData!$B$2:$B$481,MATCH(LARGE(ScorerData!$E$2:$E$481,$A34),ScorerData!$E$2:$E$481,0)))</f>
        <v>Vecchie Glorie Rovigo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DOMENICO IACOVINO</v>
      </c>
      <c r="C35" t="str">
        <f>IF($A35="","",INDEX(ScorerData!$B$2:$B$481,MATCH(LARGE(ScorerData!$E$2:$E$481,$A35),ScorerData!$E$2:$E$481,0)))</f>
        <v>Vecchie Glorie Rovigo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MATTEO LONGO</v>
      </c>
      <c r="C36" t="str">
        <f>IF($A36="","",INDEX(ScorerData!$B$2:$B$481,MATCH(LARGE(ScorerData!$E$2:$E$481,$A36),ScorerData!$E$2:$E$481,0)))</f>
        <v>AS Bancatore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MATTIA ZAGO</v>
      </c>
      <c r="C37" t="str">
        <f>IF($A37="","",INDEX(ScorerData!$B$2:$B$481,MATCH(LARGE(ScorerData!$E$2:$E$481,$A37),ScorerData!$E$2:$E$481,0)))</f>
        <v>AS Bancatore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MATTEO SAVIOLI</v>
      </c>
      <c r="C38" t="str">
        <f>IF($A38="","",INDEX(ScorerData!$B$2:$B$481,MATCH(LARGE(ScorerData!$E$2:$E$481,$A38),ScorerData!$E$2:$E$481,0)))</f>
        <v>AS Bancatore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GIANLUCA FREZZATI</v>
      </c>
      <c r="C39" t="str">
        <f>IF($A39="","",INDEX(ScorerData!$B$2:$B$481,MATCH(LARGE(ScorerData!$E$2:$E$481,$A39),ScorerData!$E$2:$E$481,0)))</f>
        <v>AS Bancatore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FILIPPO VENDRAMIN</v>
      </c>
      <c r="C40" t="str">
        <f>IF($A40="","",INDEX(ScorerData!$B$2:$B$481,MATCH(LARGE(ScorerData!$E$2:$E$481,$A40),ScorerData!$E$2:$E$481,0)))</f>
        <v>Beverton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POKOU ANTHONY</v>
      </c>
      <c r="C41" t="str">
        <f>IF($A41="","",INDEX(ScorerData!$B$2:$B$481,MATCH(LARGE(ScorerData!$E$2:$E$481,$A41),ScorerData!$E$2:$E$481,0)))</f>
        <v>Beverton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AMIN MASSAGHRI</v>
      </c>
      <c r="C42" t="str">
        <f>IF($A42="","",INDEX(ScorerData!$B$2:$B$481,MATCH(LARGE(ScorerData!$E$2:$E$481,$A42),ScorerData!$E$2:$E$481,0)))</f>
        <v>Leoni di Ricky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MARCO THOMPSON</v>
      </c>
      <c r="C43" t="str">
        <f>IF($A43="","",INDEX(ScorerData!$B$2:$B$481,MATCH(LARGE(ScorerData!$E$2:$E$481,$A43),ScorerData!$E$2:$E$481,0)))</f>
        <v>Leoni di Ricky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ANDREI BARZAGHIDEANU</v>
      </c>
      <c r="C44" t="str">
        <f>IF($A44="","",INDEX(ScorerData!$B$2:$B$481,MATCH(LARGE(ScorerData!$E$2:$E$481,$A44),ScorerData!$E$2:$E$481,0)))</f>
        <v>Leoni di Ricky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NICCOLO' PALTANIN</v>
      </c>
      <c r="C45" t="str">
        <f>IF($A45="","",INDEX(ScorerData!$B$2:$B$481,MATCH(LARGE(ScorerData!$E$2:$E$481,$A45),ScorerData!$E$2:$E$481,0)))</f>
        <v>Pink 5ive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MATTEO CAMPION</v>
      </c>
      <c r="C46" t="str">
        <f>IF($A46="","",INDEX(ScorerData!$B$2:$B$481,MATCH(LARGE(ScorerData!$E$2:$E$481,$A46),ScorerData!$E$2:$E$481,0)))</f>
        <v>Pink 5ive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LUCA BERNARDINELLO</v>
      </c>
      <c r="C47" t="str">
        <f>IF($A47="","",INDEX(ScorerData!$B$2:$B$481,MATCH(LARGE(ScorerData!$E$2:$E$481,$A47),ScorerData!$E$2:$E$481,0)))</f>
        <v>Pink 5ive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FRANCESCO BERARDI</v>
      </c>
      <c r="C48" t="str">
        <f>IF($A48="","",INDEX(ScorerData!$B$2:$B$481,MATCH(LARGE(ScorerData!$E$2:$E$481,$A48),ScorerData!$E$2:$E$481,0)))</f>
        <v>Barrio Boys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OTMAN SOUATI</v>
      </c>
      <c r="C49" t="str">
        <f>IF($A49="","",INDEX(ScorerData!$B$2:$B$481,MATCH(LARGE(ScorerData!$E$2:$E$481,$A49),ScorerData!$E$2:$E$481,0)))</f>
        <v>Cani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ISMAIL ECHCHARI</v>
      </c>
      <c r="C50" t="str">
        <f>IF($A50="","",INDEX(ScorerData!$B$2:$B$481,MATCH(LARGE(ScorerData!$E$2:$E$481,$A50),ScorerData!$E$2:$E$481,0)))</f>
        <v>Cani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DAVIDE BEDESCHI</v>
      </c>
      <c r="C51" t="str">
        <f>IF($A51="","",INDEX(ScorerData!$B$2:$B$481,MATCH(LARGE(ScorerData!$E$2:$E$481,$A51),ScorerData!$E$2:$E$481,0)))</f>
        <v>All Blacks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abSelected="1" workbookViewId="0">
      <selection activeCell="F14" sqref="F14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0.83333333333333337</v>
      </c>
      <c r="G2" s="2" t="s">
        <v>6</v>
      </c>
      <c r="H2" s="2" t="s">
        <v>28</v>
      </c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 t="s">
        <v>19</v>
      </c>
      <c r="H3" s="2" t="s">
        <v>39</v>
      </c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 t="s">
        <v>10</v>
      </c>
      <c r="H4" s="2" t="s">
        <v>24</v>
      </c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 t="s">
        <v>17</v>
      </c>
      <c r="H5" s="2" t="s">
        <v>35</v>
      </c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2" activePane="bottomLeft" state="frozenSplit"/>
      <selection pane="bottomLeft" activeCell="E2" sqref="E2"/>
    </sheetView>
  </sheetViews>
  <sheetFormatPr defaultRowHeight="14.4" x14ac:dyDescent="0.3"/>
  <cols>
    <col min="1" max="4" width="18.77734375" customWidth="1"/>
    <col min="5" max="5" width="34.77734375" customWidth="1"/>
    <col min="6" max="10" width="18.77734375" customWidth="1"/>
    <col min="11" max="11" width="42.77734375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C10" sqref="C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6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4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NICOLA BRESCIANI</v>
      </c>
      <c r="P7" s="1" t="str">
        <f>IF(TopScorers!C4="","",TopScorers!C4)</f>
        <v>All Blacks</v>
      </c>
      <c r="Q7" s="1">
        <f>IF(TopScorers!D4="","",TopScorers!D4)</f>
        <v>4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DAVIDE ZAGHI</v>
      </c>
      <c r="P8" s="1" t="str">
        <f>IF(TopScorers!C5="","",TopScorers!C5)</f>
        <v>Vecchie Glorie Rovigo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MATTEO ZAMBERLAN</v>
      </c>
      <c r="P9" s="1" t="str">
        <f>IF(TopScorers!C6="","",TopScorers!C6)</f>
        <v>Vecchie Glorie Rovigo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NICOLA BARONI</v>
      </c>
      <c r="P10" s="1" t="str">
        <f>IF(TopScorers!C7="","",TopScorers!C7)</f>
        <v>AS Bancatore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NICHOLAS MILAN</v>
      </c>
      <c r="P11" s="1" t="str">
        <f>IF(TopScorers!C8="","",TopScorers!C8)</f>
        <v>Fatine FC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LUCA MARINI</v>
      </c>
      <c r="P12" s="1" t="str">
        <f>IF(TopScorers!C9="","",TopScorers!C9)</f>
        <v>Fatine FC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MATTEO COL</v>
      </c>
      <c r="P13" s="1" t="str">
        <f>IF(TopScorers!C10="","",TopScorers!C10)</f>
        <v>Fatine FC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IVAN DENIS SHEVERAK</v>
      </c>
      <c r="P14" s="1" t="str">
        <f>IF(TopScorers!C11="","",TopScorers!C11)</f>
        <v>FC Internazionale Rovigo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AHMED ZOUZAF</v>
      </c>
      <c r="P15" s="1" t="str">
        <f>IF(TopScorers!C12="","",TopScorers!C12)</f>
        <v>FC Internazionale Rovigo</v>
      </c>
      <c r="Q15" s="1">
        <f>IF(TopScorers!D12="","",TopScorers!D12)</f>
        <v>2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FILIPPO SCARANELLO</v>
      </c>
      <c r="P16" s="1" t="str">
        <f>IF(TopScorers!C13="","",TopScorers!C13)</f>
        <v>Moviola Utd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EDDY MAZZETTO</v>
      </c>
      <c r="P17" s="1" t="str">
        <f>IF(TopScorers!C14="","",TopScorers!C14)</f>
        <v>Moviola Utd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SAMUEL BONSU</v>
      </c>
      <c r="P18" s="1" t="str">
        <f>IF(TopScorers!C15="","",TopScorers!C15)</f>
        <v>Beverton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VLAD GABRIEL DUMINICA</v>
      </c>
      <c r="P19" s="1" t="str">
        <f>IF(TopScorers!C16="","",TopScorers!C16)</f>
        <v>Leoni di Ricky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TOMMASO ZANGIROLAMI</v>
      </c>
      <c r="P20" s="1" t="str">
        <f>IF(TopScorers!C17="","",TopScorers!C17)</f>
        <v>Leoni di Ricky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MATTIA COLTRO</v>
      </c>
      <c r="P21" s="1" t="str">
        <f>IF(TopScorers!C18="","",TopScorers!C18)</f>
        <v>Pink 5ive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LUCA NONNATO</v>
      </c>
      <c r="P22" s="5" t="str">
        <f>IF(TopScorers!C19="","",TopScorers!C19)</f>
        <v>Barrio Boys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7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3.2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3.2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8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3.2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8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3.2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72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8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MATTEO CAMPION</v>
      </c>
      <c r="P49" s="1" t="str">
        <f>IF(TopScorers!C46="","",TopScorers!C46)</f>
        <v>Pink 5ive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LUCA BERNARDINELLO</v>
      </c>
      <c r="P50" s="1" t="str">
        <f>IF(TopScorers!C47="","",TopScorers!C47)</f>
        <v>Pink 5ive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28.8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FRANCESCO BERARDI</v>
      </c>
      <c r="P51" s="1" t="str">
        <f>IF(TopScorers!C48="","",TopScorers!C48)</f>
        <v>Barrio Boys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OTMAN SOUATI</v>
      </c>
      <c r="P52" s="1" t="str">
        <f>IF(TopScorers!C49="","",TopScorers!C49)</f>
        <v>Cani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 t="str">
        <f>Knockout!G2</f>
        <v>Fatine FC</v>
      </c>
      <c r="H53" s="1" t="str">
        <f>Knockout!H2</f>
        <v>Barrio Boys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>ISMAIL ECHCHARI</v>
      </c>
      <c r="P53" s="1" t="str">
        <f>IF(TopScorers!C50="","",TopScorers!C50)</f>
        <v>Cani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AS Bancatore</v>
      </c>
      <c r="H54" s="1" t="str">
        <f>Knockout!H3</f>
        <v>Piadineria la Salsiccia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>DAVIDE BEDESCHI</v>
      </c>
      <c r="P54" s="1" t="str">
        <f>IF(TopScorers!C51="","",TopScorers!C51)</f>
        <v>All Blacks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Moviola Utd</v>
      </c>
      <c r="H55" s="1" t="str">
        <f>Knockout!H4</f>
        <v>Leoni di Ricky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Vecchie Glorie Rovigo</v>
      </c>
      <c r="H56" s="1" t="str">
        <f>Knockout!H5</f>
        <v>Boldò Glimt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8.8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8.8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57.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57.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57.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3.2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8.8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8.8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8.8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8.8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8.8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8.8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8.8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8.8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8.8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57.6" x14ac:dyDescent="0.3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8.8" x14ac:dyDescent="0.3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8.8" x14ac:dyDescent="0.3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8.8" x14ac:dyDescent="0.3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8.8" x14ac:dyDescent="0.3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8.8" x14ac:dyDescent="0.3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2026-07-04T17:35:20Z</dcterms:modified>
</cp:coreProperties>
</file>