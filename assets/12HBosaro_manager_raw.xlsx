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retto\Documents\12ore26\"/>
    </mc:Choice>
  </mc:AlternateContent>
  <xr:revisionPtr revIDLastSave="0" documentId="13_ncr:20001_{2387DCF8-B90B-43D8-A58C-C5848CE9B150}" xr6:coauthVersionLast="47" xr6:coauthVersionMax="47" xr10:uidLastSave="{00000000-0000-0000-0000-000000000000}"/>
  <bookViews>
    <workbookView xWindow="-108" yWindow="-108" windowWidth="23256" windowHeight="12456" firstSheet="5" activeTab="12" xr2:uid="{00000000-000D-0000-FFFF-FFFF00000000}"/>
  </bookViews>
  <sheets>
    <sheet name="README" sheetId="1" r:id="rId1"/>
    <sheet name="Settings" sheetId="2" r:id="rId2"/>
    <sheet name="Teams" sheetId="3" r:id="rId3"/>
    <sheet name="Players" sheetId="4" r:id="rId4"/>
    <sheet name="Matches" sheetId="5" r:id="rId5"/>
    <sheet name="Goals" sheetId="6" r:id="rId6"/>
    <sheet name="ScorerData" sheetId="7" r:id="rId7"/>
    <sheet name="TopScorers" sheetId="8" r:id="rId8"/>
    <sheet name="StandingsData" sheetId="9" r:id="rId9"/>
    <sheet name="Standings" sheetId="10" r:id="rId10"/>
    <sheet name="Knockout" sheetId="11" r:id="rId11"/>
    <sheet name="Validation" sheetId="12" r:id="rId12"/>
    <sheet name="Export" sheetId="13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4" i="13" l="1"/>
  <c r="P84" i="13"/>
  <c r="O84" i="13"/>
  <c r="N84" i="13"/>
  <c r="Q83" i="13"/>
  <c r="P83" i="13"/>
  <c r="O83" i="13"/>
  <c r="N83" i="13"/>
  <c r="Q82" i="13"/>
  <c r="P82" i="13"/>
  <c r="O82" i="13"/>
  <c r="N82" i="13"/>
  <c r="Q81" i="13"/>
  <c r="P81" i="13"/>
  <c r="O81" i="13"/>
  <c r="N81" i="13"/>
  <c r="Q80" i="13"/>
  <c r="P80" i="13"/>
  <c r="O80" i="13"/>
  <c r="N80" i="13"/>
  <c r="Q79" i="13"/>
  <c r="P79" i="13"/>
  <c r="O79" i="13"/>
  <c r="N79" i="13"/>
  <c r="Q78" i="13"/>
  <c r="P78" i="13"/>
  <c r="O78" i="13"/>
  <c r="N78" i="13"/>
  <c r="Q77" i="13"/>
  <c r="P77" i="13"/>
  <c r="O77" i="13"/>
  <c r="N77" i="13"/>
  <c r="Q76" i="13"/>
  <c r="P76" i="13"/>
  <c r="O76" i="13"/>
  <c r="N76" i="13"/>
  <c r="Q75" i="13"/>
  <c r="P75" i="13"/>
  <c r="O75" i="13"/>
  <c r="N75" i="13"/>
  <c r="Q74" i="13"/>
  <c r="P74" i="13"/>
  <c r="O74" i="13"/>
  <c r="N74" i="13"/>
  <c r="Q73" i="13"/>
  <c r="P73" i="13"/>
  <c r="O73" i="13"/>
  <c r="N73" i="13"/>
  <c r="Q72" i="13"/>
  <c r="P72" i="13"/>
  <c r="O72" i="13"/>
  <c r="N72" i="13"/>
  <c r="Q71" i="13"/>
  <c r="P71" i="13"/>
  <c r="O71" i="13"/>
  <c r="N71" i="13"/>
  <c r="Q70" i="13"/>
  <c r="P70" i="13"/>
  <c r="O70" i="13"/>
  <c r="N70" i="13"/>
  <c r="Q69" i="13"/>
  <c r="P69" i="13"/>
  <c r="O69" i="13"/>
  <c r="N69" i="13"/>
  <c r="Q68" i="13"/>
  <c r="P68" i="13"/>
  <c r="O68" i="13"/>
  <c r="N68" i="13"/>
  <c r="Q67" i="13"/>
  <c r="P67" i="13"/>
  <c r="O67" i="13"/>
  <c r="N67" i="13"/>
  <c r="Q66" i="13"/>
  <c r="P66" i="13"/>
  <c r="O66" i="13"/>
  <c r="N66" i="13"/>
  <c r="Q65" i="13"/>
  <c r="P65" i="13"/>
  <c r="O65" i="13"/>
  <c r="N65" i="13"/>
  <c r="Q64" i="13"/>
  <c r="P64" i="13"/>
  <c r="O64" i="13"/>
  <c r="N64" i="13"/>
  <c r="Q63" i="13"/>
  <c r="P63" i="13"/>
  <c r="O63" i="13"/>
  <c r="N63" i="13"/>
  <c r="Q62" i="13"/>
  <c r="P62" i="13"/>
  <c r="O62" i="13"/>
  <c r="N62" i="13"/>
  <c r="Q61" i="13"/>
  <c r="P61" i="13"/>
  <c r="O61" i="13"/>
  <c r="N61" i="13"/>
  <c r="Q60" i="13"/>
  <c r="P60" i="13"/>
  <c r="O60" i="13"/>
  <c r="N60" i="13"/>
  <c r="Q59" i="13"/>
  <c r="P59" i="13"/>
  <c r="O59" i="13"/>
  <c r="N59" i="13"/>
  <c r="Q58" i="13"/>
  <c r="P58" i="13"/>
  <c r="O58" i="13"/>
  <c r="N58" i="13"/>
  <c r="Q57" i="13"/>
  <c r="P57" i="13"/>
  <c r="O57" i="13"/>
  <c r="N57" i="13"/>
  <c r="Q56" i="13"/>
  <c r="P56" i="13"/>
  <c r="O56" i="13"/>
  <c r="N56" i="13"/>
  <c r="Q55" i="13"/>
  <c r="P55" i="13"/>
  <c r="O55" i="13"/>
  <c r="N55" i="13"/>
  <c r="K48" i="13"/>
  <c r="J48" i="13"/>
  <c r="I48" i="13"/>
  <c r="H48" i="13"/>
  <c r="G48" i="13"/>
  <c r="F48" i="13"/>
  <c r="E48" i="13"/>
  <c r="D48" i="13"/>
  <c r="C48" i="13"/>
  <c r="B48" i="13"/>
  <c r="A48" i="13"/>
  <c r="K47" i="13"/>
  <c r="J47" i="13"/>
  <c r="I47" i="13"/>
  <c r="H47" i="13"/>
  <c r="G47" i="13"/>
  <c r="F47" i="13"/>
  <c r="E47" i="13"/>
  <c r="D47" i="13"/>
  <c r="C47" i="13"/>
  <c r="B47" i="13"/>
  <c r="A47" i="13"/>
  <c r="K46" i="13"/>
  <c r="J46" i="13"/>
  <c r="I46" i="13"/>
  <c r="H46" i="13"/>
  <c r="G46" i="13"/>
  <c r="F46" i="13"/>
  <c r="E46" i="13"/>
  <c r="D46" i="13"/>
  <c r="C46" i="13"/>
  <c r="B46" i="13"/>
  <c r="A46" i="13"/>
  <c r="K45" i="13"/>
  <c r="J45" i="13"/>
  <c r="I45" i="13"/>
  <c r="H45" i="13"/>
  <c r="G45" i="13"/>
  <c r="F45" i="13"/>
  <c r="E45" i="13"/>
  <c r="D45" i="13"/>
  <c r="C45" i="13"/>
  <c r="B45" i="13"/>
  <c r="A45" i="13"/>
  <c r="K44" i="13"/>
  <c r="J44" i="13"/>
  <c r="I44" i="13"/>
  <c r="H44" i="13"/>
  <c r="G44" i="13"/>
  <c r="F44" i="13"/>
  <c r="E44" i="13"/>
  <c r="D44" i="13"/>
  <c r="C44" i="13"/>
  <c r="B44" i="13"/>
  <c r="A44" i="13"/>
  <c r="K43" i="13"/>
  <c r="J43" i="13"/>
  <c r="I43" i="13"/>
  <c r="H43" i="13"/>
  <c r="G43" i="13"/>
  <c r="F43" i="13"/>
  <c r="E43" i="13"/>
  <c r="D43" i="13"/>
  <c r="C43" i="13"/>
  <c r="B43" i="13"/>
  <c r="A43" i="13"/>
  <c r="K42" i="13"/>
  <c r="J42" i="13"/>
  <c r="I42" i="13"/>
  <c r="H42" i="13"/>
  <c r="G42" i="13"/>
  <c r="F42" i="13"/>
  <c r="E42" i="13"/>
  <c r="D42" i="13"/>
  <c r="C42" i="13"/>
  <c r="B42" i="13"/>
  <c r="A42" i="13"/>
  <c r="K41" i="13"/>
  <c r="J41" i="13"/>
  <c r="I41" i="13"/>
  <c r="H41" i="13"/>
  <c r="G41" i="13"/>
  <c r="F41" i="13"/>
  <c r="E41" i="13"/>
  <c r="D41" i="13"/>
  <c r="C41" i="13"/>
  <c r="B41" i="13"/>
  <c r="A41" i="13"/>
  <c r="K40" i="13"/>
  <c r="J40" i="13"/>
  <c r="I40" i="13"/>
  <c r="H40" i="13"/>
  <c r="G40" i="13"/>
  <c r="F40" i="13"/>
  <c r="E40" i="13"/>
  <c r="D40" i="13"/>
  <c r="C40" i="13"/>
  <c r="B40" i="13"/>
  <c r="A40" i="13"/>
  <c r="K39" i="13"/>
  <c r="J39" i="13"/>
  <c r="I39" i="13"/>
  <c r="H39" i="13"/>
  <c r="G39" i="13"/>
  <c r="F39" i="13"/>
  <c r="E39" i="13"/>
  <c r="D39" i="13"/>
  <c r="C39" i="13"/>
  <c r="B39" i="13"/>
  <c r="A39" i="13"/>
  <c r="K38" i="13"/>
  <c r="J38" i="13"/>
  <c r="I38" i="13"/>
  <c r="H38" i="13"/>
  <c r="G38" i="13"/>
  <c r="F38" i="13"/>
  <c r="E38" i="13"/>
  <c r="D38" i="13"/>
  <c r="C38" i="13"/>
  <c r="B38" i="13"/>
  <c r="A38" i="13"/>
  <c r="K37" i="13"/>
  <c r="J37" i="13"/>
  <c r="I37" i="13"/>
  <c r="H37" i="13"/>
  <c r="G37" i="13"/>
  <c r="F37" i="13"/>
  <c r="E37" i="13"/>
  <c r="D37" i="13"/>
  <c r="C37" i="13"/>
  <c r="B37" i="13"/>
  <c r="A37" i="13"/>
  <c r="K36" i="13"/>
  <c r="J36" i="13"/>
  <c r="I36" i="13"/>
  <c r="H36" i="13"/>
  <c r="G36" i="13"/>
  <c r="F36" i="13"/>
  <c r="E36" i="13"/>
  <c r="D36" i="13"/>
  <c r="C36" i="13"/>
  <c r="B36" i="13"/>
  <c r="A36" i="13"/>
  <c r="K35" i="13"/>
  <c r="J35" i="13"/>
  <c r="I35" i="13"/>
  <c r="H35" i="13"/>
  <c r="G35" i="13"/>
  <c r="F35" i="13"/>
  <c r="E35" i="13"/>
  <c r="D35" i="13"/>
  <c r="C35" i="13"/>
  <c r="B35" i="13"/>
  <c r="A35" i="13"/>
  <c r="K34" i="13"/>
  <c r="J34" i="13"/>
  <c r="I34" i="13"/>
  <c r="H34" i="13"/>
  <c r="G34" i="13"/>
  <c r="F34" i="13"/>
  <c r="E34" i="13"/>
  <c r="D34" i="13"/>
  <c r="C34" i="13"/>
  <c r="B34" i="13"/>
  <c r="A34" i="13"/>
  <c r="K33" i="13"/>
  <c r="J33" i="13"/>
  <c r="I33" i="13"/>
  <c r="H33" i="13"/>
  <c r="G33" i="13"/>
  <c r="F33" i="13"/>
  <c r="E33" i="13"/>
  <c r="D33" i="13"/>
  <c r="C33" i="13"/>
  <c r="B33" i="13"/>
  <c r="A33" i="13"/>
  <c r="K32" i="13"/>
  <c r="J32" i="13"/>
  <c r="I32" i="13"/>
  <c r="H32" i="13"/>
  <c r="G32" i="13"/>
  <c r="F32" i="13"/>
  <c r="E32" i="13"/>
  <c r="D32" i="13"/>
  <c r="C32" i="13"/>
  <c r="B32" i="13"/>
  <c r="A32" i="13"/>
  <c r="K31" i="13"/>
  <c r="J31" i="13"/>
  <c r="I31" i="13"/>
  <c r="H31" i="13"/>
  <c r="G31" i="13"/>
  <c r="F31" i="13"/>
  <c r="E31" i="13"/>
  <c r="D31" i="13"/>
  <c r="C31" i="13"/>
  <c r="B31" i="13"/>
  <c r="A31" i="13"/>
  <c r="K30" i="13"/>
  <c r="J30" i="13"/>
  <c r="I30" i="13"/>
  <c r="H30" i="13"/>
  <c r="G30" i="13"/>
  <c r="F30" i="13"/>
  <c r="E30" i="13"/>
  <c r="D30" i="13"/>
  <c r="C30" i="13"/>
  <c r="B30" i="13"/>
  <c r="A30" i="13"/>
  <c r="K29" i="13"/>
  <c r="J29" i="13"/>
  <c r="I29" i="13"/>
  <c r="H29" i="13"/>
  <c r="G29" i="13"/>
  <c r="F29" i="13"/>
  <c r="E29" i="13"/>
  <c r="D29" i="13"/>
  <c r="C29" i="13"/>
  <c r="B29" i="13"/>
  <c r="A29" i="13"/>
  <c r="K28" i="13"/>
  <c r="J28" i="13"/>
  <c r="I28" i="13"/>
  <c r="H28" i="13"/>
  <c r="G28" i="13"/>
  <c r="F28" i="13"/>
  <c r="E28" i="13"/>
  <c r="D28" i="13"/>
  <c r="C28" i="13"/>
  <c r="B28" i="13"/>
  <c r="A28" i="13"/>
  <c r="K27" i="13"/>
  <c r="J27" i="13"/>
  <c r="I27" i="13"/>
  <c r="H27" i="13"/>
  <c r="G27" i="13"/>
  <c r="F27" i="13"/>
  <c r="E27" i="13"/>
  <c r="D27" i="13"/>
  <c r="C27" i="13"/>
  <c r="B27" i="13"/>
  <c r="A27" i="13"/>
  <c r="K26" i="13"/>
  <c r="J26" i="13"/>
  <c r="I26" i="13"/>
  <c r="H26" i="13"/>
  <c r="G26" i="13"/>
  <c r="F26" i="13"/>
  <c r="E26" i="13"/>
  <c r="D26" i="13"/>
  <c r="C26" i="13"/>
  <c r="B26" i="13"/>
  <c r="A26" i="13"/>
  <c r="K25" i="13"/>
  <c r="J25" i="13"/>
  <c r="I25" i="13"/>
  <c r="H25" i="13"/>
  <c r="G25" i="13"/>
  <c r="F25" i="13"/>
  <c r="E25" i="13"/>
  <c r="D25" i="13"/>
  <c r="C25" i="13"/>
  <c r="B25" i="13"/>
  <c r="A25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M8" i="11"/>
  <c r="L8" i="11"/>
  <c r="M7" i="11"/>
  <c r="L7" i="11"/>
  <c r="M6" i="11"/>
  <c r="L6" i="11"/>
  <c r="M5" i="11"/>
  <c r="L5" i="11"/>
  <c r="M4" i="11"/>
  <c r="L4" i="11"/>
  <c r="M3" i="11"/>
  <c r="L3" i="11"/>
  <c r="M2" i="11"/>
  <c r="L2" i="11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J361" i="6"/>
  <c r="I361" i="6"/>
  <c r="J360" i="6"/>
  <c r="I360" i="6"/>
  <c r="J359" i="6"/>
  <c r="I359" i="6"/>
  <c r="J358" i="6"/>
  <c r="I358" i="6"/>
  <c r="J357" i="6"/>
  <c r="I357" i="6"/>
  <c r="A357" i="6"/>
  <c r="J356" i="6"/>
  <c r="I356" i="6"/>
  <c r="A356" i="6"/>
  <c r="J355" i="6"/>
  <c r="I355" i="6"/>
  <c r="A355" i="6"/>
  <c r="J354" i="6"/>
  <c r="I354" i="6"/>
  <c r="A354" i="6"/>
  <c r="J353" i="6"/>
  <c r="I353" i="6"/>
  <c r="A353" i="6"/>
  <c r="J352" i="6"/>
  <c r="I352" i="6"/>
  <c r="A352" i="6"/>
  <c r="J351" i="6"/>
  <c r="I351" i="6"/>
  <c r="J350" i="6"/>
  <c r="I350" i="6"/>
  <c r="A350" i="6"/>
  <c r="J349" i="6"/>
  <c r="I349" i="6"/>
  <c r="A349" i="6"/>
  <c r="J348" i="6"/>
  <c r="I348" i="6"/>
  <c r="A348" i="6"/>
  <c r="J347" i="6"/>
  <c r="I347" i="6"/>
  <c r="J346" i="6"/>
  <c r="I346" i="6"/>
  <c r="J345" i="6"/>
  <c r="I345" i="6"/>
  <c r="A345" i="6"/>
  <c r="J344" i="6"/>
  <c r="I344" i="6"/>
  <c r="A344" i="6"/>
  <c r="J343" i="6"/>
  <c r="I343" i="6"/>
  <c r="J342" i="6"/>
  <c r="I342" i="6"/>
  <c r="J341" i="6"/>
  <c r="I341" i="6"/>
  <c r="J340" i="6"/>
  <c r="I340" i="6"/>
  <c r="J339" i="6"/>
  <c r="I339" i="6"/>
  <c r="J338" i="6"/>
  <c r="I338" i="6"/>
  <c r="J337" i="6"/>
  <c r="I337" i="6"/>
  <c r="J336" i="6"/>
  <c r="I336" i="6"/>
  <c r="J335" i="6"/>
  <c r="I335" i="6"/>
  <c r="J334" i="6"/>
  <c r="I334" i="6"/>
  <c r="J333" i="6"/>
  <c r="I333" i="6"/>
  <c r="J332" i="6"/>
  <c r="I332" i="6"/>
  <c r="J331" i="6"/>
  <c r="I331" i="6"/>
  <c r="J330" i="6"/>
  <c r="I330" i="6"/>
  <c r="J329" i="6"/>
  <c r="I329" i="6"/>
  <c r="J328" i="6"/>
  <c r="I328" i="6"/>
  <c r="J327" i="6"/>
  <c r="I327" i="6"/>
  <c r="A327" i="6"/>
  <c r="J326" i="6"/>
  <c r="I326" i="6"/>
  <c r="J325" i="6"/>
  <c r="I325" i="6"/>
  <c r="J324" i="6"/>
  <c r="I324" i="6"/>
  <c r="A324" i="6"/>
  <c r="J323" i="6"/>
  <c r="I323" i="6"/>
  <c r="A323" i="6"/>
  <c r="J322" i="6"/>
  <c r="I322" i="6"/>
  <c r="J321" i="6"/>
  <c r="I321" i="6"/>
  <c r="J320" i="6"/>
  <c r="I320" i="6"/>
  <c r="A320" i="6"/>
  <c r="J319" i="6"/>
  <c r="I319" i="6"/>
  <c r="J318" i="6"/>
  <c r="I318" i="6"/>
  <c r="J317" i="6"/>
  <c r="I317" i="6"/>
  <c r="A317" i="6"/>
  <c r="J316" i="6"/>
  <c r="I316" i="6"/>
  <c r="A316" i="6"/>
  <c r="J315" i="6"/>
  <c r="I315" i="6"/>
  <c r="A315" i="6"/>
  <c r="J314" i="6"/>
  <c r="I314" i="6"/>
  <c r="A314" i="6"/>
  <c r="J313" i="6"/>
  <c r="I313" i="6"/>
  <c r="A313" i="6"/>
  <c r="J312" i="6"/>
  <c r="I312" i="6"/>
  <c r="J311" i="6"/>
  <c r="I311" i="6"/>
  <c r="J310" i="6"/>
  <c r="I310" i="6"/>
  <c r="J309" i="6"/>
  <c r="I309" i="6"/>
  <c r="A309" i="6"/>
  <c r="J308" i="6"/>
  <c r="I308" i="6"/>
  <c r="J307" i="6"/>
  <c r="I307" i="6"/>
  <c r="A307" i="6"/>
  <c r="J306" i="6"/>
  <c r="I306" i="6"/>
  <c r="J305" i="6"/>
  <c r="I305" i="6"/>
  <c r="J304" i="6"/>
  <c r="I304" i="6"/>
  <c r="A304" i="6"/>
  <c r="J303" i="6"/>
  <c r="I303" i="6"/>
  <c r="A303" i="6"/>
  <c r="J302" i="6"/>
  <c r="I302" i="6"/>
  <c r="J301" i="6"/>
  <c r="I301" i="6"/>
  <c r="A301" i="6"/>
  <c r="J300" i="6"/>
  <c r="I300" i="6"/>
  <c r="A300" i="6"/>
  <c r="J299" i="6"/>
  <c r="I299" i="6"/>
  <c r="A299" i="6"/>
  <c r="J298" i="6"/>
  <c r="I298" i="6"/>
  <c r="A298" i="6"/>
  <c r="J297" i="6"/>
  <c r="I297" i="6"/>
  <c r="J296" i="6"/>
  <c r="I296" i="6"/>
  <c r="J295" i="6"/>
  <c r="I295" i="6"/>
  <c r="A295" i="6"/>
  <c r="J294" i="6"/>
  <c r="I294" i="6"/>
  <c r="J293" i="6"/>
  <c r="I293" i="6"/>
  <c r="J292" i="6"/>
  <c r="I292" i="6"/>
  <c r="A292" i="6"/>
  <c r="J291" i="6"/>
  <c r="I291" i="6"/>
  <c r="J290" i="6"/>
  <c r="I290" i="6"/>
  <c r="J289" i="6"/>
  <c r="I289" i="6"/>
  <c r="A289" i="6"/>
  <c r="J288" i="6"/>
  <c r="I288" i="6"/>
  <c r="J287" i="6"/>
  <c r="I287" i="6"/>
  <c r="A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A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A273" i="6"/>
  <c r="J272" i="6"/>
  <c r="I272" i="6"/>
  <c r="J271" i="6"/>
  <c r="I271" i="6"/>
  <c r="A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A262" i="6"/>
  <c r="J261" i="6"/>
  <c r="I261" i="6"/>
  <c r="J260" i="6"/>
  <c r="I260" i="6"/>
  <c r="A260" i="6"/>
  <c r="J259" i="6"/>
  <c r="I259" i="6"/>
  <c r="J258" i="6"/>
  <c r="I258" i="6"/>
  <c r="J257" i="6"/>
  <c r="I257" i="6"/>
  <c r="J256" i="6"/>
  <c r="I256" i="6"/>
  <c r="J255" i="6"/>
  <c r="I255" i="6"/>
  <c r="A255" i="6"/>
  <c r="J254" i="6"/>
  <c r="I254" i="6"/>
  <c r="J253" i="6"/>
  <c r="I253" i="6"/>
  <c r="J252" i="6"/>
  <c r="I252" i="6"/>
  <c r="A252" i="6"/>
  <c r="J251" i="6"/>
  <c r="I251" i="6"/>
  <c r="J250" i="6"/>
  <c r="I250" i="6"/>
  <c r="J249" i="6"/>
  <c r="I249" i="6"/>
  <c r="A249" i="6"/>
  <c r="J248" i="6"/>
  <c r="I248" i="6"/>
  <c r="A248" i="6"/>
  <c r="J247" i="6"/>
  <c r="I247" i="6"/>
  <c r="A247" i="6"/>
  <c r="J246" i="6"/>
  <c r="I246" i="6"/>
  <c r="J245" i="6"/>
  <c r="I245" i="6"/>
  <c r="J244" i="6"/>
  <c r="I244" i="6"/>
  <c r="J243" i="6"/>
  <c r="I243" i="6"/>
  <c r="J242" i="6"/>
  <c r="I242" i="6"/>
  <c r="A242" i="6"/>
  <c r="J241" i="6"/>
  <c r="I241" i="6"/>
  <c r="A241" i="6"/>
  <c r="J240" i="6"/>
  <c r="I240" i="6"/>
  <c r="J239" i="6"/>
  <c r="I239" i="6"/>
  <c r="A239" i="6"/>
  <c r="J238" i="6"/>
  <c r="I238" i="6"/>
  <c r="J237" i="6"/>
  <c r="I237" i="6"/>
  <c r="J236" i="6"/>
  <c r="I236" i="6"/>
  <c r="J235" i="6"/>
  <c r="I235" i="6"/>
  <c r="J234" i="6"/>
  <c r="I234" i="6"/>
  <c r="A234" i="6"/>
  <c r="J233" i="6"/>
  <c r="I233" i="6"/>
  <c r="J232" i="6"/>
  <c r="I232" i="6"/>
  <c r="A232" i="6"/>
  <c r="J231" i="6"/>
  <c r="I231" i="6"/>
  <c r="A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A222" i="6"/>
  <c r="J221" i="6"/>
  <c r="I221" i="6"/>
  <c r="J220" i="6"/>
  <c r="I220" i="6"/>
  <c r="A220" i="6"/>
  <c r="J219" i="6"/>
  <c r="I219" i="6"/>
  <c r="A219" i="6"/>
  <c r="J218" i="6"/>
  <c r="I218" i="6"/>
  <c r="A218" i="6"/>
  <c r="J217" i="6"/>
  <c r="I217" i="6"/>
  <c r="A217" i="6"/>
  <c r="J216" i="6"/>
  <c r="I216" i="6"/>
  <c r="J215" i="6"/>
  <c r="I215" i="6"/>
  <c r="J214" i="6"/>
  <c r="I214" i="6"/>
  <c r="J213" i="6"/>
  <c r="I213" i="6"/>
  <c r="A213" i="6"/>
  <c r="J212" i="6"/>
  <c r="I212" i="6"/>
  <c r="A212" i="6"/>
  <c r="J211" i="6"/>
  <c r="I211" i="6"/>
  <c r="J210" i="6"/>
  <c r="I210" i="6"/>
  <c r="A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A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A191" i="6"/>
  <c r="J190" i="6"/>
  <c r="I190" i="6"/>
  <c r="J189" i="6"/>
  <c r="I189" i="6"/>
  <c r="J188" i="6"/>
  <c r="I188" i="6"/>
  <c r="J187" i="6"/>
  <c r="I187" i="6"/>
  <c r="J186" i="6"/>
  <c r="I186" i="6"/>
  <c r="A186" i="6"/>
  <c r="J185" i="6"/>
  <c r="I185" i="6"/>
  <c r="J184" i="6"/>
  <c r="I184" i="6"/>
  <c r="A184" i="6"/>
  <c r="J183" i="6"/>
  <c r="I183" i="6"/>
  <c r="A183" i="6"/>
  <c r="J182" i="6"/>
  <c r="I182" i="6"/>
  <c r="A182" i="6"/>
  <c r="J181" i="6"/>
  <c r="I181" i="6"/>
  <c r="A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A175" i="6"/>
  <c r="J174" i="6"/>
  <c r="I174" i="6"/>
  <c r="J173" i="6"/>
  <c r="I173" i="6"/>
  <c r="A173" i="6"/>
  <c r="J172" i="6"/>
  <c r="I172" i="6"/>
  <c r="J171" i="6"/>
  <c r="I171" i="6"/>
  <c r="J170" i="6"/>
  <c r="I170" i="6"/>
  <c r="A170" i="6"/>
  <c r="J169" i="6"/>
  <c r="I169" i="6"/>
  <c r="A169" i="6"/>
  <c r="J168" i="6"/>
  <c r="I168" i="6"/>
  <c r="J167" i="6"/>
  <c r="I167" i="6"/>
  <c r="J166" i="6"/>
  <c r="I166" i="6"/>
  <c r="J165" i="6"/>
  <c r="I165" i="6"/>
  <c r="J164" i="6"/>
  <c r="I164" i="6"/>
  <c r="A164" i="6"/>
  <c r="J163" i="6"/>
  <c r="I163" i="6"/>
  <c r="A163" i="6"/>
  <c r="J162" i="6"/>
  <c r="I162" i="6"/>
  <c r="A162" i="6"/>
  <c r="J161" i="6"/>
  <c r="I161" i="6"/>
  <c r="A161" i="6"/>
  <c r="J160" i="6"/>
  <c r="I160" i="6"/>
  <c r="A160" i="6"/>
  <c r="J159" i="6"/>
  <c r="I159" i="6"/>
  <c r="A159" i="6"/>
  <c r="J158" i="6"/>
  <c r="I158" i="6"/>
  <c r="A158" i="6"/>
  <c r="J157" i="6"/>
  <c r="I157" i="6"/>
  <c r="A157" i="6"/>
  <c r="J156" i="6"/>
  <c r="I156" i="6"/>
  <c r="A156" i="6"/>
  <c r="J155" i="6"/>
  <c r="I155" i="6"/>
  <c r="A155" i="6"/>
  <c r="J154" i="6"/>
  <c r="I154" i="6"/>
  <c r="A154" i="6"/>
  <c r="J153" i="6"/>
  <c r="I153" i="6"/>
  <c r="A153" i="6"/>
  <c r="J152" i="6"/>
  <c r="I152" i="6"/>
  <c r="A152" i="6"/>
  <c r="J151" i="6"/>
  <c r="I151" i="6"/>
  <c r="A151" i="6"/>
  <c r="J150" i="6"/>
  <c r="I150" i="6"/>
  <c r="A150" i="6"/>
  <c r="J149" i="6"/>
  <c r="I149" i="6"/>
  <c r="A149" i="6"/>
  <c r="J148" i="6"/>
  <c r="I148" i="6"/>
  <c r="A148" i="6"/>
  <c r="J147" i="6"/>
  <c r="I147" i="6"/>
  <c r="A147" i="6"/>
  <c r="J146" i="6"/>
  <c r="I146" i="6"/>
  <c r="A146" i="6"/>
  <c r="J145" i="6"/>
  <c r="I145" i="6"/>
  <c r="A145" i="6"/>
  <c r="J144" i="6"/>
  <c r="I144" i="6"/>
  <c r="A144" i="6"/>
  <c r="J143" i="6"/>
  <c r="I143" i="6"/>
  <c r="A143" i="6"/>
  <c r="J142" i="6"/>
  <c r="I142" i="6"/>
  <c r="A142" i="6"/>
  <c r="J141" i="6"/>
  <c r="I141" i="6"/>
  <c r="A141" i="6"/>
  <c r="J140" i="6"/>
  <c r="I140" i="6"/>
  <c r="A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A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A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A105" i="6"/>
  <c r="J104" i="6"/>
  <c r="I104" i="6"/>
  <c r="J103" i="6"/>
  <c r="I103" i="6"/>
  <c r="J102" i="6"/>
  <c r="I102" i="6"/>
  <c r="J101" i="6"/>
  <c r="I101" i="6"/>
  <c r="A101" i="6"/>
  <c r="J100" i="6"/>
  <c r="I100" i="6"/>
  <c r="J99" i="6"/>
  <c r="I99" i="6"/>
  <c r="J98" i="6"/>
  <c r="I98" i="6"/>
  <c r="A98" i="6"/>
  <c r="J97" i="6"/>
  <c r="I97" i="6"/>
  <c r="J96" i="6"/>
  <c r="I96" i="6"/>
  <c r="A96" i="6"/>
  <c r="J95" i="6"/>
  <c r="I95" i="6"/>
  <c r="J94" i="6"/>
  <c r="I94" i="6"/>
  <c r="J93" i="6"/>
  <c r="I93" i="6"/>
  <c r="A93" i="6"/>
  <c r="J92" i="6"/>
  <c r="I92" i="6"/>
  <c r="A92" i="6"/>
  <c r="J91" i="6"/>
  <c r="I91" i="6"/>
  <c r="A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A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A47" i="6"/>
  <c r="J46" i="6"/>
  <c r="I46" i="6"/>
  <c r="J45" i="6"/>
  <c r="I45" i="6"/>
  <c r="A45" i="6"/>
  <c r="J44" i="6"/>
  <c r="I44" i="6"/>
  <c r="J43" i="6"/>
  <c r="I43" i="6"/>
  <c r="A43" i="6"/>
  <c r="J42" i="6"/>
  <c r="I42" i="6"/>
  <c r="J41" i="6"/>
  <c r="I41" i="6"/>
  <c r="J40" i="6"/>
  <c r="I40" i="6"/>
  <c r="A40" i="6"/>
  <c r="J39" i="6"/>
  <c r="I39" i="6"/>
  <c r="J38" i="6"/>
  <c r="I38" i="6"/>
  <c r="J37" i="6"/>
  <c r="I37" i="6"/>
  <c r="J36" i="6"/>
  <c r="I36" i="6"/>
  <c r="A36" i="6"/>
  <c r="J35" i="6"/>
  <c r="I35" i="6"/>
  <c r="J34" i="6"/>
  <c r="I34" i="6"/>
  <c r="A34" i="6"/>
  <c r="J33" i="6"/>
  <c r="I33" i="6"/>
  <c r="A33" i="6"/>
  <c r="J32" i="6"/>
  <c r="I32" i="6"/>
  <c r="A32" i="6"/>
  <c r="J31" i="6"/>
  <c r="I31" i="6"/>
  <c r="J30" i="6"/>
  <c r="I30" i="6"/>
  <c r="J29" i="6"/>
  <c r="I29" i="6"/>
  <c r="J28" i="6"/>
  <c r="I28" i="6"/>
  <c r="A28" i="6"/>
  <c r="J27" i="6"/>
  <c r="I27" i="6"/>
  <c r="A27" i="6"/>
  <c r="J26" i="6"/>
  <c r="I26" i="6"/>
  <c r="J25" i="6"/>
  <c r="I25" i="6"/>
  <c r="A25" i="6"/>
  <c r="J24" i="6"/>
  <c r="I24" i="6"/>
  <c r="J23" i="6"/>
  <c r="I23" i="6"/>
  <c r="J22" i="6"/>
  <c r="I22" i="6"/>
  <c r="A22" i="6"/>
  <c r="J21" i="6"/>
  <c r="I21" i="6"/>
  <c r="J20" i="6"/>
  <c r="I20" i="6"/>
  <c r="A20" i="6"/>
  <c r="J19" i="6"/>
  <c r="I19" i="6"/>
  <c r="J18" i="6"/>
  <c r="I18" i="6"/>
  <c r="J17" i="6"/>
  <c r="I17" i="6"/>
  <c r="J16" i="6"/>
  <c r="I16" i="6"/>
  <c r="A16" i="6"/>
  <c r="J15" i="6"/>
  <c r="I15" i="6"/>
  <c r="A15" i="6"/>
  <c r="J14" i="6"/>
  <c r="I14" i="6"/>
  <c r="A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P25" i="5"/>
  <c r="O25" i="5"/>
  <c r="N25" i="5"/>
  <c r="M25" i="5"/>
  <c r="L25" i="5"/>
  <c r="P24" i="5"/>
  <c r="O24" i="5"/>
  <c r="N24" i="5"/>
  <c r="M24" i="5"/>
  <c r="L24" i="5"/>
  <c r="P23" i="5"/>
  <c r="O23" i="5"/>
  <c r="N23" i="5"/>
  <c r="M23" i="5"/>
  <c r="L23" i="5"/>
  <c r="P22" i="5"/>
  <c r="O22" i="5"/>
  <c r="N22" i="5"/>
  <c r="M22" i="5"/>
  <c r="L22" i="5"/>
  <c r="P21" i="5"/>
  <c r="O21" i="5"/>
  <c r="N21" i="5"/>
  <c r="M21" i="5"/>
  <c r="L21" i="5"/>
  <c r="P20" i="5"/>
  <c r="O20" i="5"/>
  <c r="N20" i="5"/>
  <c r="M20" i="5"/>
  <c r="L20" i="5"/>
  <c r="P19" i="5"/>
  <c r="O19" i="5"/>
  <c r="N19" i="5"/>
  <c r="M19" i="5"/>
  <c r="L19" i="5"/>
  <c r="P18" i="5"/>
  <c r="O18" i="5"/>
  <c r="N18" i="5"/>
  <c r="M18" i="5"/>
  <c r="L18" i="5"/>
  <c r="P17" i="5"/>
  <c r="O17" i="5"/>
  <c r="N17" i="5"/>
  <c r="M17" i="5"/>
  <c r="L17" i="5"/>
  <c r="P16" i="5"/>
  <c r="O16" i="5"/>
  <c r="N16" i="5"/>
  <c r="M16" i="5"/>
  <c r="L16" i="5"/>
  <c r="P15" i="5"/>
  <c r="O15" i="5"/>
  <c r="N15" i="5"/>
  <c r="M15" i="5"/>
  <c r="L15" i="5"/>
  <c r="P14" i="5"/>
  <c r="O14" i="5"/>
  <c r="N14" i="5"/>
  <c r="M14" i="5"/>
  <c r="L14" i="5"/>
  <c r="P13" i="5"/>
  <c r="O13" i="5"/>
  <c r="N13" i="5"/>
  <c r="M13" i="5"/>
  <c r="L13" i="5"/>
  <c r="P12" i="5"/>
  <c r="O12" i="5"/>
  <c r="N12" i="5"/>
  <c r="M12" i="5"/>
  <c r="L12" i="5"/>
  <c r="P11" i="5"/>
  <c r="O11" i="5"/>
  <c r="N11" i="5"/>
  <c r="M11" i="5"/>
  <c r="L11" i="5"/>
  <c r="P10" i="5"/>
  <c r="O10" i="5"/>
  <c r="N10" i="5"/>
  <c r="M10" i="5"/>
  <c r="L10" i="5"/>
  <c r="P9" i="5"/>
  <c r="O9" i="5"/>
  <c r="N9" i="5"/>
  <c r="M9" i="5"/>
  <c r="L9" i="5"/>
  <c r="P8" i="5"/>
  <c r="O8" i="5"/>
  <c r="N8" i="5"/>
  <c r="M8" i="5"/>
  <c r="L8" i="5"/>
  <c r="P7" i="5"/>
  <c r="O7" i="5"/>
  <c r="N7" i="5"/>
  <c r="M7" i="5"/>
  <c r="L7" i="5"/>
  <c r="P6" i="5"/>
  <c r="O6" i="5"/>
  <c r="N6" i="5"/>
  <c r="M6" i="5"/>
  <c r="L6" i="5"/>
  <c r="P5" i="5"/>
  <c r="O5" i="5"/>
  <c r="N5" i="5"/>
  <c r="M5" i="5"/>
  <c r="L5" i="5"/>
  <c r="P4" i="5"/>
  <c r="O4" i="5"/>
  <c r="N4" i="5"/>
  <c r="M4" i="5"/>
  <c r="L4" i="5"/>
  <c r="P3" i="5"/>
  <c r="O3" i="5"/>
  <c r="N3" i="5"/>
  <c r="M3" i="5"/>
  <c r="L3" i="5"/>
  <c r="P2" i="5"/>
  <c r="O2" i="5"/>
  <c r="N2" i="5"/>
  <c r="M2" i="5"/>
  <c r="L2" i="5"/>
  <c r="F345" i="6" l="1"/>
  <c r="A340" i="6"/>
  <c r="A334" i="6"/>
  <c r="A330" i="6"/>
  <c r="A328" i="6"/>
  <c r="A325" i="6"/>
  <c r="A319" i="6"/>
  <c r="A312" i="6"/>
  <c r="A291" i="6"/>
  <c r="A290" i="6"/>
  <c r="A284" i="6"/>
  <c r="A283" i="6"/>
  <c r="A278" i="6"/>
  <c r="A263" i="6"/>
  <c r="A253" i="6"/>
  <c r="A245" i="6"/>
  <c r="A244" i="6"/>
  <c r="A243" i="6"/>
  <c r="A240" i="6"/>
  <c r="A227" i="6"/>
  <c r="A211" i="6"/>
  <c r="A187" i="6"/>
  <c r="A179" i="6"/>
  <c r="A178" i="6"/>
  <c r="A117" i="6"/>
  <c r="A113" i="6"/>
  <c r="A111" i="6"/>
  <c r="A109" i="6"/>
  <c r="A99" i="6"/>
  <c r="A87" i="6"/>
  <c r="A79" i="6"/>
  <c r="A73" i="6"/>
  <c r="A68" i="6"/>
  <c r="A58" i="6"/>
  <c r="A49" i="6"/>
  <c r="A42" i="6"/>
  <c r="A41" i="6"/>
  <c r="A17" i="6"/>
  <c r="A9" i="6"/>
  <c r="A3" i="6"/>
  <c r="A165" i="6"/>
  <c r="G157" i="6"/>
  <c r="A135" i="6"/>
  <c r="A130" i="6"/>
  <c r="A123" i="6"/>
  <c r="A114" i="6"/>
  <c r="A85" i="6"/>
  <c r="A78" i="6"/>
  <c r="A74" i="6"/>
  <c r="A70" i="6"/>
  <c r="A62" i="6"/>
  <c r="A51" i="6"/>
  <c r="A358" i="6"/>
  <c r="A351" i="6"/>
  <c r="A346" i="6"/>
  <c r="A331" i="6"/>
  <c r="A288" i="6"/>
  <c r="A281" i="6"/>
  <c r="A277" i="6"/>
  <c r="A275" i="6"/>
  <c r="A269" i="6"/>
  <c r="A237" i="6"/>
  <c r="A236" i="6"/>
  <c r="A235" i="6"/>
  <c r="A225" i="6"/>
  <c r="A215" i="6"/>
  <c r="A209" i="6"/>
  <c r="A208" i="6"/>
  <c r="A207" i="6"/>
  <c r="A204" i="6"/>
  <c r="A194" i="6"/>
  <c r="A180" i="6"/>
  <c r="A174" i="6"/>
  <c r="A132" i="6"/>
  <c r="A128" i="6"/>
  <c r="A90" i="6"/>
  <c r="A76" i="6"/>
  <c r="A64" i="6"/>
  <c r="A57" i="6"/>
  <c r="A52" i="6"/>
  <c r="A29" i="6"/>
  <c r="A6" i="6"/>
  <c r="A342" i="6"/>
  <c r="A338" i="6"/>
  <c r="A326" i="6"/>
  <c r="A308" i="6"/>
  <c r="A305" i="6"/>
  <c r="A296" i="6"/>
  <c r="A294" i="6"/>
  <c r="A293" i="6"/>
  <c r="A274" i="6"/>
  <c r="A267" i="6"/>
  <c r="A251" i="6"/>
  <c r="A250" i="6"/>
  <c r="A230" i="6"/>
  <c r="A221" i="6"/>
  <c r="A216" i="6"/>
  <c r="A214" i="6"/>
  <c r="A172" i="6"/>
  <c r="A171" i="6"/>
  <c r="A166" i="6"/>
  <c r="A127" i="6"/>
  <c r="A126" i="6"/>
  <c r="A124" i="6"/>
  <c r="A122" i="6"/>
  <c r="A120" i="6"/>
  <c r="A107" i="6"/>
  <c r="A89" i="6"/>
  <c r="A83" i="6"/>
  <c r="A81" i="6"/>
  <c r="A80" i="6"/>
  <c r="A59" i="6"/>
  <c r="A55" i="6"/>
  <c r="A53" i="6"/>
  <c r="A46" i="6"/>
  <c r="A21" i="6"/>
  <c r="A18" i="6"/>
  <c r="A13" i="6"/>
  <c r="A12" i="6"/>
  <c r="A11" i="6"/>
  <c r="A7" i="6"/>
  <c r="A347" i="6"/>
  <c r="A343" i="6"/>
  <c r="A341" i="6"/>
  <c r="A336" i="6"/>
  <c r="A335" i="6"/>
  <c r="A333" i="6"/>
  <c r="A329" i="6"/>
  <c r="A322" i="6"/>
  <c r="A318" i="6"/>
  <c r="A306" i="6"/>
  <c r="A302" i="6"/>
  <c r="A297" i="6"/>
  <c r="A282" i="6"/>
  <c r="A261" i="6"/>
  <c r="A238" i="6"/>
  <c r="A233" i="6"/>
  <c r="A223" i="6"/>
  <c r="A206" i="6"/>
  <c r="A203" i="6"/>
  <c r="A192" i="6"/>
  <c r="A177" i="6"/>
  <c r="A137" i="6"/>
  <c r="A121" i="6"/>
  <c r="A82" i="6"/>
  <c r="A65" i="6"/>
  <c r="A61" i="6"/>
  <c r="A60" i="6"/>
  <c r="A50" i="6"/>
  <c r="A48" i="6"/>
  <c r="A38" i="6"/>
  <c r="A37" i="6"/>
  <c r="A19" i="6"/>
  <c r="A321" i="6"/>
  <c r="A276" i="6"/>
  <c r="A259" i="6"/>
  <c r="A258" i="6"/>
  <c r="A257" i="6"/>
  <c r="A254" i="6"/>
  <c r="A167" i="6"/>
  <c r="A139" i="6"/>
  <c r="A118" i="6"/>
  <c r="A108" i="6"/>
  <c r="A104" i="6"/>
  <c r="A100" i="6"/>
  <c r="A86" i="6"/>
  <c r="A71" i="6"/>
  <c r="A69" i="6"/>
  <c r="A67" i="6"/>
  <c r="A44" i="6"/>
  <c r="A31" i="6"/>
  <c r="A30" i="6"/>
  <c r="A24" i="6"/>
  <c r="A23" i="6"/>
  <c r="A8" i="6"/>
  <c r="A4" i="6"/>
  <c r="A2" i="6"/>
  <c r="A339" i="6"/>
  <c r="A337" i="6"/>
  <c r="A332" i="6"/>
  <c r="A311" i="6"/>
  <c r="A310" i="6"/>
  <c r="A286" i="6"/>
  <c r="A279" i="6"/>
  <c r="A272" i="6"/>
  <c r="A270" i="6"/>
  <c r="A268" i="6"/>
  <c r="A264" i="6"/>
  <c r="A256" i="6"/>
  <c r="A246" i="6"/>
  <c r="A229" i="6"/>
  <c r="A224" i="6"/>
  <c r="A205" i="6"/>
  <c r="A201" i="6"/>
  <c r="A199" i="6"/>
  <c r="A193" i="6"/>
  <c r="A190" i="6"/>
  <c r="A189" i="6"/>
  <c r="A188" i="6"/>
  <c r="A185" i="6"/>
  <c r="A176" i="6"/>
  <c r="A168" i="6"/>
  <c r="A138" i="6"/>
  <c r="A136" i="6"/>
  <c r="A131" i="6"/>
  <c r="A129" i="6"/>
  <c r="A125" i="6"/>
  <c r="A116" i="6"/>
  <c r="A110" i="6"/>
  <c r="A106" i="6"/>
  <c r="A103" i="6"/>
  <c r="A102" i="6"/>
  <c r="A97" i="6"/>
  <c r="A95" i="6"/>
  <c r="A94" i="6"/>
  <c r="A88" i="6"/>
  <c r="A77" i="6"/>
  <c r="A75" i="6"/>
  <c r="A72" i="6"/>
  <c r="A63" i="6"/>
  <c r="A56" i="6"/>
  <c r="A35" i="6"/>
  <c r="A26" i="6"/>
  <c r="A10" i="6"/>
  <c r="A5" i="6"/>
  <c r="F409" i="13"/>
  <c r="E409" i="13"/>
  <c r="D409" i="13"/>
  <c r="C409" i="13"/>
  <c r="B409" i="13"/>
  <c r="A409" i="13"/>
  <c r="F408" i="13"/>
  <c r="E408" i="13"/>
  <c r="D408" i="13"/>
  <c r="C408" i="13"/>
  <c r="B408" i="13"/>
  <c r="A408" i="13"/>
  <c r="F407" i="13"/>
  <c r="E407" i="13"/>
  <c r="D407" i="13"/>
  <c r="C407" i="13"/>
  <c r="B407" i="13"/>
  <c r="A407" i="13"/>
  <c r="F406" i="13"/>
  <c r="E406" i="13"/>
  <c r="D406" i="13"/>
  <c r="C406" i="13"/>
  <c r="B406" i="13"/>
  <c r="A406" i="13"/>
  <c r="F405" i="13"/>
  <c r="E405" i="13"/>
  <c r="D405" i="13"/>
  <c r="C405" i="13"/>
  <c r="B405" i="13"/>
  <c r="A405" i="13"/>
  <c r="F404" i="13"/>
  <c r="E404" i="13"/>
  <c r="D404" i="13"/>
  <c r="C404" i="13"/>
  <c r="A404" i="13"/>
  <c r="F403" i="13"/>
  <c r="E403" i="13"/>
  <c r="D403" i="13"/>
  <c r="C403" i="13"/>
  <c r="B403" i="13"/>
  <c r="A403" i="13"/>
  <c r="E402" i="13"/>
  <c r="D402" i="13"/>
  <c r="A402" i="13"/>
  <c r="E401" i="13"/>
  <c r="D401" i="13"/>
  <c r="A401" i="13"/>
  <c r="E400" i="13"/>
  <c r="C400" i="13"/>
  <c r="A400" i="13"/>
  <c r="D399" i="13"/>
  <c r="A399" i="13"/>
  <c r="E398" i="13"/>
  <c r="C398" i="13"/>
  <c r="A398" i="13"/>
  <c r="E397" i="13"/>
  <c r="D397" i="13"/>
  <c r="B397" i="13"/>
  <c r="E396" i="13"/>
  <c r="C396" i="13"/>
  <c r="A396" i="13"/>
  <c r="E395" i="13"/>
  <c r="B395" i="13"/>
  <c r="F394" i="13"/>
  <c r="D394" i="13"/>
  <c r="B394" i="13"/>
  <c r="F393" i="13"/>
  <c r="D393" i="13"/>
  <c r="C391" i="13"/>
  <c r="F390" i="13"/>
  <c r="C390" i="13"/>
  <c r="A390" i="13"/>
  <c r="E389" i="13"/>
  <c r="B389" i="13"/>
  <c r="E388" i="13"/>
  <c r="C388" i="13"/>
  <c r="A388" i="13"/>
  <c r="E387" i="13"/>
  <c r="D387" i="13"/>
  <c r="B387" i="13"/>
  <c r="F386" i="13"/>
  <c r="D386" i="13"/>
  <c r="B386" i="13"/>
  <c r="F385" i="13"/>
  <c r="C385" i="13"/>
  <c r="A385" i="13"/>
  <c r="E384" i="13"/>
  <c r="C384" i="13"/>
  <c r="A384" i="13"/>
  <c r="E383" i="13"/>
  <c r="B383" i="13"/>
  <c r="E382" i="13"/>
  <c r="C382" i="13"/>
  <c r="A382" i="13"/>
  <c r="E381" i="13"/>
  <c r="C381" i="13"/>
  <c r="A381" i="13"/>
  <c r="E380" i="13"/>
  <c r="C380" i="13"/>
  <c r="F379" i="13"/>
  <c r="D379" i="13"/>
  <c r="B379" i="13"/>
  <c r="C375" i="13"/>
  <c r="F374" i="13"/>
  <c r="D374" i="13"/>
  <c r="C374" i="13"/>
  <c r="A374" i="13"/>
  <c r="F373" i="13"/>
  <c r="D373" i="13"/>
  <c r="B373" i="13"/>
  <c r="F372" i="13"/>
  <c r="D372" i="13"/>
  <c r="B372" i="13"/>
  <c r="A372" i="13"/>
  <c r="E371" i="13"/>
  <c r="C371" i="13"/>
  <c r="A371" i="13"/>
  <c r="E370" i="13"/>
  <c r="C370" i="13"/>
  <c r="A370" i="13"/>
  <c r="E369" i="13"/>
  <c r="C369" i="13"/>
  <c r="A369" i="13"/>
  <c r="E368" i="13"/>
  <c r="D368" i="13"/>
  <c r="A368" i="13"/>
  <c r="E367" i="13"/>
  <c r="C367" i="13"/>
  <c r="A367" i="13"/>
  <c r="E366" i="13"/>
  <c r="C366" i="13"/>
  <c r="A366" i="13"/>
  <c r="E365" i="13"/>
  <c r="C365" i="13"/>
  <c r="A365" i="13"/>
  <c r="E364" i="13"/>
  <c r="C364" i="13"/>
  <c r="F363" i="13"/>
  <c r="D363" i="13"/>
  <c r="A363" i="13"/>
  <c r="E362" i="13"/>
  <c r="C362" i="13"/>
  <c r="B362" i="13"/>
  <c r="F361" i="13"/>
  <c r="D361" i="13"/>
  <c r="A361" i="13"/>
  <c r="E360" i="13"/>
  <c r="D360" i="13"/>
  <c r="B360" i="13"/>
  <c r="F359" i="13"/>
  <c r="D359" i="13"/>
  <c r="C359" i="13"/>
  <c r="A359" i="13"/>
  <c r="B356" i="13"/>
  <c r="F355" i="13"/>
  <c r="D355" i="13"/>
  <c r="C355" i="13"/>
  <c r="B355" i="13"/>
  <c r="A355" i="13"/>
  <c r="F354" i="13"/>
  <c r="E354" i="13"/>
  <c r="D354" i="13"/>
  <c r="A354" i="13"/>
  <c r="E353" i="13"/>
  <c r="C353" i="13"/>
  <c r="A353" i="13"/>
  <c r="E352" i="13"/>
  <c r="D352" i="13"/>
  <c r="B352" i="13"/>
  <c r="F351" i="13"/>
  <c r="C351" i="13"/>
  <c r="A351" i="13"/>
  <c r="F350" i="13"/>
  <c r="D350" i="13"/>
  <c r="A350" i="13"/>
  <c r="E349" i="13"/>
  <c r="C349" i="13"/>
  <c r="A349" i="13"/>
  <c r="E348" i="13"/>
  <c r="C348" i="13"/>
  <c r="A348" i="13"/>
  <c r="E346" i="13"/>
  <c r="B346" i="13"/>
  <c r="F345" i="13"/>
  <c r="D345" i="13"/>
  <c r="B345" i="13"/>
  <c r="F344" i="13"/>
  <c r="D344" i="13"/>
  <c r="B344" i="13"/>
  <c r="E343" i="13"/>
  <c r="C343" i="13"/>
  <c r="B343" i="13"/>
  <c r="E342" i="13"/>
  <c r="C342" i="13"/>
  <c r="F341" i="13"/>
  <c r="C341" i="13"/>
  <c r="F340" i="13"/>
  <c r="D340" i="13"/>
  <c r="B340" i="13"/>
  <c r="F339" i="13"/>
  <c r="D339" i="13"/>
  <c r="B339" i="13"/>
  <c r="F338" i="13"/>
  <c r="D338" i="13"/>
  <c r="A338" i="13"/>
  <c r="E337" i="13"/>
  <c r="B337" i="13"/>
  <c r="F335" i="13"/>
  <c r="B335" i="13"/>
  <c r="E334" i="13"/>
  <c r="E332" i="13"/>
  <c r="A331" i="13"/>
  <c r="E278" i="13"/>
  <c r="B276" i="13"/>
  <c r="C275" i="13"/>
  <c r="D274" i="13"/>
  <c r="E271" i="13"/>
  <c r="A271" i="13"/>
  <c r="A270" i="13"/>
  <c r="D268" i="13"/>
  <c r="A268" i="13"/>
  <c r="D267" i="13"/>
  <c r="A267" i="13"/>
  <c r="D266" i="13"/>
  <c r="A266" i="13"/>
  <c r="D265" i="13"/>
  <c r="E264" i="13"/>
  <c r="F263" i="13"/>
  <c r="C263" i="13"/>
  <c r="F262" i="13"/>
  <c r="B262" i="13"/>
  <c r="C261" i="13"/>
  <c r="E260" i="13"/>
  <c r="F259" i="13"/>
  <c r="F256" i="13"/>
  <c r="A256" i="13"/>
  <c r="C255" i="13"/>
  <c r="E254" i="13"/>
  <c r="C252" i="13"/>
  <c r="C250" i="13"/>
  <c r="E248" i="13"/>
  <c r="E245" i="13"/>
  <c r="E244" i="13"/>
  <c r="B244" i="13"/>
  <c r="C243" i="13"/>
  <c r="E242" i="13"/>
  <c r="F241" i="13"/>
  <c r="B241" i="13"/>
  <c r="D240" i="13"/>
  <c r="F239" i="13"/>
  <c r="A239" i="13"/>
  <c r="E237" i="13"/>
  <c r="A237" i="13"/>
  <c r="F232" i="13"/>
  <c r="B232" i="13"/>
  <c r="D231" i="13"/>
  <c r="F230" i="13"/>
  <c r="B230" i="13"/>
  <c r="D229" i="13"/>
  <c r="E228" i="13"/>
  <c r="F227" i="13"/>
  <c r="A227" i="13"/>
  <c r="C226" i="13"/>
  <c r="E225" i="13"/>
  <c r="A224" i="13"/>
  <c r="F220" i="13"/>
  <c r="B220" i="13"/>
  <c r="C219" i="13"/>
  <c r="F218" i="13"/>
  <c r="A218" i="13"/>
  <c r="C217" i="13"/>
  <c r="C216" i="13"/>
  <c r="E215" i="13"/>
  <c r="A215" i="13"/>
  <c r="E212" i="13"/>
  <c r="A212" i="13"/>
  <c r="A209" i="13"/>
  <c r="C208" i="13"/>
  <c r="E207" i="13"/>
  <c r="B207" i="13"/>
  <c r="B206" i="13"/>
  <c r="C205" i="13"/>
  <c r="D180" i="13"/>
  <c r="E178" i="13"/>
  <c r="E177" i="13"/>
  <c r="E174" i="13"/>
  <c r="E173" i="13"/>
  <c r="E172" i="13"/>
  <c r="B172" i="13"/>
  <c r="A172" i="13"/>
  <c r="B171" i="13"/>
  <c r="E170" i="13"/>
  <c r="B170" i="13"/>
  <c r="F169" i="13"/>
  <c r="C169" i="13"/>
  <c r="A169" i="13"/>
  <c r="D168" i="13"/>
  <c r="F167" i="13"/>
  <c r="D167" i="13"/>
  <c r="D165" i="13"/>
  <c r="A165" i="13"/>
  <c r="D164" i="13"/>
  <c r="A164" i="13"/>
  <c r="E162" i="13"/>
  <c r="C160" i="13"/>
  <c r="E159" i="13"/>
  <c r="A159" i="13"/>
  <c r="A158" i="13"/>
  <c r="B157" i="13"/>
  <c r="E156" i="13"/>
  <c r="A156" i="13"/>
  <c r="C155" i="13"/>
  <c r="E154" i="13"/>
  <c r="A149" i="13"/>
  <c r="B148" i="13"/>
  <c r="E147" i="13"/>
  <c r="F146" i="13"/>
  <c r="A146" i="13"/>
  <c r="C145" i="13"/>
  <c r="C144" i="13"/>
  <c r="C143" i="13"/>
  <c r="E142" i="13"/>
  <c r="E139" i="13"/>
  <c r="A137" i="13"/>
  <c r="C136" i="13"/>
  <c r="D135" i="13"/>
  <c r="F134" i="13"/>
  <c r="F133" i="13"/>
  <c r="B133" i="13"/>
  <c r="D132" i="13"/>
  <c r="E131" i="13"/>
  <c r="B131" i="13"/>
  <c r="D130" i="13"/>
  <c r="F129" i="13"/>
  <c r="B129" i="13"/>
  <c r="P48" i="13"/>
  <c r="P46" i="13"/>
  <c r="M46" i="13"/>
  <c r="P45" i="13"/>
  <c r="N45" i="13"/>
  <c r="N44" i="13"/>
  <c r="M42" i="13"/>
  <c r="L41" i="13"/>
  <c r="M40" i="13"/>
  <c r="M39" i="13"/>
  <c r="O38" i="13"/>
  <c r="L36" i="13"/>
  <c r="P35" i="13"/>
  <c r="M34" i="13"/>
  <c r="N33" i="13"/>
  <c r="L31" i="13"/>
  <c r="N30" i="13"/>
  <c r="O29" i="13"/>
  <c r="L28" i="13"/>
  <c r="P27" i="13"/>
  <c r="M27" i="13"/>
  <c r="M26" i="13"/>
  <c r="L25" i="13"/>
  <c r="G17" i="9"/>
  <c r="F11" i="9"/>
  <c r="K10" i="9"/>
  <c r="D10" i="9"/>
  <c r="G9" i="9"/>
  <c r="C357" i="6"/>
  <c r="G354" i="6"/>
  <c r="F354" i="6"/>
  <c r="H354" i="6" s="1"/>
  <c r="D354" i="6"/>
  <c r="C354" i="6"/>
  <c r="B354" i="6"/>
  <c r="G350" i="6"/>
  <c r="F350" i="6"/>
  <c r="H350" i="6" s="1"/>
  <c r="C350" i="6"/>
  <c r="C346" i="6"/>
  <c r="B345" i="6"/>
  <c r="F344" i="6"/>
  <c r="H344" i="6" s="1"/>
  <c r="D344" i="6"/>
  <c r="G341" i="6"/>
  <c r="C341" i="6"/>
  <c r="D340" i="6"/>
  <c r="G339" i="6"/>
  <c r="D339" i="6"/>
  <c r="B339" i="6"/>
  <c r="G338" i="6"/>
  <c r="G335" i="6"/>
  <c r="B335" i="6"/>
  <c r="G334" i="6"/>
  <c r="B334" i="6"/>
  <c r="F333" i="6"/>
  <c r="H333" i="6" s="1"/>
  <c r="B333" i="6"/>
  <c r="F298" i="6"/>
  <c r="H298" i="6" s="1"/>
  <c r="B298" i="6"/>
  <c r="F297" i="6"/>
  <c r="H297" i="6" s="1"/>
  <c r="C297" i="6"/>
  <c r="F295" i="6"/>
  <c r="H295" i="6" s="1"/>
  <c r="G290" i="6"/>
  <c r="C290" i="6"/>
  <c r="B282" i="6"/>
  <c r="D281" i="6"/>
  <c r="B281" i="6"/>
  <c r="D280" i="6"/>
  <c r="G276" i="6"/>
  <c r="C276" i="6"/>
  <c r="F274" i="6"/>
  <c r="H274" i="6" s="1"/>
  <c r="C274" i="6"/>
  <c r="D269" i="6"/>
  <c r="B269" i="6"/>
  <c r="B268" i="6"/>
  <c r="C264" i="6"/>
  <c r="D262" i="6"/>
  <c r="D257" i="6"/>
  <c r="D216" i="6"/>
  <c r="B216" i="6"/>
  <c r="F215" i="6"/>
  <c r="H215" i="6" s="1"/>
  <c r="G212" i="6"/>
  <c r="F212" i="6"/>
  <c r="H212" i="6" s="1"/>
  <c r="C212" i="6"/>
  <c r="D208" i="6"/>
  <c r="B208" i="6"/>
  <c r="D207" i="6"/>
  <c r="G203" i="6"/>
  <c r="D199" i="6"/>
  <c r="G192" i="6"/>
  <c r="D192" i="6"/>
  <c r="C192" i="6"/>
  <c r="C191" i="6"/>
  <c r="F167" i="6"/>
  <c r="H167" i="6" s="1"/>
  <c r="G164" i="6"/>
  <c r="D164" i="6"/>
  <c r="B164" i="6"/>
  <c r="D163" i="6"/>
  <c r="D160" i="6"/>
  <c r="G121" i="6"/>
  <c r="G116" i="6"/>
  <c r="C116" i="6"/>
  <c r="B65" i="6"/>
  <c r="D64" i="6"/>
  <c r="D61" i="6"/>
  <c r="B61" i="6"/>
  <c r="B51" i="6"/>
  <c r="B50" i="6"/>
  <c r="C49" i="6"/>
  <c r="D47" i="6"/>
  <c r="D46" i="6"/>
  <c r="B46" i="6"/>
  <c r="D45" i="6"/>
  <c r="B45" i="6"/>
  <c r="F44" i="6"/>
  <c r="H44" i="6" s="1"/>
  <c r="B44" i="6"/>
  <c r="B43" i="6"/>
  <c r="D38" i="6"/>
  <c r="B38" i="6"/>
  <c r="G36" i="6"/>
  <c r="D36" i="6"/>
  <c r="C36" i="6"/>
  <c r="G35" i="6"/>
  <c r="B35" i="6"/>
  <c r="B27" i="6"/>
  <c r="B26" i="6"/>
  <c r="G25" i="6"/>
  <c r="F25" i="6"/>
  <c r="H25" i="6" s="1"/>
  <c r="C25" i="6"/>
  <c r="C13" i="6"/>
  <c r="B9" i="6"/>
  <c r="F8" i="6"/>
  <c r="H8" i="6" s="1"/>
  <c r="E126" i="13"/>
  <c r="A126" i="13"/>
  <c r="E125" i="13"/>
  <c r="A125" i="13"/>
  <c r="F124" i="13"/>
  <c r="E124" i="13"/>
  <c r="D124" i="13"/>
  <c r="C124" i="13"/>
  <c r="B124" i="13"/>
  <c r="A124" i="13"/>
  <c r="F123" i="13"/>
  <c r="E123" i="13"/>
  <c r="D123" i="13"/>
  <c r="C123" i="13"/>
  <c r="B123" i="13"/>
  <c r="A123" i="13"/>
  <c r="F122" i="13"/>
  <c r="E122" i="13"/>
  <c r="D122" i="13"/>
  <c r="C122" i="13"/>
  <c r="B122" i="13"/>
  <c r="A122" i="13"/>
  <c r="F121" i="13"/>
  <c r="E121" i="13"/>
  <c r="D121" i="13"/>
  <c r="C121" i="13"/>
  <c r="B121" i="13"/>
  <c r="A121" i="13"/>
  <c r="F120" i="13"/>
  <c r="E120" i="13"/>
  <c r="D120" i="13"/>
  <c r="C120" i="13"/>
  <c r="B120" i="13"/>
  <c r="A120" i="13"/>
  <c r="F119" i="13"/>
  <c r="E119" i="13"/>
  <c r="D119" i="13"/>
  <c r="C119" i="13"/>
  <c r="B119" i="13"/>
  <c r="A119" i="13"/>
  <c r="F118" i="13"/>
  <c r="E118" i="13"/>
  <c r="D118" i="13"/>
  <c r="C118" i="13"/>
  <c r="B118" i="13"/>
  <c r="A118" i="13"/>
  <c r="E116" i="13"/>
  <c r="B116" i="13"/>
  <c r="A116" i="13"/>
  <c r="E115" i="13"/>
  <c r="D115" i="13"/>
  <c r="A115" i="13"/>
  <c r="E114" i="13"/>
  <c r="A114" i="13"/>
  <c r="E113" i="13"/>
  <c r="A113" i="13"/>
  <c r="F112" i="13"/>
  <c r="E112" i="13"/>
  <c r="D112" i="13"/>
  <c r="C112" i="13"/>
  <c r="B112" i="13"/>
  <c r="A112" i="13"/>
  <c r="F111" i="13"/>
  <c r="E111" i="13"/>
  <c r="D111" i="13"/>
  <c r="C111" i="13"/>
  <c r="B111" i="13"/>
  <c r="A111" i="13"/>
  <c r="F110" i="13"/>
  <c r="E110" i="13"/>
  <c r="D110" i="13"/>
  <c r="C110" i="13"/>
  <c r="B110" i="13"/>
  <c r="A110" i="13"/>
  <c r="F108" i="13"/>
  <c r="E108" i="13"/>
  <c r="D108" i="13"/>
  <c r="C108" i="13"/>
  <c r="B108" i="13"/>
  <c r="A108" i="13"/>
  <c r="F107" i="13"/>
  <c r="E107" i="13"/>
  <c r="D107" i="13"/>
  <c r="C107" i="13"/>
  <c r="B107" i="13"/>
  <c r="A107" i="13"/>
  <c r="F106" i="13"/>
  <c r="E106" i="13"/>
  <c r="D106" i="13"/>
  <c r="C106" i="13"/>
  <c r="B106" i="13"/>
  <c r="A106" i="13"/>
  <c r="E104" i="13"/>
  <c r="A104" i="13"/>
  <c r="E103" i="13"/>
  <c r="A103" i="13"/>
  <c r="E102" i="13"/>
  <c r="B102" i="13"/>
  <c r="A102" i="13"/>
  <c r="E101" i="13"/>
  <c r="B101" i="13"/>
  <c r="A101" i="13"/>
  <c r="F100" i="13"/>
  <c r="E100" i="13"/>
  <c r="D100" i="13"/>
  <c r="C100" i="13"/>
  <c r="B100" i="13"/>
  <c r="A100" i="13"/>
  <c r="F99" i="13"/>
  <c r="E99" i="13"/>
  <c r="D99" i="13"/>
  <c r="C99" i="13"/>
  <c r="B99" i="13"/>
  <c r="A99" i="13"/>
  <c r="F98" i="13"/>
  <c r="E98" i="13"/>
  <c r="D98" i="13"/>
  <c r="C98" i="13"/>
  <c r="B98" i="13"/>
  <c r="A98" i="13"/>
  <c r="F96" i="13"/>
  <c r="E96" i="13"/>
  <c r="D96" i="13"/>
  <c r="C96" i="13"/>
  <c r="B96" i="13"/>
  <c r="A96" i="13"/>
  <c r="E94" i="13"/>
  <c r="A94" i="13"/>
  <c r="E91" i="13"/>
  <c r="A91" i="13"/>
  <c r="F87" i="13"/>
  <c r="E87" i="13"/>
  <c r="D87" i="13"/>
  <c r="C87" i="13"/>
  <c r="B87" i="13"/>
  <c r="A87" i="13"/>
  <c r="F85" i="13"/>
  <c r="E85" i="13"/>
  <c r="D85" i="13"/>
  <c r="C85" i="13"/>
  <c r="B85" i="13"/>
  <c r="A85" i="13"/>
  <c r="F84" i="13"/>
  <c r="E84" i="13"/>
  <c r="D84" i="13"/>
  <c r="C84" i="13"/>
  <c r="B84" i="13"/>
  <c r="A84" i="13"/>
  <c r="E83" i="13"/>
  <c r="A83" i="13"/>
  <c r="E79" i="13"/>
  <c r="A79" i="13"/>
  <c r="E78" i="13"/>
  <c r="A78" i="13"/>
  <c r="F76" i="13"/>
  <c r="E76" i="13"/>
  <c r="D76" i="13"/>
  <c r="C76" i="13"/>
  <c r="B76" i="13"/>
  <c r="A76" i="13"/>
  <c r="F73" i="13"/>
  <c r="E73" i="13"/>
  <c r="D73" i="13"/>
  <c r="C73" i="13"/>
  <c r="B73" i="13"/>
  <c r="A73" i="13"/>
  <c r="E71" i="13"/>
  <c r="A71" i="13"/>
  <c r="E67" i="13"/>
  <c r="A67" i="13"/>
  <c r="E66" i="13"/>
  <c r="A66" i="13"/>
  <c r="E65" i="13"/>
  <c r="A65" i="13"/>
  <c r="M48" i="13"/>
  <c r="N47" i="13"/>
  <c r="M44" i="13"/>
  <c r="N43" i="13"/>
  <c r="P42" i="13"/>
  <c r="L42" i="13"/>
  <c r="P41" i="13"/>
  <c r="P39" i="13"/>
  <c r="L39" i="13"/>
  <c r="N38" i="13"/>
  <c r="O36" i="13"/>
  <c r="N35" i="13"/>
  <c r="P34" i="13"/>
  <c r="P33" i="13"/>
  <c r="L33" i="13"/>
  <c r="P32" i="13"/>
  <c r="M32" i="13"/>
  <c r="O31" i="13"/>
  <c r="L30" i="13"/>
  <c r="L29" i="13"/>
  <c r="P28" i="13"/>
  <c r="N28" i="13"/>
  <c r="O27" i="13"/>
  <c r="L27" i="13"/>
  <c r="H17" i="9"/>
  <c r="E17" i="9"/>
  <c r="K16" i="9"/>
  <c r="H16" i="9"/>
  <c r="F16" i="9"/>
  <c r="C16" i="9"/>
  <c r="I15" i="9"/>
  <c r="F15" i="9"/>
  <c r="C15" i="9"/>
  <c r="H14" i="9"/>
  <c r="E14" i="9"/>
  <c r="I13" i="9"/>
  <c r="C13" i="9"/>
  <c r="G12" i="9"/>
  <c r="C12" i="9"/>
  <c r="K11" i="9"/>
  <c r="D11" i="9"/>
  <c r="G10" i="9"/>
  <c r="K9" i="9"/>
  <c r="E9" i="9"/>
  <c r="K8" i="9"/>
  <c r="F8" i="9"/>
  <c r="H7" i="9"/>
  <c r="F7" i="9"/>
  <c r="I6" i="9"/>
  <c r="E6" i="9"/>
  <c r="K5" i="9"/>
  <c r="E5" i="9"/>
  <c r="I4" i="9"/>
  <c r="G4" i="9"/>
  <c r="D4" i="9"/>
  <c r="K3" i="9"/>
  <c r="F3" i="9"/>
  <c r="K2" i="9"/>
  <c r="F2" i="9"/>
  <c r="C2" i="9"/>
  <c r="B357" i="6"/>
  <c r="G356" i="6"/>
  <c r="F356" i="6"/>
  <c r="H356" i="6" s="1"/>
  <c r="D356" i="6"/>
  <c r="C356" i="6"/>
  <c r="B356" i="6"/>
  <c r="G355" i="6"/>
  <c r="F355" i="6"/>
  <c r="H355" i="6" s="1"/>
  <c r="D355" i="6"/>
  <c r="C355" i="6"/>
  <c r="B355" i="6"/>
  <c r="G351" i="6"/>
  <c r="B351" i="6"/>
  <c r="D350" i="6"/>
  <c r="B348" i="6"/>
  <c r="G344" i="6"/>
  <c r="C344" i="6"/>
  <c r="B344" i="6"/>
  <c r="G325" i="6"/>
  <c r="B325" i="6"/>
  <c r="G324" i="6"/>
  <c r="C324" i="6"/>
  <c r="D323" i="6"/>
  <c r="D317" i="6"/>
  <c r="C317" i="6"/>
  <c r="F315" i="6"/>
  <c r="H315" i="6" s="1"/>
  <c r="D313" i="6"/>
  <c r="B313" i="6"/>
  <c r="G312" i="6"/>
  <c r="D312" i="6"/>
  <c r="B312" i="6"/>
  <c r="B309" i="6"/>
  <c r="F304" i="6"/>
  <c r="H304" i="6" s="1"/>
  <c r="B304" i="6"/>
  <c r="D303" i="6"/>
  <c r="G300" i="6"/>
  <c r="F300" i="6"/>
  <c r="H300" i="6" s="1"/>
  <c r="D300" i="6"/>
  <c r="F296" i="6"/>
  <c r="H296" i="6" s="1"/>
  <c r="C296" i="6"/>
  <c r="D295" i="6"/>
  <c r="C294" i="6"/>
  <c r="G289" i="6"/>
  <c r="D289" i="6"/>
  <c r="D283" i="6"/>
  <c r="D278" i="6"/>
  <c r="G275" i="6"/>
  <c r="D275" i="6"/>
  <c r="B275" i="6"/>
  <c r="G273" i="6"/>
  <c r="F273" i="6"/>
  <c r="H273" i="6" s="1"/>
  <c r="B273" i="6"/>
  <c r="F271" i="6"/>
  <c r="H271" i="6" s="1"/>
  <c r="C271" i="6"/>
  <c r="B267" i="6"/>
  <c r="C263" i="6"/>
  <c r="B262" i="6"/>
  <c r="D255" i="6"/>
  <c r="G250" i="6"/>
  <c r="F250" i="6"/>
  <c r="H250" i="6" s="1"/>
  <c r="B250" i="6"/>
  <c r="B249" i="6"/>
  <c r="B248" i="6"/>
  <c r="D245" i="6"/>
  <c r="D242" i="6"/>
  <c r="B242" i="6"/>
  <c r="G240" i="6"/>
  <c r="D240" i="6"/>
  <c r="B240" i="6"/>
  <c r="C239" i="6"/>
  <c r="G237" i="6"/>
  <c r="D237" i="6"/>
  <c r="B237" i="6"/>
  <c r="G236" i="6"/>
  <c r="F236" i="6"/>
  <c r="H236" i="6" s="1"/>
  <c r="C236" i="6"/>
  <c r="D235" i="6"/>
  <c r="D232" i="6"/>
  <c r="D221" i="6"/>
  <c r="D219" i="6"/>
  <c r="D218" i="6"/>
  <c r="B218" i="6"/>
  <c r="G217" i="6"/>
  <c r="C215" i="6"/>
  <c r="D214" i="6"/>
  <c r="B214" i="6"/>
  <c r="D211" i="6"/>
  <c r="G208" i="6"/>
  <c r="F208" i="6"/>
  <c r="H208" i="6" s="1"/>
  <c r="C208" i="6"/>
  <c r="A198" i="6"/>
  <c r="B197" i="6"/>
  <c r="G191" i="6"/>
  <c r="D191" i="6"/>
  <c r="B191" i="6"/>
  <c r="D187" i="6"/>
  <c r="D184" i="6"/>
  <c r="D182" i="6"/>
  <c r="B182" i="6"/>
  <c r="G181" i="6"/>
  <c r="D181" i="6"/>
  <c r="B181" i="6"/>
  <c r="G180" i="6"/>
  <c r="D180" i="6"/>
  <c r="B180" i="6"/>
  <c r="G179" i="6"/>
  <c r="F179" i="6"/>
  <c r="H179" i="6" s="1"/>
  <c r="D179" i="6"/>
  <c r="D175" i="6"/>
  <c r="B175" i="6"/>
  <c r="D174" i="6"/>
  <c r="B174" i="6"/>
  <c r="D170" i="6"/>
  <c r="B170" i="6"/>
  <c r="B169" i="6"/>
  <c r="G165" i="6"/>
  <c r="F165" i="6"/>
  <c r="H165" i="6" s="1"/>
  <c r="B165" i="6"/>
  <c r="C164" i="6"/>
  <c r="B160" i="6"/>
  <c r="D159" i="6"/>
  <c r="D158" i="6"/>
  <c r="B158" i="6"/>
  <c r="D157" i="6"/>
  <c r="B157" i="6"/>
  <c r="F156" i="6"/>
  <c r="H156" i="6" s="1"/>
  <c r="D156" i="6"/>
  <c r="B156" i="6"/>
  <c r="G155" i="6"/>
  <c r="F155" i="6"/>
  <c r="H155" i="6" s="1"/>
  <c r="C155" i="6"/>
  <c r="D153" i="6"/>
  <c r="D151" i="6"/>
  <c r="B149" i="6"/>
  <c r="D148" i="6"/>
  <c r="B148" i="6"/>
  <c r="D145" i="6"/>
  <c r="F143" i="6"/>
  <c r="H143" i="6" s="1"/>
  <c r="C143" i="6"/>
  <c r="G141" i="6"/>
  <c r="D141" i="6"/>
  <c r="B137" i="6"/>
  <c r="B135" i="6"/>
  <c r="G132" i="6"/>
  <c r="C132" i="6"/>
  <c r="F130" i="6"/>
  <c r="H130" i="6" s="1"/>
  <c r="D128" i="6"/>
  <c r="G120" i="6"/>
  <c r="C120" i="6"/>
  <c r="C119" i="6"/>
  <c r="F114" i="6"/>
  <c r="H114" i="6" s="1"/>
  <c r="B114" i="6"/>
  <c r="G113" i="6"/>
  <c r="D113" i="6"/>
  <c r="G107" i="6"/>
  <c r="B107" i="6"/>
  <c r="D98" i="6"/>
  <c r="G93" i="6"/>
  <c r="F93" i="6"/>
  <c r="H93" i="6" s="1"/>
  <c r="B93" i="6"/>
  <c r="F85" i="6"/>
  <c r="H85" i="6" s="1"/>
  <c r="B85" i="6"/>
  <c r="C83" i="6"/>
  <c r="D82" i="6"/>
  <c r="D76" i="6"/>
  <c r="B76" i="6"/>
  <c r="D65" i="6"/>
  <c r="B62" i="6"/>
  <c r="C55" i="6"/>
  <c r="A54" i="6"/>
  <c r="B53" i="6"/>
  <c r="G49" i="6"/>
  <c r="F49" i="6"/>
  <c r="H49" i="6" s="1"/>
  <c r="B49" i="6"/>
  <c r="D48" i="6"/>
  <c r="G46" i="6"/>
  <c r="C46" i="6"/>
  <c r="D44" i="6"/>
  <c r="C44" i="6"/>
  <c r="D43" i="6"/>
  <c r="D40" i="6"/>
  <c r="B40" i="6"/>
  <c r="A39" i="6"/>
  <c r="D31" i="6"/>
  <c r="B31" i="6"/>
  <c r="B30" i="6"/>
  <c r="D24" i="6"/>
  <c r="B24" i="6"/>
  <c r="D23" i="6"/>
  <c r="B23" i="6"/>
  <c r="D22" i="6"/>
  <c r="B18" i="6"/>
  <c r="B12" i="6"/>
  <c r="G11" i="6"/>
  <c r="F11" i="6"/>
  <c r="H11" i="6" s="1"/>
  <c r="B11" i="6"/>
  <c r="C7" i="6"/>
  <c r="B6" i="6"/>
  <c r="G357" i="6"/>
  <c r="F357" i="6"/>
  <c r="H357" i="6" s="1"/>
  <c r="D357" i="6"/>
  <c r="C353" i="6"/>
  <c r="F352" i="6"/>
  <c r="H352" i="6" s="1"/>
  <c r="B352" i="6"/>
  <c r="F351" i="6"/>
  <c r="H351" i="6" s="1"/>
  <c r="C351" i="6"/>
  <c r="G348" i="6"/>
  <c r="F348" i="6"/>
  <c r="H348" i="6" s="1"/>
  <c r="D348" i="6"/>
  <c r="H345" i="6"/>
  <c r="G345" i="6"/>
  <c r="G342" i="6"/>
  <c r="F342" i="6"/>
  <c r="H342" i="6" s="1"/>
  <c r="C342" i="6"/>
  <c r="C340" i="6"/>
  <c r="D338" i="6"/>
  <c r="B338" i="6"/>
  <c r="F337" i="6"/>
  <c r="H337" i="6" s="1"/>
  <c r="C337" i="6"/>
  <c r="F336" i="6"/>
  <c r="H336" i="6" s="1"/>
  <c r="C336" i="6"/>
  <c r="D334" i="6"/>
  <c r="G333" i="6"/>
  <c r="D333" i="6"/>
  <c r="C333" i="6"/>
  <c r="D331" i="6"/>
  <c r="C331" i="6"/>
  <c r="B331" i="6"/>
  <c r="G330" i="6"/>
  <c r="F330" i="6"/>
  <c r="H330" i="6" s="1"/>
  <c r="C330" i="6"/>
  <c r="B330" i="6"/>
  <c r="G329" i="6"/>
  <c r="F329" i="6"/>
  <c r="H329" i="6" s="1"/>
  <c r="C329" i="6"/>
  <c r="G327" i="6"/>
  <c r="F327" i="6"/>
  <c r="H327" i="6" s="1"/>
  <c r="D327" i="6"/>
  <c r="C327" i="6"/>
  <c r="F325" i="6"/>
  <c r="H325" i="6" s="1"/>
  <c r="D325" i="6"/>
  <c r="C325" i="6"/>
  <c r="G323" i="6"/>
  <c r="B323" i="6"/>
  <c r="G322" i="6"/>
  <c r="D322" i="6"/>
  <c r="B322" i="6"/>
  <c r="F321" i="6"/>
  <c r="H321" i="6" s="1"/>
  <c r="B321" i="6"/>
  <c r="F320" i="6"/>
  <c r="H320" i="6" s="1"/>
  <c r="D320" i="6"/>
  <c r="F318" i="6"/>
  <c r="H318" i="6" s="1"/>
  <c r="G316" i="6"/>
  <c r="F316" i="6"/>
  <c r="H316" i="6" s="1"/>
  <c r="D316" i="6"/>
  <c r="B316" i="6"/>
  <c r="G315" i="6"/>
  <c r="D315" i="6"/>
  <c r="B315" i="6"/>
  <c r="F314" i="6"/>
  <c r="H314" i="6" s="1"/>
  <c r="C314" i="6"/>
  <c r="G313" i="6"/>
  <c r="C313" i="6"/>
  <c r="F312" i="6"/>
  <c r="H312" i="6" s="1"/>
  <c r="C312" i="6"/>
  <c r="F308" i="6"/>
  <c r="H308" i="6" s="1"/>
  <c r="B308" i="6"/>
  <c r="C304" i="6"/>
  <c r="G301" i="6"/>
  <c r="D301" i="6"/>
  <c r="C301" i="6"/>
  <c r="G298" i="6"/>
  <c r="C298" i="6"/>
  <c r="C295" i="6"/>
  <c r="G293" i="6"/>
  <c r="F293" i="6"/>
  <c r="H293" i="6" s="1"/>
  <c r="C293" i="6"/>
  <c r="F289" i="6"/>
  <c r="H289" i="6" s="1"/>
  <c r="C289" i="6"/>
  <c r="B289" i="6"/>
  <c r="F288" i="6"/>
  <c r="H288" i="6" s="1"/>
  <c r="C288" i="6"/>
  <c r="D287" i="6"/>
  <c r="B287" i="6"/>
  <c r="G286" i="6"/>
  <c r="D286" i="6"/>
  <c r="C286" i="6"/>
  <c r="B283" i="6"/>
  <c r="G277" i="6"/>
  <c r="C277" i="6"/>
  <c r="F276" i="6"/>
  <c r="H276" i="6" s="1"/>
  <c r="C273" i="6"/>
  <c r="G269" i="6"/>
  <c r="F264" i="6"/>
  <c r="H264" i="6" s="1"/>
  <c r="B264" i="6"/>
  <c r="F263" i="6"/>
  <c r="H263" i="6" s="1"/>
  <c r="D258" i="6"/>
  <c r="B257" i="6"/>
  <c r="G253" i="6"/>
  <c r="D253" i="6"/>
  <c r="C251" i="6"/>
  <c r="C250" i="6"/>
  <c r="D248" i="6"/>
  <c r="G241" i="6"/>
  <c r="F241" i="6"/>
  <c r="H241" i="6" s="1"/>
  <c r="C241" i="6"/>
  <c r="C237" i="6"/>
  <c r="B236" i="6"/>
  <c r="C235" i="6"/>
  <c r="F234" i="6"/>
  <c r="H234" i="6" s="1"/>
  <c r="C234" i="6"/>
  <c r="C233" i="6"/>
  <c r="G229" i="6"/>
  <c r="C229" i="6"/>
  <c r="A226" i="6"/>
  <c r="G225" i="6"/>
  <c r="F225" i="6"/>
  <c r="H225" i="6" s="1"/>
  <c r="C225" i="6"/>
  <c r="D222" i="6"/>
  <c r="F217" i="6"/>
  <c r="H217" i="6" s="1"/>
  <c r="D217" i="6"/>
  <c r="C217" i="6"/>
  <c r="B217" i="6"/>
  <c r="G216" i="6"/>
  <c r="F216" i="6"/>
  <c r="H216" i="6" s="1"/>
  <c r="C216" i="6"/>
  <c r="F213" i="6"/>
  <c r="H213" i="6" s="1"/>
  <c r="D210" i="6"/>
  <c r="F203" i="6"/>
  <c r="H203" i="6" s="1"/>
  <c r="C203" i="6"/>
  <c r="A202" i="6"/>
  <c r="G201" i="6"/>
  <c r="D201" i="6"/>
  <c r="B201" i="6"/>
  <c r="G199" i="6"/>
  <c r="F199" i="6"/>
  <c r="H199" i="6" s="1"/>
  <c r="B199" i="6"/>
  <c r="A196" i="6"/>
  <c r="D190" i="6"/>
  <c r="F189" i="6"/>
  <c r="H189" i="6" s="1"/>
  <c r="C189" i="6"/>
  <c r="D188" i="6"/>
  <c r="C188" i="6"/>
  <c r="F180" i="6"/>
  <c r="H180" i="6" s="1"/>
  <c r="C180" i="6"/>
  <c r="G178" i="6"/>
  <c r="D178" i="6"/>
  <c r="G167" i="6"/>
  <c r="D167" i="6"/>
  <c r="B167" i="6"/>
  <c r="B163" i="6"/>
  <c r="B161" i="6"/>
  <c r="B159" i="6"/>
  <c r="F158" i="6"/>
  <c r="H158" i="6" s="1"/>
  <c r="F157" i="6"/>
  <c r="H157" i="6" s="1"/>
  <c r="C157" i="6"/>
  <c r="B155" i="6"/>
  <c r="G154" i="6"/>
  <c r="C154" i="6"/>
  <c r="B150" i="6"/>
  <c r="D149" i="6"/>
  <c r="D147" i="6"/>
  <c r="B146" i="6"/>
  <c r="G145" i="6"/>
  <c r="C145" i="6"/>
  <c r="F144" i="6"/>
  <c r="H144" i="6" s="1"/>
  <c r="C144" i="6"/>
  <c r="G143" i="6"/>
  <c r="D143" i="6"/>
  <c r="F142" i="6"/>
  <c r="H142" i="6" s="1"/>
  <c r="B142" i="6"/>
  <c r="F141" i="6"/>
  <c r="H141" i="6" s="1"/>
  <c r="B141" i="6"/>
  <c r="G140" i="6"/>
  <c r="D140" i="6"/>
  <c r="D137" i="6"/>
  <c r="D135" i="6"/>
  <c r="D134" i="6"/>
  <c r="D132" i="6"/>
  <c r="F131" i="6"/>
  <c r="H131" i="6" s="1"/>
  <c r="D131" i="6"/>
  <c r="D130" i="6"/>
  <c r="B130" i="6"/>
  <c r="F129" i="6"/>
  <c r="H129" i="6" s="1"/>
  <c r="C129" i="6"/>
  <c r="D126" i="6"/>
  <c r="D125" i="6"/>
  <c r="B125" i="6"/>
  <c r="D124" i="6"/>
  <c r="B124" i="6"/>
  <c r="B120" i="6"/>
  <c r="D116" i="6"/>
  <c r="B113" i="6"/>
  <c r="B111" i="6"/>
  <c r="C106" i="6"/>
  <c r="G105" i="6"/>
  <c r="F105" i="6"/>
  <c r="H105" i="6" s="1"/>
  <c r="C105" i="6"/>
  <c r="B103" i="6"/>
  <c r="B97" i="6"/>
  <c r="C96" i="6"/>
  <c r="C95" i="6"/>
  <c r="F94" i="6"/>
  <c r="H94" i="6" s="1"/>
  <c r="C94" i="6"/>
  <c r="D93" i="6"/>
  <c r="B88" i="6"/>
  <c r="G85" i="6"/>
  <c r="D85" i="6"/>
  <c r="F81" i="6"/>
  <c r="H81" i="6" s="1"/>
  <c r="C81" i="6"/>
  <c r="G80" i="6"/>
  <c r="D80" i="6"/>
  <c r="B79" i="6"/>
  <c r="F78" i="6"/>
  <c r="H78" i="6" s="1"/>
  <c r="B75" i="6"/>
  <c r="D74" i="6"/>
  <c r="D70" i="6"/>
  <c r="G67" i="6"/>
  <c r="F67" i="6"/>
  <c r="H67" i="6" s="1"/>
  <c r="D67" i="6"/>
  <c r="C67" i="6"/>
  <c r="G61" i="6"/>
  <c r="F61" i="6"/>
  <c r="H61" i="6" s="1"/>
  <c r="C61" i="6"/>
  <c r="G60" i="6"/>
  <c r="F60" i="6"/>
  <c r="H60" i="6" s="1"/>
  <c r="D60" i="6"/>
  <c r="C60" i="6"/>
  <c r="D59" i="6"/>
  <c r="F55" i="6"/>
  <c r="H55" i="6" s="1"/>
  <c r="B55" i="6"/>
  <c r="F37" i="6"/>
  <c r="H37" i="6" s="1"/>
  <c r="C37" i="6"/>
  <c r="F36" i="6"/>
  <c r="H36" i="6" s="1"/>
  <c r="B36" i="6"/>
  <c r="G33" i="6"/>
  <c r="D33" i="6"/>
  <c r="B33" i="6"/>
  <c r="B32" i="6"/>
  <c r="G31" i="6"/>
  <c r="F31" i="6"/>
  <c r="H31" i="6" s="1"/>
  <c r="D30" i="6"/>
  <c r="B29" i="6"/>
  <c r="G23" i="6"/>
  <c r="F23" i="6"/>
  <c r="H23" i="6" s="1"/>
  <c r="C23" i="6"/>
  <c r="G22" i="6"/>
  <c r="F22" i="6"/>
  <c r="H22" i="6" s="1"/>
  <c r="B22" i="6"/>
  <c r="G21" i="6"/>
  <c r="F21" i="6"/>
  <c r="H21" i="6" s="1"/>
  <c r="C21" i="6"/>
  <c r="B14" i="6"/>
  <c r="G13" i="6"/>
  <c r="G10" i="6"/>
  <c r="B10" i="6"/>
  <c r="G9" i="6"/>
  <c r="F9" i="6"/>
  <c r="H9" i="6" s="1"/>
  <c r="C9" i="6"/>
  <c r="C8" i="6"/>
  <c r="G7" i="6"/>
  <c r="B4" i="6"/>
  <c r="B2" i="6"/>
  <c r="F310" i="13"/>
  <c r="B308" i="13"/>
  <c r="A307" i="13"/>
  <c r="E306" i="13"/>
  <c r="A306" i="13"/>
  <c r="E305" i="13"/>
  <c r="E304" i="13"/>
  <c r="B304" i="13"/>
  <c r="D303" i="13"/>
  <c r="A303" i="13"/>
  <c r="D302" i="13"/>
  <c r="B302" i="13"/>
  <c r="E301" i="13"/>
  <c r="B301" i="13"/>
  <c r="E300" i="13"/>
  <c r="A300" i="13"/>
  <c r="D299" i="13"/>
  <c r="A299" i="13"/>
  <c r="A298" i="13"/>
  <c r="A297" i="13"/>
  <c r="E295" i="13"/>
  <c r="D293" i="13"/>
  <c r="A293" i="13"/>
  <c r="D292" i="13"/>
  <c r="B292" i="13"/>
  <c r="E291" i="13"/>
  <c r="B291" i="13"/>
  <c r="E290" i="13"/>
  <c r="B290" i="13"/>
  <c r="F289" i="13"/>
  <c r="C289" i="13"/>
  <c r="F288" i="13"/>
  <c r="C288" i="13"/>
  <c r="A288" i="13"/>
  <c r="D287" i="13"/>
  <c r="B287" i="13"/>
  <c r="E286" i="13"/>
  <c r="C286" i="13"/>
  <c r="A286" i="13"/>
  <c r="C285" i="13"/>
  <c r="A285" i="13"/>
  <c r="F284" i="13"/>
  <c r="D284" i="13"/>
  <c r="B284" i="13"/>
  <c r="A281" i="13"/>
  <c r="E273" i="13"/>
  <c r="D269" i="13"/>
  <c r="E268" i="13"/>
  <c r="B268" i="13"/>
  <c r="C264" i="13"/>
  <c r="E261" i="13"/>
  <c r="A261" i="13"/>
  <c r="F242" i="13"/>
  <c r="A242" i="13"/>
  <c r="D238" i="13"/>
  <c r="A235" i="13"/>
  <c r="A233" i="13"/>
  <c r="C232" i="13"/>
  <c r="F226" i="13"/>
  <c r="A226" i="13"/>
  <c r="E224" i="13"/>
  <c r="E221" i="13"/>
  <c r="B221" i="13"/>
  <c r="C220" i="13"/>
  <c r="F215" i="13"/>
  <c r="B215" i="13"/>
  <c r="B212" i="13"/>
  <c r="D211" i="13"/>
  <c r="B210" i="13"/>
  <c r="E209" i="13"/>
  <c r="F208" i="13"/>
  <c r="B208" i="13"/>
  <c r="D207" i="13"/>
  <c r="E206" i="13"/>
  <c r="A206" i="13"/>
  <c r="B205" i="13"/>
  <c r="E201" i="13"/>
  <c r="B201" i="13"/>
  <c r="A200" i="13"/>
  <c r="D199" i="13"/>
  <c r="A199" i="13"/>
  <c r="D195" i="13"/>
  <c r="A195" i="13"/>
  <c r="D194" i="13"/>
  <c r="F193" i="13"/>
  <c r="B193" i="13"/>
  <c r="D192" i="13"/>
  <c r="B192" i="13"/>
  <c r="D191" i="13"/>
  <c r="B191" i="13"/>
  <c r="F170" i="13"/>
  <c r="C170" i="13"/>
  <c r="A170" i="13"/>
  <c r="F156" i="13"/>
  <c r="B156" i="13"/>
  <c r="E152" i="13"/>
  <c r="A152" i="13"/>
  <c r="E149" i="13"/>
  <c r="F147" i="13"/>
  <c r="B144" i="13"/>
  <c r="D143" i="13"/>
  <c r="A142" i="13"/>
  <c r="F135" i="13"/>
  <c r="A135" i="13"/>
  <c r="O48" i="13"/>
  <c r="P47" i="13"/>
  <c r="L45" i="13"/>
  <c r="P44" i="13"/>
  <c r="M43" i="13"/>
  <c r="N42" i="13"/>
  <c r="N41" i="13"/>
  <c r="N39" i="13"/>
  <c r="P38" i="13"/>
  <c r="L38" i="13"/>
  <c r="L37" i="13"/>
  <c r="M36" i="13"/>
  <c r="M35" i="13"/>
  <c r="L34" i="13"/>
  <c r="O33" i="13"/>
  <c r="L32" i="13"/>
  <c r="N31" i="13"/>
  <c r="O30" i="13"/>
  <c r="P29" i="13"/>
  <c r="M28" i="13"/>
  <c r="P26" i="13"/>
  <c r="L26" i="13"/>
  <c r="P25" i="13"/>
  <c r="M25" i="13"/>
  <c r="K17" i="9"/>
  <c r="D17" i="9"/>
  <c r="I16" i="9"/>
  <c r="E16" i="9"/>
  <c r="K15" i="9"/>
  <c r="D15" i="9"/>
  <c r="I14" i="9"/>
  <c r="F14" i="9"/>
  <c r="K13" i="9"/>
  <c r="E13" i="9"/>
  <c r="K12" i="9"/>
  <c r="D12" i="9"/>
  <c r="G11" i="9"/>
  <c r="I10" i="9"/>
  <c r="C10" i="9"/>
  <c r="F9" i="9"/>
  <c r="H8" i="9"/>
  <c r="D8" i="9"/>
  <c r="I7" i="9"/>
  <c r="D7" i="9"/>
  <c r="G6" i="9"/>
  <c r="C6" i="9"/>
  <c r="G5" i="9"/>
  <c r="C5" i="9"/>
  <c r="E4" i="9"/>
  <c r="H3" i="9"/>
  <c r="C3" i="9"/>
  <c r="G2" i="9"/>
  <c r="A361" i="6"/>
  <c r="A360" i="6"/>
  <c r="A359" i="6"/>
  <c r="G353" i="6"/>
  <c r="F353" i="6"/>
  <c r="H353" i="6" s="1"/>
  <c r="B353" i="6"/>
  <c r="G352" i="6"/>
  <c r="C352" i="6"/>
  <c r="G349" i="6"/>
  <c r="F349" i="6"/>
  <c r="H349" i="6" s="1"/>
  <c r="D349" i="6"/>
  <c r="C349" i="6"/>
  <c r="B324" i="6"/>
  <c r="F323" i="6"/>
  <c r="H323" i="6" s="1"/>
  <c r="C323" i="6"/>
  <c r="G320" i="6"/>
  <c r="C320" i="6"/>
  <c r="G317" i="6"/>
  <c r="C315" i="6"/>
  <c r="G314" i="6"/>
  <c r="B314" i="6"/>
  <c r="F313" i="6"/>
  <c r="H313" i="6" s="1"/>
  <c r="C309" i="6"/>
  <c r="G307" i="6"/>
  <c r="D307" i="6"/>
  <c r="B307" i="6"/>
  <c r="F299" i="6"/>
  <c r="H299" i="6" s="1"/>
  <c r="B299" i="6"/>
  <c r="G295" i="6"/>
  <c r="B295" i="6"/>
  <c r="G287" i="6"/>
  <c r="F287" i="6"/>
  <c r="H287" i="6" s="1"/>
  <c r="C287" i="6"/>
  <c r="G271" i="6"/>
  <c r="G262" i="6"/>
  <c r="F262" i="6"/>
  <c r="H262" i="6" s="1"/>
  <c r="C262" i="6"/>
  <c r="G260" i="6"/>
  <c r="D260" i="6"/>
  <c r="F252" i="6"/>
  <c r="H252" i="6" s="1"/>
  <c r="B252" i="6"/>
  <c r="B247" i="6"/>
  <c r="G234" i="6"/>
  <c r="D234" i="6"/>
  <c r="B234" i="6"/>
  <c r="B232" i="6"/>
  <c r="D231" i="6"/>
  <c r="B231" i="6"/>
  <c r="D220" i="6"/>
  <c r="B220" i="6"/>
  <c r="B219" i="6"/>
  <c r="G213" i="6"/>
  <c r="D213" i="6"/>
  <c r="B213" i="6"/>
  <c r="C211" i="6"/>
  <c r="C179" i="6"/>
  <c r="C178" i="6"/>
  <c r="G175" i="6"/>
  <c r="C175" i="6"/>
  <c r="D173" i="6"/>
  <c r="F169" i="6"/>
  <c r="H169" i="6" s="1"/>
  <c r="C169" i="6"/>
  <c r="F164" i="6"/>
  <c r="H164" i="6" s="1"/>
  <c r="D161" i="6"/>
  <c r="D155" i="6"/>
  <c r="D154" i="6"/>
  <c r="B152" i="6"/>
  <c r="B151" i="6"/>
  <c r="D150" i="6"/>
  <c r="B147" i="6"/>
  <c r="D146" i="6"/>
  <c r="B144" i="6"/>
  <c r="B143" i="6"/>
  <c r="G142" i="6"/>
  <c r="C142" i="6"/>
  <c r="C141" i="6"/>
  <c r="F140" i="6"/>
  <c r="H140" i="6" s="1"/>
  <c r="C140" i="6"/>
  <c r="D99" i="6"/>
  <c r="B96" i="6"/>
  <c r="C93" i="6"/>
  <c r="F92" i="6"/>
  <c r="H92" i="6" s="1"/>
  <c r="B92" i="6"/>
  <c r="F84" i="6"/>
  <c r="H84" i="6" s="1"/>
  <c r="B84" i="6"/>
  <c r="D78" i="6"/>
  <c r="B78" i="6"/>
  <c r="B73" i="6"/>
  <c r="B34" i="6"/>
  <c r="F33" i="6"/>
  <c r="H33" i="6" s="1"/>
  <c r="C33" i="6"/>
  <c r="B28" i="6"/>
  <c r="D27" i="6"/>
  <c r="B25" i="6"/>
  <c r="B3" i="6"/>
  <c r="B341" i="13"/>
  <c r="D335" i="13"/>
  <c r="A335" i="13"/>
  <c r="A334" i="13"/>
  <c r="F328" i="13"/>
  <c r="D328" i="13"/>
  <c r="B328" i="13"/>
  <c r="E326" i="13"/>
  <c r="D326" i="13"/>
  <c r="B326" i="13"/>
  <c r="E324" i="13"/>
  <c r="D324" i="13"/>
  <c r="B324" i="13"/>
  <c r="A324" i="13"/>
  <c r="E322" i="13"/>
  <c r="C322" i="13"/>
  <c r="A322" i="13"/>
  <c r="E320" i="13"/>
  <c r="A320" i="13"/>
  <c r="E314" i="13"/>
  <c r="D314" i="13"/>
  <c r="B314" i="13"/>
  <c r="F313" i="13"/>
  <c r="D313" i="13"/>
  <c r="B313" i="13"/>
  <c r="E311" i="13"/>
  <c r="C311" i="13"/>
  <c r="A311" i="13"/>
  <c r="D304" i="13"/>
  <c r="C304" i="13"/>
  <c r="F303" i="13"/>
  <c r="C303" i="13"/>
  <c r="E296" i="13"/>
  <c r="A295" i="13"/>
  <c r="A294" i="13"/>
  <c r="E293" i="13"/>
  <c r="E292" i="13"/>
  <c r="A292" i="13"/>
  <c r="F291" i="13"/>
  <c r="C291" i="13"/>
  <c r="A291" i="13"/>
  <c r="D290" i="13"/>
  <c r="E288" i="13"/>
  <c r="D288" i="13"/>
  <c r="B288" i="13"/>
  <c r="F287" i="13"/>
  <c r="E287" i="13"/>
  <c r="C287" i="13"/>
  <c r="A287" i="13"/>
  <c r="F286" i="13"/>
  <c r="D286" i="13"/>
  <c r="B286" i="13"/>
  <c r="F285" i="13"/>
  <c r="E285" i="13"/>
  <c r="D285" i="13"/>
  <c r="B285" i="13"/>
  <c r="E283" i="13"/>
  <c r="A283" i="13"/>
  <c r="E282" i="13"/>
  <c r="A282" i="13"/>
  <c r="D278" i="13"/>
  <c r="A278" i="13"/>
  <c r="F276" i="13"/>
  <c r="C276" i="13"/>
  <c r="A273" i="13"/>
  <c r="E272" i="13"/>
  <c r="B270" i="13"/>
  <c r="E269" i="13"/>
  <c r="F268" i="13"/>
  <c r="A265" i="13"/>
  <c r="D264" i="13"/>
  <c r="A264" i="13"/>
  <c r="D263" i="13"/>
  <c r="A263" i="13"/>
  <c r="C262" i="13"/>
  <c r="F261" i="13"/>
  <c r="B261" i="13"/>
  <c r="D260" i="13"/>
  <c r="A260" i="13"/>
  <c r="E259" i="13"/>
  <c r="B259" i="13"/>
  <c r="A258" i="13"/>
  <c r="D255" i="13"/>
  <c r="A248" i="13"/>
  <c r="D242" i="13"/>
  <c r="B242" i="13"/>
  <c r="E235" i="13"/>
  <c r="E233" i="13"/>
  <c r="D232" i="13"/>
  <c r="A232" i="13"/>
  <c r="C231" i="13"/>
  <c r="E230" i="13"/>
  <c r="C230" i="13"/>
  <c r="E229" i="13"/>
  <c r="C229" i="13"/>
  <c r="E226" i="13"/>
  <c r="B226" i="13"/>
  <c r="D224" i="13"/>
  <c r="E223" i="13"/>
  <c r="E220" i="13"/>
  <c r="A220" i="13"/>
  <c r="F217" i="13"/>
  <c r="B217" i="13"/>
  <c r="F216" i="13"/>
  <c r="B216" i="13"/>
  <c r="D215" i="13"/>
  <c r="A214" i="13"/>
  <c r="E213" i="13"/>
  <c r="A213" i="13"/>
  <c r="E211" i="13"/>
  <c r="E210" i="13"/>
  <c r="A210" i="13"/>
  <c r="E208" i="13"/>
  <c r="A208" i="13"/>
  <c r="C207" i="13"/>
  <c r="A207" i="13"/>
  <c r="D206" i="13"/>
  <c r="F205" i="13"/>
  <c r="D205" i="13"/>
  <c r="A205" i="13"/>
  <c r="E204" i="13"/>
  <c r="B203" i="13"/>
  <c r="E202" i="13"/>
  <c r="B202" i="13"/>
  <c r="D201" i="13"/>
  <c r="A201" i="13"/>
  <c r="E199" i="13"/>
  <c r="E198" i="13"/>
  <c r="B198" i="13"/>
  <c r="D197" i="13"/>
  <c r="F196" i="13"/>
  <c r="D196" i="13"/>
  <c r="C196" i="13"/>
  <c r="A196" i="13"/>
  <c r="E195" i="13"/>
  <c r="C195" i="13"/>
  <c r="F194" i="13"/>
  <c r="C194" i="13"/>
  <c r="B194" i="13"/>
  <c r="E193" i="13"/>
  <c r="C193" i="13"/>
  <c r="E192" i="13"/>
  <c r="C192" i="13"/>
  <c r="F191" i="13"/>
  <c r="C191" i="13"/>
  <c r="A188" i="13"/>
  <c r="E186" i="13"/>
  <c r="E185" i="13"/>
  <c r="E183" i="13"/>
  <c r="D183" i="13"/>
  <c r="A183" i="13"/>
  <c r="D181" i="13"/>
  <c r="F160" i="13"/>
  <c r="D160" i="13"/>
  <c r="F159" i="13"/>
  <c r="C159" i="13"/>
  <c r="E158" i="13"/>
  <c r="C158" i="13"/>
  <c r="D156" i="13"/>
  <c r="F155" i="13"/>
  <c r="B155" i="13"/>
  <c r="A150" i="13"/>
  <c r="C147" i="13"/>
  <c r="B147" i="13"/>
  <c r="D144" i="13"/>
  <c r="A144" i="13"/>
  <c r="E143" i="13"/>
  <c r="A143" i="13"/>
  <c r="E141" i="13"/>
  <c r="E137" i="13"/>
  <c r="F136" i="13"/>
  <c r="B136" i="13"/>
  <c r="E135" i="13"/>
  <c r="B135" i="13"/>
  <c r="D134" i="13"/>
  <c r="B134" i="13"/>
  <c r="C133" i="13"/>
  <c r="F132" i="13"/>
  <c r="C132" i="13"/>
  <c r="F131" i="13"/>
  <c r="A131" i="13"/>
  <c r="A130" i="13"/>
  <c r="D129" i="13"/>
  <c r="E127" i="13"/>
  <c r="L48" i="13"/>
  <c r="L47" i="13"/>
  <c r="O46" i="13"/>
  <c r="N46" i="13"/>
  <c r="L44" i="13"/>
  <c r="P43" i="13"/>
  <c r="L43" i="13"/>
  <c r="O41" i="13"/>
  <c r="P40" i="13"/>
  <c r="N40" i="13"/>
  <c r="P37" i="13"/>
  <c r="N37" i="13"/>
  <c r="N36" i="13"/>
  <c r="O35" i="13"/>
  <c r="L35" i="13"/>
  <c r="N34" i="13"/>
  <c r="M33" i="13"/>
  <c r="N32" i="13"/>
  <c r="P30" i="13"/>
  <c r="M30" i="13"/>
  <c r="M29" i="13"/>
  <c r="N26" i="13"/>
  <c r="O25" i="13"/>
  <c r="G15" i="9"/>
  <c r="D14" i="9"/>
  <c r="H13" i="9"/>
  <c r="F13" i="9"/>
  <c r="I12" i="9"/>
  <c r="E12" i="9"/>
  <c r="I11" i="9"/>
  <c r="E11" i="9"/>
  <c r="H10" i="9"/>
  <c r="E10" i="9"/>
  <c r="H9" i="9"/>
  <c r="D9" i="9"/>
  <c r="I8" i="9"/>
  <c r="G8" i="9"/>
  <c r="C8" i="9"/>
  <c r="G7" i="9"/>
  <c r="E7" i="9"/>
  <c r="K6" i="9"/>
  <c r="F6" i="9"/>
  <c r="I5" i="9"/>
  <c r="F5" i="9"/>
  <c r="K4" i="9"/>
  <c r="H4" i="9"/>
  <c r="C4" i="9"/>
  <c r="G3" i="9"/>
  <c r="D3" i="9"/>
  <c r="H2" i="9"/>
  <c r="E2" i="9"/>
  <c r="D311" i="6"/>
  <c r="G310" i="6"/>
  <c r="D310" i="6"/>
  <c r="B310" i="6"/>
  <c r="G309" i="6"/>
  <c r="F309" i="6"/>
  <c r="H309" i="6" s="1"/>
  <c r="D309" i="6"/>
  <c r="G303" i="6"/>
  <c r="C303" i="6"/>
  <c r="C302" i="6"/>
  <c r="F301" i="6"/>
  <c r="H301" i="6" s="1"/>
  <c r="B301" i="6"/>
  <c r="C300" i="6"/>
  <c r="G299" i="6"/>
  <c r="D299" i="6"/>
  <c r="B293" i="6"/>
  <c r="G292" i="6"/>
  <c r="F292" i="6"/>
  <c r="H292" i="6" s="1"/>
  <c r="D292" i="6"/>
  <c r="C292" i="6"/>
  <c r="B292" i="6"/>
  <c r="C291" i="6"/>
  <c r="G288" i="6"/>
  <c r="D288" i="6"/>
  <c r="B288" i="6"/>
  <c r="D282" i="6"/>
  <c r="B280" i="6"/>
  <c r="D279" i="6"/>
  <c r="F277" i="6"/>
  <c r="H277" i="6" s="1"/>
  <c r="D277" i="6"/>
  <c r="B277" i="6"/>
  <c r="G274" i="6"/>
  <c r="D274" i="6"/>
  <c r="B274" i="6"/>
  <c r="F272" i="6"/>
  <c r="H272" i="6" s="1"/>
  <c r="C272" i="6"/>
  <c r="D271" i="6"/>
  <c r="B271" i="6"/>
  <c r="D270" i="6"/>
  <c r="A266" i="6"/>
  <c r="A265" i="6"/>
  <c r="G264" i="6"/>
  <c r="D264" i="6"/>
  <c r="G261" i="6"/>
  <c r="C261" i="6"/>
  <c r="C260" i="6"/>
  <c r="D259" i="6"/>
  <c r="B259" i="6"/>
  <c r="G258" i="6"/>
  <c r="B258" i="6"/>
  <c r="B255" i="6"/>
  <c r="D254" i="6"/>
  <c r="G252" i="6"/>
  <c r="D252" i="6"/>
  <c r="D249" i="6"/>
  <c r="G245" i="6"/>
  <c r="D241" i="6"/>
  <c r="B241" i="6"/>
  <c r="C240" i="6"/>
  <c r="G239" i="6"/>
  <c r="F239" i="6"/>
  <c r="H239" i="6" s="1"/>
  <c r="B239" i="6"/>
  <c r="C238" i="6"/>
  <c r="G235" i="6"/>
  <c r="F235" i="6"/>
  <c r="H235" i="6" s="1"/>
  <c r="B235" i="6"/>
  <c r="G232" i="6"/>
  <c r="B230" i="6"/>
  <c r="F229" i="6"/>
  <c r="H229" i="6" s="1"/>
  <c r="B229" i="6"/>
  <c r="A228" i="6"/>
  <c r="F227" i="6"/>
  <c r="H227" i="6" s="1"/>
  <c r="C227" i="6"/>
  <c r="G215" i="6"/>
  <c r="B215" i="6"/>
  <c r="G214" i="6"/>
  <c r="F214" i="6"/>
  <c r="H214" i="6" s="1"/>
  <c r="C214" i="6"/>
  <c r="C213" i="6"/>
  <c r="D212" i="6"/>
  <c r="B212" i="6"/>
  <c r="F211" i="6"/>
  <c r="H211" i="6" s="1"/>
  <c r="B211" i="6"/>
  <c r="G210" i="6"/>
  <c r="F210" i="6"/>
  <c r="H210" i="6" s="1"/>
  <c r="C210" i="6"/>
  <c r="B210" i="6"/>
  <c r="D209" i="6"/>
  <c r="F204" i="6"/>
  <c r="H204" i="6" s="1"/>
  <c r="C204" i="6"/>
  <c r="B203" i="6"/>
  <c r="A200" i="6"/>
  <c r="C199" i="6"/>
  <c r="D197" i="6"/>
  <c r="A195" i="6"/>
  <c r="B194" i="6"/>
  <c r="F193" i="6"/>
  <c r="H193" i="6" s="1"/>
  <c r="C193" i="6"/>
  <c r="B131" i="6"/>
  <c r="G130" i="6"/>
  <c r="C130" i="6"/>
  <c r="G129" i="6"/>
  <c r="D129" i="6"/>
  <c r="G128" i="6"/>
  <c r="B128" i="6"/>
  <c r="D127" i="6"/>
  <c r="F120" i="6"/>
  <c r="H120" i="6" s="1"/>
  <c r="D118" i="6"/>
  <c r="C118" i="6"/>
  <c r="G117" i="6"/>
  <c r="F117" i="6"/>
  <c r="H117" i="6" s="1"/>
  <c r="B117" i="6"/>
  <c r="C114" i="6"/>
  <c r="F113" i="6"/>
  <c r="H113" i="6" s="1"/>
  <c r="C113" i="6"/>
  <c r="A112" i="6"/>
  <c r="D111" i="6"/>
  <c r="D109" i="6"/>
  <c r="B109" i="6"/>
  <c r="D108" i="6"/>
  <c r="C108" i="6"/>
  <c r="G106" i="6"/>
  <c r="F106" i="6"/>
  <c r="H106" i="6" s="1"/>
  <c r="D106" i="6"/>
  <c r="B106" i="6"/>
  <c r="D105" i="6"/>
  <c r="B105" i="6"/>
  <c r="G104" i="6"/>
  <c r="F104" i="6"/>
  <c r="H104" i="6" s="1"/>
  <c r="B104" i="6"/>
  <c r="D101" i="6"/>
  <c r="B101" i="6"/>
  <c r="G96" i="6"/>
  <c r="F96" i="6"/>
  <c r="H96" i="6" s="1"/>
  <c r="G92" i="6"/>
  <c r="C92" i="6"/>
  <c r="G84" i="6"/>
  <c r="D84" i="6"/>
  <c r="C84" i="6"/>
  <c r="A66" i="6"/>
  <c r="C34" i="6"/>
  <c r="D28" i="6"/>
  <c r="D25" i="6"/>
  <c r="C22" i="6"/>
  <c r="D20" i="6"/>
  <c r="B20" i="6"/>
  <c r="B15" i="6"/>
  <c r="B404" i="13"/>
  <c r="F401" i="13"/>
  <c r="C401" i="13"/>
  <c r="B401" i="13"/>
  <c r="F400" i="13"/>
  <c r="D400" i="13"/>
  <c r="B400" i="13"/>
  <c r="F399" i="13"/>
  <c r="E399" i="13"/>
  <c r="C399" i="13"/>
  <c r="B399" i="13"/>
  <c r="F396" i="13"/>
  <c r="D396" i="13"/>
  <c r="B396" i="13"/>
  <c r="F395" i="13"/>
  <c r="D395" i="13"/>
  <c r="C395" i="13"/>
  <c r="A395" i="13"/>
  <c r="F378" i="13"/>
  <c r="E378" i="13"/>
  <c r="D378" i="13"/>
  <c r="C378" i="13"/>
  <c r="B378" i="13"/>
  <c r="A378" i="13"/>
  <c r="F375" i="13"/>
  <c r="E375" i="13"/>
  <c r="D375" i="13"/>
  <c r="B375" i="13"/>
  <c r="A375" i="13"/>
  <c r="E374" i="13"/>
  <c r="B374" i="13"/>
  <c r="F371" i="13"/>
  <c r="D371" i="13"/>
  <c r="B371" i="13"/>
  <c r="F368" i="13"/>
  <c r="C368" i="13"/>
  <c r="B368" i="13"/>
  <c r="F367" i="13"/>
  <c r="D367" i="13"/>
  <c r="B367" i="13"/>
  <c r="F366" i="13"/>
  <c r="D366" i="13"/>
  <c r="B366" i="13"/>
  <c r="F365" i="13"/>
  <c r="D365" i="13"/>
  <c r="B365" i="13"/>
  <c r="F364" i="13"/>
  <c r="D364" i="13"/>
  <c r="B364" i="13"/>
  <c r="A364" i="13"/>
  <c r="F360" i="13"/>
  <c r="C360" i="13"/>
  <c r="A360" i="13"/>
  <c r="F358" i="13"/>
  <c r="E358" i="13"/>
  <c r="D358" i="13"/>
  <c r="C358" i="13"/>
  <c r="B358" i="13"/>
  <c r="A358" i="13"/>
  <c r="E355" i="13"/>
  <c r="C354" i="13"/>
  <c r="B354" i="13"/>
  <c r="F352" i="13"/>
  <c r="C352" i="13"/>
  <c r="A352" i="13"/>
  <c r="E351" i="13"/>
  <c r="D351" i="13"/>
  <c r="B351" i="13"/>
  <c r="E350" i="13"/>
  <c r="C350" i="13"/>
  <c r="B350" i="13"/>
  <c r="F349" i="13"/>
  <c r="D349" i="13"/>
  <c r="B349" i="13"/>
  <c r="F346" i="13"/>
  <c r="D346" i="13"/>
  <c r="C346" i="13"/>
  <c r="A346" i="13"/>
  <c r="F343" i="13"/>
  <c r="D343" i="13"/>
  <c r="A343" i="13"/>
  <c r="E340" i="13"/>
  <c r="C340" i="13"/>
  <c r="A340" i="13"/>
  <c r="E338" i="13"/>
  <c r="C338" i="13"/>
  <c r="B338" i="13"/>
  <c r="E331" i="13"/>
  <c r="B331" i="13"/>
  <c r="F324" i="13"/>
  <c r="C324" i="13"/>
  <c r="F322" i="13"/>
  <c r="D322" i="13"/>
  <c r="B322" i="13"/>
  <c r="F314" i="13"/>
  <c r="C314" i="13"/>
  <c r="A314" i="13"/>
  <c r="E313" i="13"/>
  <c r="C313" i="13"/>
  <c r="A313" i="13"/>
  <c r="F311" i="13"/>
  <c r="D311" i="13"/>
  <c r="B311" i="13"/>
  <c r="D306" i="13"/>
  <c r="B306" i="13"/>
  <c r="F304" i="13"/>
  <c r="A304" i="13"/>
  <c r="E303" i="13"/>
  <c r="B303" i="13"/>
  <c r="E299" i="13"/>
  <c r="B299" i="13"/>
  <c r="E298" i="13"/>
  <c r="B298" i="13"/>
  <c r="D296" i="13"/>
  <c r="A296" i="13"/>
  <c r="E294" i="13"/>
  <c r="B293" i="13"/>
  <c r="F292" i="13"/>
  <c r="C292" i="13"/>
  <c r="D291" i="13"/>
  <c r="F290" i="13"/>
  <c r="C290" i="13"/>
  <c r="A290" i="13"/>
  <c r="B282" i="13"/>
  <c r="C278" i="13"/>
  <c r="D271" i="13"/>
  <c r="E270" i="13"/>
  <c r="D270" i="13"/>
  <c r="A269" i="13"/>
  <c r="C268" i="13"/>
  <c r="F264" i="13"/>
  <c r="B264" i="13"/>
  <c r="E263" i="13"/>
  <c r="B263" i="13"/>
  <c r="E262" i="13"/>
  <c r="D262" i="13"/>
  <c r="A262" i="13"/>
  <c r="D261" i="13"/>
  <c r="C242" i="13"/>
  <c r="E238" i="13"/>
  <c r="A238" i="13"/>
  <c r="D235" i="13"/>
  <c r="E234" i="13"/>
  <c r="A234" i="13"/>
  <c r="E232" i="13"/>
  <c r="D226" i="13"/>
  <c r="A221" i="13"/>
  <c r="D220" i="13"/>
  <c r="C215" i="13"/>
  <c r="E214" i="13"/>
  <c r="D212" i="13"/>
  <c r="A211" i="13"/>
  <c r="D210" i="13"/>
  <c r="F209" i="13"/>
  <c r="B209" i="13"/>
  <c r="D208" i="13"/>
  <c r="F207" i="13"/>
  <c r="F206" i="13"/>
  <c r="C206" i="13"/>
  <c r="E205" i="13"/>
  <c r="D204" i="13"/>
  <c r="A204" i="13"/>
  <c r="E203" i="13"/>
  <c r="A203" i="13"/>
  <c r="D202" i="13"/>
  <c r="A202" i="13"/>
  <c r="E200" i="13"/>
  <c r="A198" i="13"/>
  <c r="E197" i="13"/>
  <c r="A197" i="13"/>
  <c r="E196" i="13"/>
  <c r="B196" i="13"/>
  <c r="F195" i="13"/>
  <c r="B195" i="13"/>
  <c r="E194" i="13"/>
  <c r="A194" i="13"/>
  <c r="D193" i="13"/>
  <c r="A193" i="13"/>
  <c r="F192" i="13"/>
  <c r="A192" i="13"/>
  <c r="E191" i="13"/>
  <c r="A191" i="13"/>
  <c r="A185" i="13"/>
  <c r="D170" i="13"/>
  <c r="C156" i="13"/>
  <c r="D147" i="13"/>
  <c r="A147" i="13"/>
  <c r="F144" i="13"/>
  <c r="E144" i="13"/>
  <c r="F143" i="13"/>
  <c r="B143" i="13"/>
  <c r="C135" i="13"/>
  <c r="N48" i="13"/>
  <c r="O47" i="13"/>
  <c r="M47" i="13"/>
  <c r="L46" i="13"/>
  <c r="O45" i="13"/>
  <c r="M45" i="13"/>
  <c r="O44" i="13"/>
  <c r="O43" i="13"/>
  <c r="O42" i="13"/>
  <c r="M41" i="13"/>
  <c r="O40" i="13"/>
  <c r="L40" i="13"/>
  <c r="O39" i="13"/>
  <c r="M38" i="13"/>
  <c r="O37" i="13"/>
  <c r="M37" i="13"/>
  <c r="P36" i="13"/>
  <c r="O34" i="13"/>
  <c r="O32" i="13"/>
  <c r="P31" i="13"/>
  <c r="M31" i="13"/>
  <c r="N29" i="13"/>
  <c r="O28" i="13"/>
  <c r="N27" i="13"/>
  <c r="O26" i="13"/>
  <c r="N25" i="13"/>
  <c r="I17" i="9"/>
  <c r="F17" i="9"/>
  <c r="C17" i="9"/>
  <c r="G16" i="9"/>
  <c r="D16" i="9"/>
  <c r="H15" i="9"/>
  <c r="E15" i="9"/>
  <c r="K14" i="9"/>
  <c r="G14" i="9"/>
  <c r="C14" i="9"/>
  <c r="G13" i="9"/>
  <c r="D13" i="9"/>
  <c r="H12" i="9"/>
  <c r="F12" i="9"/>
  <c r="H11" i="9"/>
  <c r="C11" i="9"/>
  <c r="F10" i="9"/>
  <c r="I9" i="9"/>
  <c r="C9" i="9"/>
  <c r="E8" i="9"/>
  <c r="K7" i="9"/>
  <c r="C7" i="9"/>
  <c r="H6" i="9"/>
  <c r="D6" i="9"/>
  <c r="H5" i="9"/>
  <c r="D5" i="9"/>
  <c r="F4" i="9"/>
  <c r="I3" i="9"/>
  <c r="E3" i="9"/>
  <c r="I2" i="9"/>
  <c r="D2" i="9"/>
  <c r="F358" i="6"/>
  <c r="H358" i="6" s="1"/>
  <c r="D358" i="6"/>
  <c r="B358" i="6"/>
  <c r="D353" i="6"/>
  <c r="D352" i="6"/>
  <c r="B350" i="6"/>
  <c r="B349" i="6"/>
  <c r="C348" i="6"/>
  <c r="D345" i="6"/>
  <c r="C345" i="6"/>
  <c r="G340" i="6"/>
  <c r="F340" i="6"/>
  <c r="H340" i="6" s="1"/>
  <c r="B340" i="6"/>
  <c r="F334" i="6"/>
  <c r="H334" i="6" s="1"/>
  <c r="B327" i="6"/>
  <c r="F324" i="6"/>
  <c r="H324" i="6" s="1"/>
  <c r="D324" i="6"/>
  <c r="B320" i="6"/>
  <c r="F317" i="6"/>
  <c r="H317" i="6" s="1"/>
  <c r="B317" i="6"/>
  <c r="C316" i="6"/>
  <c r="D314" i="6"/>
  <c r="F307" i="6"/>
  <c r="H307" i="6" s="1"/>
  <c r="C307" i="6"/>
  <c r="G304" i="6"/>
  <c r="D304" i="6"/>
  <c r="F303" i="6"/>
  <c r="H303" i="6" s="1"/>
  <c r="B303" i="6"/>
  <c r="B300" i="6"/>
  <c r="C299" i="6"/>
  <c r="D298" i="6"/>
  <c r="A285" i="6"/>
  <c r="D273" i="6"/>
  <c r="F260" i="6"/>
  <c r="H260" i="6" s="1"/>
  <c r="B260" i="6"/>
  <c r="C252" i="6"/>
  <c r="D247" i="6"/>
  <c r="D239" i="6"/>
  <c r="B222" i="6"/>
  <c r="F191" i="6"/>
  <c r="H191" i="6" s="1"/>
  <c r="D186" i="6"/>
  <c r="B186" i="6"/>
  <c r="B184" i="6"/>
  <c r="D183" i="6"/>
  <c r="B183" i="6"/>
  <c r="F181" i="6"/>
  <c r="H181" i="6" s="1"/>
  <c r="C181" i="6"/>
  <c r="B179" i="6"/>
  <c r="B178" i="6"/>
  <c r="F175" i="6"/>
  <c r="H175" i="6" s="1"/>
  <c r="B173" i="6"/>
  <c r="G169" i="6"/>
  <c r="D169" i="6"/>
  <c r="D162" i="6"/>
  <c r="B162" i="6"/>
  <c r="G156" i="6"/>
  <c r="C156" i="6"/>
  <c r="F154" i="6"/>
  <c r="H154" i="6" s="1"/>
  <c r="B154" i="6"/>
  <c r="B153" i="6"/>
  <c r="D152" i="6"/>
  <c r="F145" i="6"/>
  <c r="H145" i="6" s="1"/>
  <c r="B145" i="6"/>
  <c r="G144" i="6"/>
  <c r="D144" i="6"/>
  <c r="D142" i="6"/>
  <c r="B140" i="6"/>
  <c r="B134" i="6"/>
  <c r="A133" i="6"/>
  <c r="G119" i="6"/>
  <c r="F119" i="6"/>
  <c r="H119" i="6" s="1"/>
  <c r="D119" i="6"/>
  <c r="B119" i="6"/>
  <c r="A115" i="6"/>
  <c r="B98" i="6"/>
  <c r="D96" i="6"/>
  <c r="D92" i="6"/>
  <c r="D91" i="6"/>
  <c r="B91" i="6"/>
  <c r="D79" i="6"/>
  <c r="G73" i="6"/>
  <c r="G47" i="6"/>
  <c r="F47" i="6"/>
  <c r="H47" i="6" s="1"/>
  <c r="C47" i="6"/>
  <c r="B47" i="6"/>
  <c r="G45" i="6"/>
  <c r="F45" i="6"/>
  <c r="H45" i="6" s="1"/>
  <c r="C45" i="6"/>
  <c r="G34" i="6"/>
  <c r="F34" i="6"/>
  <c r="H34" i="6" s="1"/>
  <c r="D34" i="6"/>
  <c r="D32" i="6"/>
  <c r="B16" i="6"/>
  <c r="E347" i="13" l="1"/>
  <c r="C347" i="13"/>
  <c r="A347" i="13"/>
  <c r="G78" i="6"/>
  <c r="B74" i="6"/>
  <c r="D62" i="6"/>
  <c r="G4" i="6"/>
  <c r="G211" i="6"/>
  <c r="D73" i="6"/>
  <c r="B68" i="6"/>
  <c r="B332" i="13"/>
  <c r="F281" i="6"/>
  <c r="G280" i="6"/>
  <c r="G283" i="6"/>
  <c r="G79" i="6"/>
  <c r="F79" i="6"/>
  <c r="H79" i="6" s="1"/>
  <c r="G68" i="6"/>
  <c r="F68" i="6"/>
  <c r="H68" i="6" s="1"/>
  <c r="D68" i="6"/>
  <c r="C68" i="6"/>
  <c r="F282" i="6"/>
  <c r="B333" i="13"/>
  <c r="G281" i="6"/>
  <c r="F280" i="6"/>
  <c r="D331" i="13"/>
  <c r="G282" i="6"/>
  <c r="G278" i="6"/>
  <c r="D87" i="6"/>
  <c r="G270" i="6"/>
  <c r="D117" i="6"/>
  <c r="C117" i="6"/>
  <c r="G109" i="6"/>
  <c r="F109" i="6"/>
  <c r="H109" i="6" s="1"/>
  <c r="C109" i="6"/>
  <c r="B99" i="6"/>
  <c r="F269" i="6"/>
  <c r="H269" i="6" s="1"/>
  <c r="F97" i="13"/>
  <c r="E97" i="13"/>
  <c r="D97" i="13"/>
  <c r="F247" i="6"/>
  <c r="H247" i="6" s="1"/>
  <c r="D298" i="13"/>
  <c r="D243" i="6"/>
  <c r="D294" i="13" s="1"/>
  <c r="C85" i="6"/>
  <c r="F302" i="13"/>
  <c r="C302" i="13"/>
  <c r="F301" i="13"/>
  <c r="D301" i="13"/>
  <c r="A301" i="13"/>
  <c r="F254" i="13"/>
  <c r="D254" i="13"/>
  <c r="A254" i="13"/>
  <c r="D243" i="13"/>
  <c r="A243" i="13"/>
  <c r="F228" i="13"/>
  <c r="D228" i="13"/>
  <c r="A228" i="13"/>
  <c r="E218" i="13"/>
  <c r="D218" i="13"/>
  <c r="G114" i="6"/>
  <c r="D114" i="6"/>
  <c r="C70" i="6"/>
  <c r="G247" i="6"/>
  <c r="B273" i="13"/>
  <c r="C97" i="13"/>
  <c r="D284" i="6"/>
  <c r="B284" i="6"/>
  <c r="F283" i="6"/>
  <c r="H283" i="6" s="1"/>
  <c r="B263" i="6"/>
  <c r="F253" i="6"/>
  <c r="H253" i="6" s="1"/>
  <c r="B253" i="6"/>
  <c r="F240" i="6"/>
  <c r="H240" i="6" s="1"/>
  <c r="G227" i="6"/>
  <c r="D227" i="6"/>
  <c r="C165" i="6"/>
  <c r="E325" i="13"/>
  <c r="C325" i="13"/>
  <c r="A325" i="13"/>
  <c r="E318" i="13"/>
  <c r="B318" i="13"/>
  <c r="E284" i="13"/>
  <c r="C284" i="13"/>
  <c r="A284" i="13"/>
  <c r="F274" i="13"/>
  <c r="B274" i="13"/>
  <c r="A274" i="13"/>
  <c r="G255" i="6"/>
  <c r="F255" i="6"/>
  <c r="B245" i="6"/>
  <c r="B296" i="13" s="1"/>
  <c r="D244" i="6"/>
  <c r="D295" i="13" s="1"/>
  <c r="B244" i="6"/>
  <c r="B295" i="13" s="1"/>
  <c r="G243" i="6"/>
  <c r="B243" i="6"/>
  <c r="B294" i="13" s="1"/>
  <c r="B227" i="6"/>
  <c r="B187" i="6"/>
  <c r="F178" i="6"/>
  <c r="H178" i="6" s="1"/>
  <c r="D165" i="6"/>
  <c r="G57" i="6"/>
  <c r="F57" i="6"/>
  <c r="H57" i="6" s="1"/>
  <c r="D57" i="6"/>
  <c r="G254" i="6"/>
  <c r="G257" i="6"/>
  <c r="F257" i="6"/>
  <c r="H257" i="6" s="1"/>
  <c r="B97" i="13"/>
  <c r="A97" i="13"/>
  <c r="C253" i="6"/>
  <c r="F245" i="6"/>
  <c r="C245" i="6"/>
  <c r="C296" i="13" s="1"/>
  <c r="G248" i="6"/>
  <c r="D300" i="13"/>
  <c r="B300" i="13"/>
  <c r="F298" i="13"/>
  <c r="G244" i="6"/>
  <c r="F244" i="6"/>
  <c r="F243" i="6"/>
  <c r="F242" i="6"/>
  <c r="C242" i="6"/>
  <c r="C293" i="13" s="1"/>
  <c r="C244" i="6"/>
  <c r="C295" i="13" s="1"/>
  <c r="F248" i="6"/>
  <c r="F249" i="6"/>
  <c r="G242" i="6"/>
  <c r="G249" i="6"/>
  <c r="C243" i="6"/>
  <c r="C294" i="13" s="1"/>
  <c r="F95" i="13"/>
  <c r="E95" i="13"/>
  <c r="D95" i="13"/>
  <c r="C95" i="13"/>
  <c r="D283" i="13"/>
  <c r="F291" i="6"/>
  <c r="H291" i="6" s="1"/>
  <c r="B291" i="6"/>
  <c r="F290" i="6"/>
  <c r="H290" i="6" s="1"/>
  <c r="D290" i="6"/>
  <c r="B290" i="6"/>
  <c r="G284" i="6"/>
  <c r="F284" i="6"/>
  <c r="H284" i="6" s="1"/>
  <c r="C284" i="6"/>
  <c r="B278" i="6"/>
  <c r="G263" i="6"/>
  <c r="D263" i="6"/>
  <c r="G161" i="6"/>
  <c r="G150" i="6"/>
  <c r="B271" i="13"/>
  <c r="G231" i="6"/>
  <c r="G328" i="6"/>
  <c r="F328" i="6"/>
  <c r="H328" i="6" s="1"/>
  <c r="D328" i="6"/>
  <c r="B328" i="6"/>
  <c r="G319" i="6"/>
  <c r="F319" i="6"/>
  <c r="H319" i="6" s="1"/>
  <c r="C319" i="6"/>
  <c r="F232" i="6"/>
  <c r="F231" i="6"/>
  <c r="F220" i="6"/>
  <c r="H220" i="6" s="1"/>
  <c r="D215" i="6"/>
  <c r="F209" i="6"/>
  <c r="H209" i="6" s="1"/>
  <c r="B209" i="6"/>
  <c r="B207" i="6"/>
  <c r="D172" i="6"/>
  <c r="B172" i="6"/>
  <c r="D171" i="6"/>
  <c r="B171" i="6"/>
  <c r="G166" i="6"/>
  <c r="D166" i="6"/>
  <c r="C166" i="6"/>
  <c r="C230" i="6"/>
  <c r="C281" i="13" s="1"/>
  <c r="F151" i="6"/>
  <c r="G146" i="6"/>
  <c r="C232" i="6"/>
  <c r="C283" i="13" s="1"/>
  <c r="G99" i="6"/>
  <c r="B283" i="13"/>
  <c r="G173" i="6"/>
  <c r="D282" i="13"/>
  <c r="C231" i="6"/>
  <c r="C282" i="13" s="1"/>
  <c r="D272" i="13"/>
  <c r="C334" i="6"/>
  <c r="D236" i="6"/>
  <c r="D225" i="6"/>
  <c r="B269" i="13"/>
  <c r="B258" i="13"/>
  <c r="G219" i="6"/>
  <c r="F219" i="6"/>
  <c r="C219" i="6"/>
  <c r="C270" i="13" s="1"/>
  <c r="F218" i="6"/>
  <c r="F160" i="6"/>
  <c r="G222" i="6"/>
  <c r="G220" i="6"/>
  <c r="G218" i="6"/>
  <c r="C218" i="6"/>
  <c r="C269" i="13" s="1"/>
  <c r="D273" i="13"/>
  <c r="F271" i="13"/>
  <c r="E189" i="13"/>
  <c r="A189" i="13"/>
  <c r="D182" i="13"/>
  <c r="A182" i="13"/>
  <c r="E161" i="13"/>
  <c r="F157" i="13"/>
  <c r="C157" i="13"/>
  <c r="A154" i="13"/>
  <c r="E153" i="13"/>
  <c r="A153" i="13"/>
  <c r="F148" i="13"/>
  <c r="C148" i="13"/>
  <c r="D146" i="13"/>
  <c r="B146" i="13"/>
  <c r="D145" i="13"/>
  <c r="A145" i="13"/>
  <c r="A139" i="13"/>
  <c r="E128" i="13"/>
  <c r="F222" i="6"/>
  <c r="C220" i="6"/>
  <c r="C271" i="13" s="1"/>
  <c r="B95" i="13"/>
  <c r="A95" i="13"/>
  <c r="E93" i="13"/>
  <c r="A93" i="13"/>
  <c r="D258" i="13"/>
  <c r="G207" i="6"/>
  <c r="F207" i="6"/>
  <c r="E289" i="13"/>
  <c r="B289" i="13"/>
  <c r="A289" i="13"/>
  <c r="C227" i="13"/>
  <c r="E219" i="13"/>
  <c r="F346" i="6"/>
  <c r="H346" i="6" s="1"/>
  <c r="B346" i="6"/>
  <c r="D342" i="6"/>
  <c r="B342" i="6"/>
  <c r="B336" i="6"/>
  <c r="G331" i="6"/>
  <c r="F331" i="6"/>
  <c r="H331" i="6" s="1"/>
  <c r="D329" i="6"/>
  <c r="B329" i="6"/>
  <c r="G326" i="6"/>
  <c r="F326" i="6"/>
  <c r="H326" i="6" s="1"/>
  <c r="D326" i="6"/>
  <c r="C326" i="6"/>
  <c r="B326" i="6"/>
  <c r="C322" i="6"/>
  <c r="B306" i="6"/>
  <c r="F305" i="6"/>
  <c r="H305" i="6" s="1"/>
  <c r="C305" i="6"/>
  <c r="G302" i="6"/>
  <c r="D302" i="6"/>
  <c r="B302" i="6"/>
  <c r="G294" i="6"/>
  <c r="F294" i="6"/>
  <c r="H294" i="6" s="1"/>
  <c r="D294" i="6"/>
  <c r="B294" i="6"/>
  <c r="D276" i="6"/>
  <c r="B276" i="6"/>
  <c r="D267" i="6"/>
  <c r="G259" i="6"/>
  <c r="F259" i="6"/>
  <c r="H259" i="6" s="1"/>
  <c r="C259" i="6"/>
  <c r="B254" i="6"/>
  <c r="C254" i="6" s="1"/>
  <c r="C305" i="13" s="1"/>
  <c r="D251" i="6"/>
  <c r="D250" i="6"/>
  <c r="G233" i="6"/>
  <c r="F233" i="6"/>
  <c r="H233" i="6" s="1"/>
  <c r="D233" i="6"/>
  <c r="B233" i="6"/>
  <c r="G224" i="6"/>
  <c r="D224" i="6"/>
  <c r="B221" i="6"/>
  <c r="B272" i="13" s="1"/>
  <c r="D206" i="6"/>
  <c r="D257" i="13" s="1"/>
  <c r="B206" i="6"/>
  <c r="G205" i="6"/>
  <c r="F205" i="6"/>
  <c r="H205" i="6" s="1"/>
  <c r="C205" i="6"/>
  <c r="G193" i="6"/>
  <c r="D193" i="6"/>
  <c r="B193" i="6"/>
  <c r="B192" i="6"/>
  <c r="D189" i="6"/>
  <c r="D177" i="6"/>
  <c r="D237" i="13"/>
  <c r="G197" i="6"/>
  <c r="D248" i="13"/>
  <c r="J13" i="9"/>
  <c r="B224" i="13"/>
  <c r="B248" i="13"/>
  <c r="D213" i="13"/>
  <c r="B235" i="13"/>
  <c r="F197" i="6"/>
  <c r="F186" i="6"/>
  <c r="H186" i="6" s="1"/>
  <c r="D234" i="13"/>
  <c r="B213" i="13"/>
  <c r="G183" i="6"/>
  <c r="B237" i="13"/>
  <c r="C194" i="6"/>
  <c r="C245" i="13" s="1"/>
  <c r="G358" i="6"/>
  <c r="G187" i="6"/>
  <c r="G184" i="6"/>
  <c r="G182" i="6"/>
  <c r="F182" i="6"/>
  <c r="C184" i="6"/>
  <c r="C235" i="13" s="1"/>
  <c r="F183" i="6"/>
  <c r="F237" i="13"/>
  <c r="B234" i="13"/>
  <c r="B233" i="13"/>
  <c r="B347" i="6"/>
  <c r="G343" i="6"/>
  <c r="F343" i="6"/>
  <c r="H343" i="6" s="1"/>
  <c r="D343" i="6"/>
  <c r="C343" i="6"/>
  <c r="B343" i="6"/>
  <c r="F341" i="6"/>
  <c r="H341" i="6" s="1"/>
  <c r="D341" i="6"/>
  <c r="B341" i="6"/>
  <c r="F339" i="6"/>
  <c r="H339" i="6" s="1"/>
  <c r="C339" i="6"/>
  <c r="D337" i="6"/>
  <c r="B337" i="6"/>
  <c r="G336" i="6"/>
  <c r="D336" i="6"/>
  <c r="F335" i="6"/>
  <c r="H335" i="6" s="1"/>
  <c r="D335" i="6"/>
  <c r="C335" i="6"/>
  <c r="F332" i="6"/>
  <c r="H332" i="6" s="1"/>
  <c r="C332" i="6"/>
  <c r="B332" i="6"/>
  <c r="G311" i="6"/>
  <c r="B311" i="6"/>
  <c r="F310" i="6"/>
  <c r="H310" i="6" s="1"/>
  <c r="C310" i="6"/>
  <c r="D268" i="6"/>
  <c r="F268" i="6" s="1"/>
  <c r="B256" i="6"/>
  <c r="G186" i="6"/>
  <c r="F184" i="6"/>
  <c r="C182" i="6"/>
  <c r="C233" i="13" s="1"/>
  <c r="C183" i="6"/>
  <c r="C234" i="13" s="1"/>
  <c r="D233" i="13"/>
  <c r="G291" i="6"/>
  <c r="D291" i="6"/>
  <c r="B64" i="6"/>
  <c r="F64" i="6" s="1"/>
  <c r="H64" i="6" s="1"/>
  <c r="B57" i="6"/>
  <c r="D52" i="6"/>
  <c r="B52" i="6"/>
  <c r="D29" i="6"/>
  <c r="E312" i="13"/>
  <c r="D312" i="13"/>
  <c r="B312" i="13"/>
  <c r="A312" i="13"/>
  <c r="E256" i="13"/>
  <c r="B256" i="13"/>
  <c r="E252" i="13"/>
  <c r="B252" i="13"/>
  <c r="F250" i="13"/>
  <c r="B250" i="13"/>
  <c r="A250" i="13"/>
  <c r="F244" i="13"/>
  <c r="A244" i="13"/>
  <c r="D241" i="13"/>
  <c r="A241" i="13"/>
  <c r="C240" i="13"/>
  <c r="D239" i="13"/>
  <c r="E236" i="13"/>
  <c r="D221" i="13"/>
  <c r="D319" i="6"/>
  <c r="B319" i="6"/>
  <c r="F170" i="6"/>
  <c r="C170" i="6"/>
  <c r="C221" i="13" s="1"/>
  <c r="F275" i="13"/>
  <c r="D275" i="13"/>
  <c r="D225" i="13"/>
  <c r="B225" i="13"/>
  <c r="J4" i="9"/>
  <c r="F173" i="6"/>
  <c r="G153" i="6"/>
  <c r="F148" i="6"/>
  <c r="G174" i="6"/>
  <c r="F174" i="6"/>
  <c r="H174" i="6" s="1"/>
  <c r="G170" i="6"/>
  <c r="D330" i="6"/>
  <c r="C328" i="6"/>
  <c r="D214" i="13"/>
  <c r="B200" i="13"/>
  <c r="B199" i="13"/>
  <c r="B214" i="13"/>
  <c r="D209" i="13"/>
  <c r="G163" i="6"/>
  <c r="F162" i="6"/>
  <c r="F159" i="6"/>
  <c r="C162" i="6"/>
  <c r="C213" i="13" s="1"/>
  <c r="G158" i="6"/>
  <c r="G162" i="6"/>
  <c r="C161" i="6"/>
  <c r="C212" i="13" s="1"/>
  <c r="C160" i="6"/>
  <c r="C211" i="13" s="1"/>
  <c r="C163" i="6"/>
  <c r="C214" i="13" s="1"/>
  <c r="B211" i="13"/>
  <c r="G160" i="6"/>
  <c r="G159" i="6"/>
  <c r="C159" i="6"/>
  <c r="C210" i="13" s="1"/>
  <c r="F161" i="6"/>
  <c r="F163" i="6"/>
  <c r="C158" i="6"/>
  <c r="C209" i="13" s="1"/>
  <c r="F152" i="6"/>
  <c r="H152" i="6" s="1"/>
  <c r="B204" i="13"/>
  <c r="D203" i="13"/>
  <c r="D200" i="13"/>
  <c r="D198" i="13"/>
  <c r="B197" i="13"/>
  <c r="G152" i="6"/>
  <c r="G147" i="6"/>
  <c r="C153" i="6"/>
  <c r="C204" i="13" s="1"/>
  <c r="G151" i="6"/>
  <c r="C152" i="6"/>
  <c r="C203" i="13" s="1"/>
  <c r="F147" i="6"/>
  <c r="C150" i="6"/>
  <c r="C201" i="13" s="1"/>
  <c r="C149" i="6"/>
  <c r="C200" i="13" s="1"/>
  <c r="C148" i="6"/>
  <c r="C199" i="13" s="1"/>
  <c r="F146" i="6"/>
  <c r="C146" i="6"/>
  <c r="C197" i="13" s="1"/>
  <c r="G149" i="6"/>
  <c r="G148" i="6"/>
  <c r="C147" i="6"/>
  <c r="C198" i="13" s="1"/>
  <c r="F150" i="6"/>
  <c r="F153" i="6"/>
  <c r="F149" i="6"/>
  <c r="C151" i="6"/>
  <c r="C202" i="13" s="1"/>
  <c r="G98" i="6"/>
  <c r="F40" i="6"/>
  <c r="H40" i="6" s="1"/>
  <c r="E168" i="13"/>
  <c r="B168" i="13"/>
  <c r="E164" i="13"/>
  <c r="C164" i="13"/>
  <c r="A162" i="13"/>
  <c r="E160" i="13"/>
  <c r="A160" i="13"/>
  <c r="F130" i="13"/>
  <c r="B130" i="13"/>
  <c r="C358" i="6"/>
  <c r="D351" i="6"/>
  <c r="G346" i="6"/>
  <c r="D346" i="6"/>
  <c r="F338" i="6"/>
  <c r="H338" i="6" s="1"/>
  <c r="C338" i="6"/>
  <c r="G308" i="6"/>
  <c r="D308" i="6"/>
  <c r="C308" i="6"/>
  <c r="G305" i="6"/>
  <c r="D305" i="6"/>
  <c r="B305" i="6"/>
  <c r="G296" i="6"/>
  <c r="D296" i="6"/>
  <c r="B296" i="6"/>
  <c r="D293" i="6"/>
  <c r="F275" i="6"/>
  <c r="H275" i="6" s="1"/>
  <c r="C275" i="6"/>
  <c r="G251" i="6"/>
  <c r="F251" i="6"/>
  <c r="H251" i="6" s="1"/>
  <c r="B251" i="6"/>
  <c r="F237" i="6"/>
  <c r="H237" i="6" s="1"/>
  <c r="B225" i="6"/>
  <c r="G221" i="6"/>
  <c r="F221" i="6"/>
  <c r="H221" i="6" s="1"/>
  <c r="C221" i="6"/>
  <c r="G209" i="6"/>
  <c r="C209" i="6"/>
  <c r="G204" i="6"/>
  <c r="D204" i="6"/>
  <c r="B204" i="6"/>
  <c r="D194" i="6"/>
  <c r="C174" i="6"/>
  <c r="F166" i="6"/>
  <c r="H166" i="6" s="1"/>
  <c r="B166" i="6"/>
  <c r="C135" i="6"/>
  <c r="G134" i="6"/>
  <c r="D107" i="6"/>
  <c r="C80" i="6"/>
  <c r="C59" i="6"/>
  <c r="C11" i="6"/>
  <c r="D333" i="13"/>
  <c r="D327" i="13"/>
  <c r="B327" i="13"/>
  <c r="D310" i="13"/>
  <c r="B310" i="13"/>
  <c r="D309" i="13"/>
  <c r="B309" i="13"/>
  <c r="F308" i="13"/>
  <c r="D308" i="13"/>
  <c r="A308" i="13"/>
  <c r="D188" i="13"/>
  <c r="D186" i="13"/>
  <c r="B186" i="13"/>
  <c r="J10" i="9"/>
  <c r="D230" i="13"/>
  <c r="F229" i="13"/>
  <c r="B229" i="13"/>
  <c r="A186" i="13"/>
  <c r="D185" i="13"/>
  <c r="F181" i="13"/>
  <c r="C181" i="13"/>
  <c r="A181" i="13"/>
  <c r="A174" i="13"/>
  <c r="E165" i="13"/>
  <c r="B165" i="13"/>
  <c r="E136" i="13"/>
  <c r="A136" i="13"/>
  <c r="E129" i="13"/>
  <c r="A129" i="13"/>
  <c r="J6" i="9"/>
  <c r="F134" i="6"/>
  <c r="G135" i="6"/>
  <c r="G137" i="6"/>
  <c r="F135" i="6"/>
  <c r="H135" i="6" s="1"/>
  <c r="C134" i="6"/>
  <c r="C185" i="13" s="1"/>
  <c r="B185" i="13"/>
  <c r="F261" i="6"/>
  <c r="H261" i="6" s="1"/>
  <c r="D261" i="6"/>
  <c r="B261" i="6"/>
  <c r="F258" i="6"/>
  <c r="H258" i="6" s="1"/>
  <c r="G238" i="6"/>
  <c r="F238" i="6"/>
  <c r="H238" i="6" s="1"/>
  <c r="D238" i="6"/>
  <c r="B238" i="6"/>
  <c r="D229" i="6"/>
  <c r="C224" i="6"/>
  <c r="F223" i="6"/>
  <c r="H223" i="6" s="1"/>
  <c r="C223" i="6"/>
  <c r="D205" i="6"/>
  <c r="B205" i="6"/>
  <c r="F201" i="6"/>
  <c r="H201" i="6" s="1"/>
  <c r="C201" i="6"/>
  <c r="G190" i="6"/>
  <c r="F190" i="6"/>
  <c r="H190" i="6" s="1"/>
  <c r="C190" i="6"/>
  <c r="F188" i="6"/>
  <c r="H188" i="6" s="1"/>
  <c r="B188" i="6"/>
  <c r="D185" i="6"/>
  <c r="B185" i="6"/>
  <c r="C185" i="6" s="1"/>
  <c r="C236" i="13" s="1"/>
  <c r="G177" i="6"/>
  <c r="C177" i="6"/>
  <c r="D176" i="6"/>
  <c r="B176" i="6"/>
  <c r="G168" i="6"/>
  <c r="F168" i="6"/>
  <c r="H168" i="6" s="1"/>
  <c r="D168" i="6"/>
  <c r="C168" i="6"/>
  <c r="D139" i="6"/>
  <c r="D190" i="13" s="1"/>
  <c r="D136" i="6"/>
  <c r="D187" i="13" s="1"/>
  <c r="B136" i="6"/>
  <c r="B187" i="13" s="1"/>
  <c r="G118" i="6"/>
  <c r="G108" i="6"/>
  <c r="D102" i="6"/>
  <c r="B94" i="6"/>
  <c r="D75" i="6"/>
  <c r="F72" i="6"/>
  <c r="H72" i="6" s="1"/>
  <c r="B72" i="6"/>
  <c r="G71" i="6"/>
  <c r="F71" i="6"/>
  <c r="H71" i="6" s="1"/>
  <c r="D71" i="6"/>
  <c r="C71" i="6"/>
  <c r="C56" i="6"/>
  <c r="F38" i="6"/>
  <c r="H38" i="6" s="1"/>
  <c r="C38" i="6"/>
  <c r="D35" i="6"/>
  <c r="G17" i="6"/>
  <c r="F10" i="6"/>
  <c r="H10" i="6" s="1"/>
  <c r="C10" i="6"/>
  <c r="G5" i="6"/>
  <c r="G337" i="6"/>
  <c r="G332" i="6"/>
  <c r="D332" i="6"/>
  <c r="D318" i="6"/>
  <c r="B318" i="6"/>
  <c r="F306" i="6"/>
  <c r="H306" i="6" s="1"/>
  <c r="C306" i="6"/>
  <c r="F302" i="6"/>
  <c r="H302" i="6" s="1"/>
  <c r="G297" i="6"/>
  <c r="D297" i="6"/>
  <c r="B297" i="6"/>
  <c r="G279" i="6"/>
  <c r="D230" i="6"/>
  <c r="F224" i="6"/>
  <c r="H224" i="6" s="1"/>
  <c r="B224" i="6"/>
  <c r="G223" i="6"/>
  <c r="D223" i="6"/>
  <c r="B223" i="6"/>
  <c r="D203" i="6"/>
  <c r="F192" i="6"/>
  <c r="H192" i="6" s="1"/>
  <c r="B190" i="6"/>
  <c r="G189" i="6"/>
  <c r="B189" i="6"/>
  <c r="G188" i="6"/>
  <c r="F177" i="6"/>
  <c r="H177" i="6" s="1"/>
  <c r="B177" i="6"/>
  <c r="G176" i="6"/>
  <c r="F176" i="6"/>
  <c r="H176" i="6" s="1"/>
  <c r="C176" i="6"/>
  <c r="B168" i="6"/>
  <c r="C167" i="6"/>
  <c r="C104" i="6"/>
  <c r="D103" i="6"/>
  <c r="G95" i="6"/>
  <c r="F95" i="6"/>
  <c r="H95" i="6" s="1"/>
  <c r="B95" i="6"/>
  <c r="B77" i="6"/>
  <c r="B128" i="13" s="1"/>
  <c r="D72" i="6"/>
  <c r="B67" i="6"/>
  <c r="D63" i="6"/>
  <c r="G56" i="6"/>
  <c r="D56" i="6"/>
  <c r="D50" i="6"/>
  <c r="G37" i="6"/>
  <c r="D37" i="6"/>
  <c r="B37" i="6"/>
  <c r="F35" i="6"/>
  <c r="H35" i="6" s="1"/>
  <c r="C35" i="6"/>
  <c r="G24" i="6"/>
  <c r="F24" i="6"/>
  <c r="H24" i="6" s="1"/>
  <c r="C24" i="6"/>
  <c r="A337" i="13"/>
  <c r="E330" i="13"/>
  <c r="A330" i="13"/>
  <c r="F327" i="13"/>
  <c r="E323" i="13"/>
  <c r="C323" i="13"/>
  <c r="A323" i="13"/>
  <c r="A321" i="13"/>
  <c r="E319" i="13"/>
  <c r="A319" i="13"/>
  <c r="E315" i="13"/>
  <c r="C315" i="13"/>
  <c r="A315" i="13"/>
  <c r="F280" i="13"/>
  <c r="C280" i="13"/>
  <c r="A280" i="13"/>
  <c r="A342" i="13"/>
  <c r="E341" i="13"/>
  <c r="D341" i="13"/>
  <c r="A341" i="13"/>
  <c r="E335" i="13"/>
  <c r="C335" i="13"/>
  <c r="F334" i="13"/>
  <c r="D334" i="13"/>
  <c r="B334" i="13"/>
  <c r="E329" i="13"/>
  <c r="D329" i="13"/>
  <c r="A329" i="13"/>
  <c r="F231" i="13"/>
  <c r="B231" i="13"/>
  <c r="A225" i="13"/>
  <c r="E216" i="13"/>
  <c r="A216" i="13"/>
  <c r="F183" i="13"/>
  <c r="C183" i="13"/>
  <c r="E179" i="13"/>
  <c r="A179" i="13"/>
  <c r="A178" i="13"/>
  <c r="A177" i="13"/>
  <c r="E175" i="13"/>
  <c r="A173" i="13"/>
  <c r="E171" i="13"/>
  <c r="D171" i="13"/>
  <c r="A171" i="13"/>
  <c r="D158" i="13"/>
  <c r="B158" i="13"/>
  <c r="E140" i="13"/>
  <c r="A140" i="13"/>
  <c r="E134" i="13"/>
  <c r="A134" i="13"/>
  <c r="D133" i="13"/>
  <c r="E132" i="13"/>
  <c r="A132" i="13"/>
  <c r="D131" i="13"/>
  <c r="C15" i="6"/>
  <c r="B179" i="13"/>
  <c r="D178" i="13"/>
  <c r="D177" i="13"/>
  <c r="B175" i="13"/>
  <c r="G124" i="6"/>
  <c r="F124" i="6"/>
  <c r="F128" i="6"/>
  <c r="G126" i="6"/>
  <c r="B342" i="13"/>
  <c r="F260" i="13"/>
  <c r="B260" i="13"/>
  <c r="C259" i="13"/>
  <c r="A259" i="13"/>
  <c r="E255" i="13"/>
  <c r="A255" i="13"/>
  <c r="A245" i="13"/>
  <c r="D172" i="13"/>
  <c r="D162" i="13"/>
  <c r="B159" i="13"/>
  <c r="E155" i="13"/>
  <c r="A155" i="13"/>
  <c r="E151" i="13"/>
  <c r="A151" i="13"/>
  <c r="F111" i="6"/>
  <c r="G101" i="6"/>
  <c r="F101" i="6"/>
  <c r="H101" i="6" s="1"/>
  <c r="G111" i="6"/>
  <c r="F342" i="13"/>
  <c r="D342" i="13"/>
  <c r="D276" i="13"/>
  <c r="E266" i="13"/>
  <c r="B266" i="13"/>
  <c r="D223" i="13"/>
  <c r="E222" i="13"/>
  <c r="A222" i="13"/>
  <c r="E217" i="13"/>
  <c r="A217" i="13"/>
  <c r="E188" i="13"/>
  <c r="B188" i="13"/>
  <c r="B169" i="13"/>
  <c r="B154" i="13"/>
  <c r="C98" i="6"/>
  <c r="C149" i="13" s="1"/>
  <c r="F98" i="6"/>
  <c r="B363" i="13"/>
  <c r="D152" i="13"/>
  <c r="D149" i="13"/>
  <c r="F99" i="6"/>
  <c r="B152" i="13"/>
  <c r="C99" i="6"/>
  <c r="C150" i="13" s="1"/>
  <c r="B149" i="13"/>
  <c r="D150" i="13"/>
  <c r="B150" i="13"/>
  <c r="J15" i="9"/>
  <c r="F91" i="6"/>
  <c r="G87" i="6"/>
  <c r="E363" i="13"/>
  <c r="C363" i="13"/>
  <c r="E190" i="13"/>
  <c r="A190" i="13"/>
  <c r="E169" i="13"/>
  <c r="D142" i="13"/>
  <c r="B139" i="13"/>
  <c r="G91" i="6"/>
  <c r="D138" i="13"/>
  <c r="B142" i="13"/>
  <c r="F267" i="13"/>
  <c r="C267" i="13"/>
  <c r="B267" i="13"/>
  <c r="E265" i="13"/>
  <c r="C265" i="13"/>
  <c r="C75" i="6"/>
  <c r="C126" i="13" s="1"/>
  <c r="G76" i="6"/>
  <c r="F76" i="6"/>
  <c r="C76" i="6"/>
  <c r="C127" i="13" s="1"/>
  <c r="F320" i="13"/>
  <c r="D320" i="13"/>
  <c r="B320" i="13"/>
  <c r="E281" i="13"/>
  <c r="B281" i="13"/>
  <c r="B127" i="13"/>
  <c r="B125" i="13"/>
  <c r="F74" i="6"/>
  <c r="D127" i="13"/>
  <c r="D125" i="13"/>
  <c r="B126" i="13"/>
  <c r="G74" i="6"/>
  <c r="F370" i="13"/>
  <c r="D370" i="13"/>
  <c r="B370" i="13"/>
  <c r="G65" i="6"/>
  <c r="F391" i="13"/>
  <c r="F376" i="13"/>
  <c r="E376" i="13"/>
  <c r="D376" i="13"/>
  <c r="C376" i="13"/>
  <c r="B376" i="13"/>
  <c r="D113" i="13"/>
  <c r="G64" i="6"/>
  <c r="D116" i="13"/>
  <c r="C62" i="6"/>
  <c r="C113" i="13" s="1"/>
  <c r="B113" i="13"/>
  <c r="C51" i="6"/>
  <c r="A376" i="13"/>
  <c r="D332" i="13"/>
  <c r="A332" i="13"/>
  <c r="E328" i="13"/>
  <c r="C328" i="13"/>
  <c r="A328" i="13"/>
  <c r="F326" i="13"/>
  <c r="C326" i="13"/>
  <c r="A326" i="13"/>
  <c r="E302" i="13"/>
  <c r="A302" i="13"/>
  <c r="C301" i="13"/>
  <c r="E257" i="13"/>
  <c r="A257" i="13"/>
  <c r="C254" i="13"/>
  <c r="F243" i="13"/>
  <c r="B243" i="13"/>
  <c r="C228" i="13"/>
  <c r="C218" i="13"/>
  <c r="E187" i="13"/>
  <c r="F182" i="13"/>
  <c r="C182" i="13"/>
  <c r="E180" i="13"/>
  <c r="B180" i="13"/>
  <c r="E176" i="13"/>
  <c r="B176" i="13"/>
  <c r="E167" i="13"/>
  <c r="B167" i="13"/>
  <c r="D157" i="13"/>
  <c r="A157" i="13"/>
  <c r="E148" i="13"/>
  <c r="A148" i="13"/>
  <c r="C146" i="13"/>
  <c r="E145" i="13"/>
  <c r="A92" i="13"/>
  <c r="D41" i="6"/>
  <c r="E92" i="13"/>
  <c r="B41" i="6"/>
  <c r="E391" i="13"/>
  <c r="D391" i="13"/>
  <c r="B391" i="13"/>
  <c r="A391" i="13"/>
  <c r="E385" i="13"/>
  <c r="D385" i="13"/>
  <c r="B385" i="13"/>
  <c r="F381" i="13"/>
  <c r="D381" i="13"/>
  <c r="B381" i="13"/>
  <c r="E379" i="13"/>
  <c r="C379" i="13"/>
  <c r="A379" i="13"/>
  <c r="B94" i="13"/>
  <c r="B104" i="13"/>
  <c r="F60" i="13"/>
  <c r="E60" i="13"/>
  <c r="D60" i="13"/>
  <c r="C60" i="13"/>
  <c r="B60" i="13"/>
  <c r="A60" i="13"/>
  <c r="E54" i="13"/>
  <c r="A54" i="13"/>
  <c r="E138" i="13"/>
  <c r="A138" i="13"/>
  <c r="E130" i="13"/>
  <c r="C130" i="13"/>
  <c r="E339" i="13"/>
  <c r="C339" i="13"/>
  <c r="A339" i="13"/>
  <c r="G38" i="6"/>
  <c r="D94" i="13"/>
  <c r="B91" i="13"/>
  <c r="D91" i="13"/>
  <c r="G40" i="6"/>
  <c r="G43" i="6"/>
  <c r="F43" i="6"/>
  <c r="D79" i="13"/>
  <c r="D71" i="13"/>
  <c r="B71" i="13"/>
  <c r="B66" i="13"/>
  <c r="F58" i="6"/>
  <c r="H58" i="6" s="1"/>
  <c r="C58" i="6"/>
  <c r="F356" i="13"/>
  <c r="E356" i="13"/>
  <c r="D356" i="13"/>
  <c r="C356" i="13"/>
  <c r="A356" i="13"/>
  <c r="F347" i="13"/>
  <c r="D347" i="13"/>
  <c r="B347" i="13"/>
  <c r="E345" i="13"/>
  <c r="C345" i="13"/>
  <c r="A345" i="13"/>
  <c r="E344" i="13"/>
  <c r="C344" i="13"/>
  <c r="A344" i="13"/>
  <c r="F325" i="13"/>
  <c r="D325" i="13"/>
  <c r="B325" i="13"/>
  <c r="A318" i="13"/>
  <c r="F312" i="13"/>
  <c r="C312" i="13"/>
  <c r="D305" i="13"/>
  <c r="A305" i="13"/>
  <c r="D289" i="13"/>
  <c r="E274" i="13"/>
  <c r="C256" i="13"/>
  <c r="F252" i="13"/>
  <c r="E250" i="13"/>
  <c r="D244" i="13"/>
  <c r="E241" i="13"/>
  <c r="F240" i="13"/>
  <c r="B240" i="13"/>
  <c r="E239" i="13"/>
  <c r="C239" i="13"/>
  <c r="A236" i="13"/>
  <c r="E227" i="13"/>
  <c r="B227" i="13"/>
  <c r="F219" i="13"/>
  <c r="B219" i="13"/>
  <c r="F109" i="13"/>
  <c r="F20" i="6"/>
  <c r="H20" i="6" s="1"/>
  <c r="E109" i="13"/>
  <c r="C109" i="13"/>
  <c r="B109" i="13"/>
  <c r="A109" i="13"/>
  <c r="D109" i="13"/>
  <c r="E89" i="13"/>
  <c r="D83" i="13"/>
  <c r="B83" i="13"/>
  <c r="B79" i="13"/>
  <c r="D78" i="13"/>
  <c r="B78" i="13"/>
  <c r="C31" i="6"/>
  <c r="G32" i="6"/>
  <c r="G28" i="6"/>
  <c r="F28" i="6"/>
  <c r="C28" i="6"/>
  <c r="C79" i="13" s="1"/>
  <c r="F27" i="6"/>
  <c r="C27" i="6"/>
  <c r="C78" i="13" s="1"/>
  <c r="G26" i="6"/>
  <c r="G27" i="6"/>
  <c r="F32" i="6"/>
  <c r="G30" i="6"/>
  <c r="C32" i="6"/>
  <c r="C83" i="13" s="1"/>
  <c r="F30" i="6"/>
  <c r="H30" i="6" s="1"/>
  <c r="C29" i="6"/>
  <c r="C30" i="6"/>
  <c r="C129" i="13"/>
  <c r="G15" i="6"/>
  <c r="D89" i="13"/>
  <c r="B89" i="13"/>
  <c r="D67" i="13"/>
  <c r="B67" i="13"/>
  <c r="D66" i="13"/>
  <c r="D65" i="13"/>
  <c r="B65" i="13"/>
  <c r="G20" i="6"/>
  <c r="G14" i="6"/>
  <c r="F14" i="6"/>
  <c r="C14" i="6"/>
  <c r="C65" i="13" s="1"/>
  <c r="E310" i="13"/>
  <c r="C310" i="13"/>
  <c r="A310" i="13"/>
  <c r="E309" i="13"/>
  <c r="A309" i="13"/>
  <c r="E308" i="13"/>
  <c r="E280" i="13"/>
  <c r="B280" i="13"/>
  <c r="E275" i="13"/>
  <c r="B275" i="13"/>
  <c r="F15" i="6"/>
  <c r="G19" i="6"/>
  <c r="G16" i="6"/>
  <c r="C16" i="6"/>
  <c r="C67" i="13" s="1"/>
  <c r="F16" i="6"/>
  <c r="A89" i="13"/>
  <c r="F88" i="13"/>
  <c r="E88" i="13"/>
  <c r="D88" i="13"/>
  <c r="C88" i="13"/>
  <c r="B88" i="13"/>
  <c r="A88" i="13"/>
  <c r="A230" i="13"/>
  <c r="A229" i="13"/>
  <c r="B102" i="6"/>
  <c r="D100" i="6"/>
  <c r="G94" i="6"/>
  <c r="D94" i="6"/>
  <c r="A333" i="13"/>
  <c r="E297" i="13"/>
  <c r="J16" i="9"/>
  <c r="F86" i="13"/>
  <c r="E86" i="13"/>
  <c r="D86" i="13"/>
  <c r="C86" i="13"/>
  <c r="B86" i="13"/>
  <c r="A86" i="13"/>
  <c r="D54" i="13"/>
  <c r="B54" i="13"/>
  <c r="D216" i="13"/>
  <c r="D90" i="6"/>
  <c r="D141" i="13" s="1"/>
  <c r="B90" i="6"/>
  <c r="B141" i="13" s="1"/>
  <c r="B87" i="6"/>
  <c r="D86" i="6"/>
  <c r="B86" i="6"/>
  <c r="G83" i="6"/>
  <c r="F83" i="6"/>
  <c r="H83" i="6" s="1"/>
  <c r="D83" i="6"/>
  <c r="B83" i="6"/>
  <c r="F82" i="6"/>
  <c r="H82" i="6" s="1"/>
  <c r="F397" i="13"/>
  <c r="C397" i="13"/>
  <c r="A397" i="13"/>
  <c r="F382" i="13"/>
  <c r="D382" i="13"/>
  <c r="B382" i="13"/>
  <c r="F377" i="13"/>
  <c r="E377" i="13"/>
  <c r="D377" i="13"/>
  <c r="C377" i="13"/>
  <c r="B377" i="13"/>
  <c r="A377" i="13"/>
  <c r="F369" i="13"/>
  <c r="D369" i="13"/>
  <c r="B369" i="13"/>
  <c r="E359" i="13"/>
  <c r="B359" i="13"/>
  <c r="F357" i="13"/>
  <c r="E357" i="13"/>
  <c r="D357" i="13"/>
  <c r="C357" i="13"/>
  <c r="B357" i="13"/>
  <c r="A357" i="13"/>
  <c r="F353" i="13"/>
  <c r="D353" i="13"/>
  <c r="B353" i="13"/>
  <c r="F348" i="13"/>
  <c r="D348" i="13"/>
  <c r="B348" i="13"/>
  <c r="F337" i="13"/>
  <c r="D337" i="13"/>
  <c r="C337" i="13"/>
  <c r="E333" i="13"/>
  <c r="D330" i="13"/>
  <c r="E327" i="13"/>
  <c r="C327" i="13"/>
  <c r="A327" i="13"/>
  <c r="F323" i="13"/>
  <c r="D323" i="13"/>
  <c r="B323" i="13"/>
  <c r="E321" i="13"/>
  <c r="D321" i="13"/>
  <c r="B319" i="13"/>
  <c r="F315" i="13"/>
  <c r="D315" i="13"/>
  <c r="B315" i="13"/>
  <c r="E307" i="13"/>
  <c r="J11" i="9"/>
  <c r="J5" i="9"/>
  <c r="G3" i="6"/>
  <c r="F82" i="13"/>
  <c r="E82" i="13"/>
  <c r="D82" i="13"/>
  <c r="B82" i="13"/>
  <c r="A82" i="13"/>
  <c r="E81" i="13"/>
  <c r="D81" i="13"/>
  <c r="B81" i="13"/>
  <c r="A81" i="13"/>
  <c r="E80" i="13"/>
  <c r="B80" i="13"/>
  <c r="A80" i="13"/>
  <c r="E77" i="13"/>
  <c r="D77" i="13"/>
  <c r="B77" i="13"/>
  <c r="A77" i="13"/>
  <c r="B183" i="13"/>
  <c r="E181" i="13"/>
  <c r="B181" i="13"/>
  <c r="D179" i="13"/>
  <c r="A175" i="13"/>
  <c r="F171" i="13"/>
  <c r="C171" i="13"/>
  <c r="F168" i="13"/>
  <c r="C168" i="13"/>
  <c r="A168" i="13"/>
  <c r="F165" i="13"/>
  <c r="C165" i="13"/>
  <c r="F164" i="13"/>
  <c r="B164" i="13"/>
  <c r="B162" i="13"/>
  <c r="B160" i="13"/>
  <c r="F158" i="13"/>
  <c r="E150" i="13"/>
  <c r="A141" i="13"/>
  <c r="D136" i="13"/>
  <c r="C134" i="13"/>
  <c r="E133" i="13"/>
  <c r="A133" i="13"/>
  <c r="B132" i="13"/>
  <c r="C131" i="13"/>
  <c r="A127" i="13"/>
  <c r="B82" i="6"/>
  <c r="G81" i="6"/>
  <c r="D81" i="6"/>
  <c r="B81" i="6"/>
  <c r="C79" i="6"/>
  <c r="C78" i="6"/>
  <c r="D77" i="6"/>
  <c r="C74" i="6"/>
  <c r="C125" i="13" s="1"/>
  <c r="F73" i="6"/>
  <c r="H73" i="6" s="1"/>
  <c r="C73" i="6"/>
  <c r="G72" i="6"/>
  <c r="C72" i="6"/>
  <c r="B71" i="6"/>
  <c r="G70" i="6"/>
  <c r="F70" i="6"/>
  <c r="H70" i="6" s="1"/>
  <c r="B70" i="6"/>
  <c r="G69" i="6"/>
  <c r="F69" i="6"/>
  <c r="H69" i="6" s="1"/>
  <c r="C69" i="6"/>
  <c r="F65" i="6"/>
  <c r="B63" i="6"/>
  <c r="G62" i="6"/>
  <c r="F62" i="6"/>
  <c r="F59" i="6"/>
  <c r="H59" i="6" s="1"/>
  <c r="B59" i="6"/>
  <c r="G58" i="6"/>
  <c r="D58" i="6"/>
  <c r="B58" i="6"/>
  <c r="D53" i="6"/>
  <c r="C50" i="6"/>
  <c r="C101" i="13" s="1"/>
  <c r="D49" i="6"/>
  <c r="G44" i="6"/>
  <c r="F26" i="6"/>
  <c r="H26" i="6" s="1"/>
  <c r="C26" i="6"/>
  <c r="D21" i="6"/>
  <c r="B21" i="6"/>
  <c r="B19" i="6"/>
  <c r="G8" i="6"/>
  <c r="F7" i="6"/>
  <c r="H7" i="6" s="1"/>
  <c r="B7" i="6"/>
  <c r="B5" i="6"/>
  <c r="C5" i="6" s="1"/>
  <c r="C56" i="13" s="1"/>
  <c r="F4" i="6"/>
  <c r="H4" i="6" s="1"/>
  <c r="C4" i="6"/>
  <c r="F402" i="13"/>
  <c r="C402" i="13"/>
  <c r="B402" i="13"/>
  <c r="F398" i="13"/>
  <c r="D398" i="13"/>
  <c r="B398" i="13"/>
  <c r="E394" i="13"/>
  <c r="C394" i="13"/>
  <c r="A394" i="13"/>
  <c r="E393" i="13"/>
  <c r="C393" i="13"/>
  <c r="B393" i="13"/>
  <c r="A393" i="13"/>
  <c r="F392" i="13"/>
  <c r="E392" i="13"/>
  <c r="D392" i="13"/>
  <c r="C392" i="13"/>
  <c r="B392" i="13"/>
  <c r="A392" i="13"/>
  <c r="E390" i="13"/>
  <c r="D390" i="13"/>
  <c r="B390" i="13"/>
  <c r="F389" i="13"/>
  <c r="D389" i="13"/>
  <c r="C389" i="13"/>
  <c r="A389" i="13"/>
  <c r="F388" i="13"/>
  <c r="D388" i="13"/>
  <c r="B388" i="13"/>
  <c r="F387" i="13"/>
  <c r="C387" i="13"/>
  <c r="A387" i="13"/>
  <c r="E386" i="13"/>
  <c r="C386" i="13"/>
  <c r="A386" i="13"/>
  <c r="F384" i="13"/>
  <c r="D384" i="13"/>
  <c r="B384" i="13"/>
  <c r="F383" i="13"/>
  <c r="D383" i="13"/>
  <c r="C383" i="13"/>
  <c r="A383" i="13"/>
  <c r="F380" i="13"/>
  <c r="D380" i="13"/>
  <c r="B380" i="13"/>
  <c r="A380" i="13"/>
  <c r="E373" i="13"/>
  <c r="C373" i="13"/>
  <c r="A373" i="13"/>
  <c r="E372" i="13"/>
  <c r="C372" i="13"/>
  <c r="F362" i="13"/>
  <c r="D362" i="13"/>
  <c r="A362" i="13"/>
  <c r="E361" i="13"/>
  <c r="C361" i="13"/>
  <c r="B361" i="13"/>
  <c r="J12" i="9"/>
  <c r="C57" i="6"/>
  <c r="D51" i="6"/>
  <c r="D42" i="6"/>
  <c r="B42" i="6"/>
  <c r="B17" i="6"/>
  <c r="F13" i="6"/>
  <c r="H13" i="6" s="1"/>
  <c r="B13" i="6"/>
  <c r="G12" i="6"/>
  <c r="F12" i="6"/>
  <c r="H12" i="6" s="1"/>
  <c r="C12" i="6"/>
  <c r="G6" i="6"/>
  <c r="F6" i="6"/>
  <c r="H6" i="6" s="1"/>
  <c r="C6" i="6"/>
  <c r="F3" i="6"/>
  <c r="C3" i="6"/>
  <c r="C54" i="13" s="1"/>
  <c r="F75" i="13"/>
  <c r="E75" i="13"/>
  <c r="D75" i="13"/>
  <c r="C75" i="13"/>
  <c r="B75" i="13"/>
  <c r="A75" i="13"/>
  <c r="F74" i="13"/>
  <c r="E74" i="13"/>
  <c r="D74" i="13"/>
  <c r="C74" i="13"/>
  <c r="B74" i="13"/>
  <c r="A74" i="13"/>
  <c r="F72" i="13"/>
  <c r="E72" i="13"/>
  <c r="D72" i="13"/>
  <c r="C72" i="13"/>
  <c r="B72" i="13"/>
  <c r="A72" i="13"/>
  <c r="E70" i="13"/>
  <c r="D70" i="13"/>
  <c r="A70" i="13"/>
  <c r="E69" i="13"/>
  <c r="B69" i="13"/>
  <c r="A69" i="13"/>
  <c r="E68" i="13"/>
  <c r="D68" i="13"/>
  <c r="A68" i="13"/>
  <c r="F64" i="13"/>
  <c r="E64" i="13"/>
  <c r="D64" i="13"/>
  <c r="C64" i="13"/>
  <c r="B64" i="13"/>
  <c r="A64" i="13"/>
  <c r="F63" i="13"/>
  <c r="E63" i="13"/>
  <c r="D63" i="13"/>
  <c r="C63" i="13"/>
  <c r="B63" i="13"/>
  <c r="A63" i="13"/>
  <c r="F62" i="13"/>
  <c r="E62" i="13"/>
  <c r="D62" i="13"/>
  <c r="C62" i="13"/>
  <c r="B62" i="13"/>
  <c r="A62" i="13"/>
  <c r="F61" i="13"/>
  <c r="E61" i="13"/>
  <c r="D61" i="13"/>
  <c r="C61" i="13"/>
  <c r="B61" i="13"/>
  <c r="A61" i="13"/>
  <c r="F59" i="13"/>
  <c r="E59" i="13"/>
  <c r="D59" i="13"/>
  <c r="C59" i="13"/>
  <c r="B59" i="13"/>
  <c r="A59" i="13"/>
  <c r="F58" i="13"/>
  <c r="E58" i="13"/>
  <c r="D58" i="13"/>
  <c r="C58" i="13"/>
  <c r="B58" i="13"/>
  <c r="A58" i="13"/>
  <c r="F57" i="13"/>
  <c r="E57" i="13"/>
  <c r="D57" i="13"/>
  <c r="C57" i="13"/>
  <c r="B57" i="13"/>
  <c r="A57" i="13"/>
  <c r="E56" i="13"/>
  <c r="D56" i="13"/>
  <c r="B56" i="13"/>
  <c r="A56" i="13"/>
  <c r="F55" i="13"/>
  <c r="E55" i="13"/>
  <c r="D55" i="13"/>
  <c r="C55" i="13"/>
  <c r="B55" i="13"/>
  <c r="A55" i="13"/>
  <c r="E53" i="13"/>
  <c r="B53" i="13"/>
  <c r="A53" i="13"/>
  <c r="G347" i="6"/>
  <c r="F347" i="6"/>
  <c r="H347" i="6" s="1"/>
  <c r="D347" i="6"/>
  <c r="C347" i="6"/>
  <c r="F322" i="6"/>
  <c r="H322" i="6" s="1"/>
  <c r="G321" i="6"/>
  <c r="D321" i="6"/>
  <c r="C321" i="6"/>
  <c r="G318" i="6"/>
  <c r="C318" i="6"/>
  <c r="F311" i="6"/>
  <c r="H311" i="6" s="1"/>
  <c r="C311" i="6"/>
  <c r="G306" i="6"/>
  <c r="D306" i="6"/>
  <c r="F286" i="6"/>
  <c r="H286" i="6" s="1"/>
  <c r="B286" i="6"/>
  <c r="B279" i="6"/>
  <c r="C279" i="6" s="1"/>
  <c r="C330" i="13" s="1"/>
  <c r="G272" i="6"/>
  <c r="D272" i="6"/>
  <c r="B272" i="6"/>
  <c r="B270" i="6"/>
  <c r="D256" i="6"/>
  <c r="D246" i="6"/>
  <c r="D297" i="13" s="1"/>
  <c r="B246" i="6"/>
  <c r="D280" i="13"/>
  <c r="F278" i="13"/>
  <c r="B278" i="13"/>
  <c r="E276" i="13"/>
  <c r="A276" i="13"/>
  <c r="A275" i="13"/>
  <c r="C274" i="13"/>
  <c r="A272" i="13"/>
  <c r="E267" i="13"/>
  <c r="F266" i="13"/>
  <c r="C266" i="13"/>
  <c r="F265" i="13"/>
  <c r="B265" i="13"/>
  <c r="C260" i="13"/>
  <c r="D259" i="13"/>
  <c r="E258" i="13"/>
  <c r="D256" i="13"/>
  <c r="F255" i="13"/>
  <c r="B255" i="13"/>
  <c r="B254" i="13"/>
  <c r="D252" i="13"/>
  <c r="A252" i="13"/>
  <c r="D250" i="13"/>
  <c r="B245" i="13"/>
  <c r="C244" i="13"/>
  <c r="E243" i="13"/>
  <c r="C241" i="13"/>
  <c r="E240" i="13"/>
  <c r="A240" i="13"/>
  <c r="B239" i="13"/>
  <c r="E231" i="13"/>
  <c r="A231" i="13"/>
  <c r="B228" i="13"/>
  <c r="D227" i="13"/>
  <c r="A223" i="13"/>
  <c r="D219" i="13"/>
  <c r="A219" i="13"/>
  <c r="B218" i="13"/>
  <c r="D217" i="13"/>
  <c r="A187" i="13"/>
  <c r="E182" i="13"/>
  <c r="B182" i="13"/>
  <c r="F180" i="13"/>
  <c r="C180" i="13"/>
  <c r="A180" i="13"/>
  <c r="D176" i="13"/>
  <c r="A176" i="13"/>
  <c r="D175" i="13"/>
  <c r="F172" i="13"/>
  <c r="C172" i="13"/>
  <c r="D169" i="13"/>
  <c r="C167" i="13"/>
  <c r="A167" i="13"/>
  <c r="A161" i="13"/>
  <c r="D159" i="13"/>
  <c r="E157" i="13"/>
  <c r="D155" i="13"/>
  <c r="D148" i="13"/>
  <c r="E146" i="13"/>
  <c r="F145" i="13"/>
  <c r="B145" i="13"/>
  <c r="A128" i="13"/>
  <c r="B139" i="6"/>
  <c r="B190" i="13" s="1"/>
  <c r="D138" i="6"/>
  <c r="B138" i="6"/>
  <c r="B189" i="13" s="1"/>
  <c r="F137" i="6"/>
  <c r="H137" i="6" s="1"/>
  <c r="F132" i="6"/>
  <c r="H132" i="6" s="1"/>
  <c r="B132" i="6"/>
  <c r="G131" i="6"/>
  <c r="C131" i="6"/>
  <c r="B129" i="6"/>
  <c r="G127" i="6"/>
  <c r="B127" i="6"/>
  <c r="B126" i="6"/>
  <c r="G125" i="6"/>
  <c r="F125" i="6"/>
  <c r="D123" i="6"/>
  <c r="D174" i="13" s="1"/>
  <c r="B123" i="6"/>
  <c r="D122" i="6"/>
  <c r="B122" i="6"/>
  <c r="F121" i="6"/>
  <c r="H121" i="6" s="1"/>
  <c r="D121" i="6"/>
  <c r="C121" i="6"/>
  <c r="B121" i="6"/>
  <c r="D120" i="6"/>
  <c r="F118" i="6"/>
  <c r="H118" i="6" s="1"/>
  <c r="B118" i="6"/>
  <c r="F116" i="6"/>
  <c r="H116" i="6" s="1"/>
  <c r="B116" i="6"/>
  <c r="D110" i="6"/>
  <c r="B110" i="6"/>
  <c r="F108" i="6"/>
  <c r="H108" i="6" s="1"/>
  <c r="B108" i="6"/>
  <c r="F107" i="6"/>
  <c r="H107" i="6" s="1"/>
  <c r="C107" i="6"/>
  <c r="D104" i="6"/>
  <c r="B100" i="6"/>
  <c r="G97" i="6"/>
  <c r="F97" i="6"/>
  <c r="H97" i="6" s="1"/>
  <c r="D97" i="6"/>
  <c r="C97" i="6"/>
  <c r="D95" i="6"/>
  <c r="D89" i="6"/>
  <c r="D140" i="13" s="1"/>
  <c r="B89" i="6"/>
  <c r="B140" i="13" s="1"/>
  <c r="D88" i="6"/>
  <c r="F88" i="6" s="1"/>
  <c r="G82" i="6"/>
  <c r="C82" i="6"/>
  <c r="F80" i="6"/>
  <c r="H80" i="6" s="1"/>
  <c r="B80" i="6"/>
  <c r="D69" i="6"/>
  <c r="B69" i="6"/>
  <c r="B60" i="6"/>
  <c r="G59" i="6"/>
  <c r="F56" i="6"/>
  <c r="H56" i="6" s="1"/>
  <c r="B56" i="6"/>
  <c r="G55" i="6"/>
  <c r="D55" i="6"/>
  <c r="G48" i="6"/>
  <c r="F48" i="6"/>
  <c r="H48" i="6" s="1"/>
  <c r="C48" i="6"/>
  <c r="B48" i="6"/>
  <c r="F46" i="6"/>
  <c r="H46" i="6" s="1"/>
  <c r="B8" i="6"/>
  <c r="C2" i="6"/>
  <c r="A249" i="13"/>
  <c r="E249" i="13"/>
  <c r="B198" i="6"/>
  <c r="D198" i="6"/>
  <c r="D54" i="6"/>
  <c r="A105" i="13"/>
  <c r="E105" i="13"/>
  <c r="B54" i="6"/>
  <c r="A90" i="13"/>
  <c r="E90" i="13"/>
  <c r="B39" i="6"/>
  <c r="D39" i="6"/>
  <c r="C226" i="6"/>
  <c r="F226" i="6"/>
  <c r="H226" i="6" s="1"/>
  <c r="A277" i="13"/>
  <c r="D277" i="13"/>
  <c r="B226" i="6"/>
  <c r="D226" i="6"/>
  <c r="G226" i="6"/>
  <c r="B277" i="13"/>
  <c r="F277" i="13"/>
  <c r="E277" i="13"/>
  <c r="C277" i="13"/>
  <c r="C202" i="6"/>
  <c r="F202" i="6"/>
  <c r="H202" i="6" s="1"/>
  <c r="B202" i="6"/>
  <c r="A253" i="13"/>
  <c r="E253" i="13"/>
  <c r="D202" i="6"/>
  <c r="G202" i="6"/>
  <c r="F253" i="13"/>
  <c r="B253" i="13"/>
  <c r="D253" i="13"/>
  <c r="C253" i="13"/>
  <c r="D196" i="6"/>
  <c r="B196" i="6"/>
  <c r="E247" i="13"/>
  <c r="A247" i="13"/>
  <c r="D247" i="13"/>
  <c r="D361" i="6"/>
  <c r="B361" i="6"/>
  <c r="C361" i="6"/>
  <c r="G361" i="6"/>
  <c r="A412" i="13"/>
  <c r="B412" i="13"/>
  <c r="C412" i="13"/>
  <c r="D412" i="13"/>
  <c r="E412" i="13"/>
  <c r="F412" i="13"/>
  <c r="F361" i="6"/>
  <c r="H361" i="6" s="1"/>
  <c r="D360" i="6"/>
  <c r="G360" i="6"/>
  <c r="C360" i="6"/>
  <c r="B360" i="6"/>
  <c r="F360" i="6"/>
  <c r="H360" i="6" s="1"/>
  <c r="A411" i="13"/>
  <c r="B411" i="13"/>
  <c r="C411" i="13"/>
  <c r="D411" i="13"/>
  <c r="E411" i="13"/>
  <c r="F411" i="13"/>
  <c r="D359" i="6"/>
  <c r="G359" i="6"/>
  <c r="B359" i="6"/>
  <c r="F359" i="6"/>
  <c r="H359" i="6" s="1"/>
  <c r="A410" i="13"/>
  <c r="B410" i="13"/>
  <c r="C410" i="13"/>
  <c r="D410" i="13"/>
  <c r="E410" i="13"/>
  <c r="F410" i="13"/>
  <c r="C359" i="6"/>
  <c r="E317" i="13"/>
  <c r="D266" i="6"/>
  <c r="B266" i="6"/>
  <c r="A317" i="13"/>
  <c r="C265" i="6"/>
  <c r="G265" i="6"/>
  <c r="A316" i="13"/>
  <c r="C316" i="13"/>
  <c r="F316" i="13"/>
  <c r="D265" i="6"/>
  <c r="B265" i="6"/>
  <c r="F265" i="6"/>
  <c r="H265" i="6" s="1"/>
  <c r="B316" i="13"/>
  <c r="D316" i="13"/>
  <c r="E316" i="13"/>
  <c r="C228" i="6"/>
  <c r="F228" i="6"/>
  <c r="H228" i="6" s="1"/>
  <c r="B279" i="13"/>
  <c r="E279" i="13"/>
  <c r="C279" i="13"/>
  <c r="F279" i="13"/>
  <c r="B228" i="6"/>
  <c r="D228" i="6"/>
  <c r="G228" i="6"/>
  <c r="A279" i="13"/>
  <c r="D279" i="13"/>
  <c r="D200" i="6"/>
  <c r="B251" i="13"/>
  <c r="C200" i="6"/>
  <c r="G200" i="6"/>
  <c r="C251" i="13"/>
  <c r="A251" i="13"/>
  <c r="E251" i="13"/>
  <c r="B200" i="6"/>
  <c r="F200" i="6"/>
  <c r="H200" i="6" s="1"/>
  <c r="D251" i="13"/>
  <c r="F251" i="13"/>
  <c r="E246" i="13"/>
  <c r="B195" i="6"/>
  <c r="D195" i="6"/>
  <c r="A246" i="13"/>
  <c r="D246" i="13"/>
  <c r="E163" i="13"/>
  <c r="A163" i="13"/>
  <c r="B112" i="6"/>
  <c r="D112" i="6"/>
  <c r="G112" i="6"/>
  <c r="F66" i="6"/>
  <c r="H66" i="6" s="1"/>
  <c r="C66" i="6"/>
  <c r="G66" i="6"/>
  <c r="B66" i="6"/>
  <c r="D66" i="6"/>
  <c r="A117" i="13"/>
  <c r="B117" i="13"/>
  <c r="C117" i="13"/>
  <c r="D117" i="13"/>
  <c r="E117" i="13"/>
  <c r="F117" i="13"/>
  <c r="C285" i="6"/>
  <c r="F285" i="6"/>
  <c r="H285" i="6" s="1"/>
  <c r="G285" i="6"/>
  <c r="C336" i="13"/>
  <c r="F336" i="13"/>
  <c r="A336" i="13"/>
  <c r="D336" i="13"/>
  <c r="B285" i="6"/>
  <c r="D285" i="6"/>
  <c r="B336" i="13"/>
  <c r="E336" i="13"/>
  <c r="C133" i="6"/>
  <c r="F133" i="6"/>
  <c r="H133" i="6" s="1"/>
  <c r="C184" i="13"/>
  <c r="B184" i="13"/>
  <c r="D184" i="13"/>
  <c r="F184" i="13"/>
  <c r="A184" i="13"/>
  <c r="E184" i="13"/>
  <c r="B133" i="6"/>
  <c r="D133" i="6"/>
  <c r="G133" i="6"/>
  <c r="C115" i="6"/>
  <c r="F115" i="6"/>
  <c r="H115" i="6" s="1"/>
  <c r="G115" i="6"/>
  <c r="B166" i="13"/>
  <c r="D166" i="13"/>
  <c r="B115" i="6"/>
  <c r="D115" i="6"/>
  <c r="E166" i="13"/>
  <c r="A166" i="13"/>
  <c r="C166" i="13"/>
  <c r="F166" i="13"/>
  <c r="J14" i="9"/>
  <c r="M14" i="9" s="1"/>
  <c r="J7" i="9"/>
  <c r="M7" i="9" s="1"/>
  <c r="J8" i="9"/>
  <c r="M8" i="9" s="1"/>
  <c r="J3" i="9"/>
  <c r="M3" i="9" s="1"/>
  <c r="J9" i="9"/>
  <c r="M9" i="9" s="1"/>
  <c r="J17" i="9"/>
  <c r="M17" i="9" s="1"/>
  <c r="J2" i="9"/>
  <c r="M2" i="9" s="1"/>
  <c r="F5" i="6" l="1"/>
  <c r="B330" i="13"/>
  <c r="F332" i="13"/>
  <c r="H281" i="6"/>
  <c r="F333" i="13"/>
  <c r="H282" i="6"/>
  <c r="F331" i="13"/>
  <c r="H280" i="6"/>
  <c r="B238" i="13"/>
  <c r="C282" i="6"/>
  <c r="C333" i="13" s="1"/>
  <c r="F279" i="6"/>
  <c r="C270" i="6"/>
  <c r="C321" i="13" s="1"/>
  <c r="C280" i="6"/>
  <c r="C331" i="13" s="1"/>
  <c r="F278" i="6"/>
  <c r="C283" i="6"/>
  <c r="C334" i="13" s="1"/>
  <c r="C281" i="6"/>
  <c r="C332" i="13" s="1"/>
  <c r="B329" i="13"/>
  <c r="C278" i="6"/>
  <c r="C329" i="13" s="1"/>
  <c r="F270" i="6"/>
  <c r="H270" i="6" s="1"/>
  <c r="C268" i="6"/>
  <c r="C267" i="6"/>
  <c r="C318" i="13" s="1"/>
  <c r="D318" i="13"/>
  <c r="F321" i="13"/>
  <c r="D319" i="13"/>
  <c r="C319" i="13"/>
  <c r="B321" i="13"/>
  <c r="B307" i="13"/>
  <c r="G268" i="6"/>
  <c r="B317" i="13"/>
  <c r="D317" i="13"/>
  <c r="C266" i="6"/>
  <c r="C317" i="13" s="1"/>
  <c r="G266" i="6"/>
  <c r="F266" i="6"/>
  <c r="C269" i="6"/>
  <c r="C320" i="13" s="1"/>
  <c r="F267" i="6"/>
  <c r="G267" i="6"/>
  <c r="F319" i="13"/>
  <c r="H268" i="6"/>
  <c r="C256" i="6"/>
  <c r="C307" i="13" s="1"/>
  <c r="B257" i="13"/>
  <c r="F306" i="13"/>
  <c r="H255" i="6"/>
  <c r="C255" i="6"/>
  <c r="C306" i="13" s="1"/>
  <c r="F254" i="6"/>
  <c r="F309" i="13"/>
  <c r="G256" i="6"/>
  <c r="F187" i="6"/>
  <c r="C53" i="6"/>
  <c r="C104" i="13" s="1"/>
  <c r="C52" i="6"/>
  <c r="C103" i="13" s="1"/>
  <c r="B305" i="13"/>
  <c r="C257" i="6"/>
  <c r="C308" i="13" s="1"/>
  <c r="C258" i="6"/>
  <c r="C309" i="13" s="1"/>
  <c r="F256" i="6"/>
  <c r="D307" i="13"/>
  <c r="D103" i="13"/>
  <c r="F296" i="13"/>
  <c r="H245" i="6"/>
  <c r="F295" i="13"/>
  <c r="H244" i="6"/>
  <c r="F294" i="13"/>
  <c r="H243" i="6"/>
  <c r="F293" i="13"/>
  <c r="H242" i="6"/>
  <c r="F299" i="13"/>
  <c r="H248" i="6"/>
  <c r="F300" i="13"/>
  <c r="H249" i="6"/>
  <c r="C249" i="6"/>
  <c r="C300" i="13" s="1"/>
  <c r="C248" i="6"/>
  <c r="C299" i="13" s="1"/>
  <c r="C247" i="6"/>
  <c r="C298" i="13" s="1"/>
  <c r="F171" i="6"/>
  <c r="H171" i="6" s="1"/>
  <c r="F172" i="6"/>
  <c r="H172" i="6" s="1"/>
  <c r="B222" i="13"/>
  <c r="G172" i="6"/>
  <c r="G171" i="6"/>
  <c r="C171" i="6"/>
  <c r="C246" i="6"/>
  <c r="C297" i="13" s="1"/>
  <c r="B297" i="13"/>
  <c r="F246" i="6"/>
  <c r="G246" i="6"/>
  <c r="F195" i="6"/>
  <c r="G196" i="6"/>
  <c r="C206" i="6"/>
  <c r="F185" i="6"/>
  <c r="H185" i="6" s="1"/>
  <c r="G195" i="6"/>
  <c r="G198" i="6"/>
  <c r="B247" i="13"/>
  <c r="F283" i="13"/>
  <c r="H232" i="6"/>
  <c r="F282" i="13"/>
  <c r="H231" i="6"/>
  <c r="F202" i="13"/>
  <c r="H151" i="6"/>
  <c r="C172" i="6"/>
  <c r="C223" i="13" s="1"/>
  <c r="D222" i="13"/>
  <c r="C173" i="6"/>
  <c r="C224" i="13" s="1"/>
  <c r="B223" i="13"/>
  <c r="F272" i="13"/>
  <c r="B163" i="13"/>
  <c r="F230" i="6"/>
  <c r="D281" i="13"/>
  <c r="G230" i="6"/>
  <c r="F270" i="13"/>
  <c r="H219" i="6"/>
  <c r="F269" i="13"/>
  <c r="H218" i="6"/>
  <c r="F211" i="13"/>
  <c r="H160" i="6"/>
  <c r="F273" i="13"/>
  <c r="H222" i="6"/>
  <c r="C222" i="6"/>
  <c r="C273" i="13" s="1"/>
  <c r="F203" i="13"/>
  <c r="C272" i="13"/>
  <c r="F115" i="13"/>
  <c r="B115" i="13"/>
  <c r="G52" i="6"/>
  <c r="F52" i="6"/>
  <c r="B103" i="13"/>
  <c r="C195" i="6"/>
  <c r="F258" i="13"/>
  <c r="H207" i="6"/>
  <c r="C207" i="6"/>
  <c r="C258" i="13" s="1"/>
  <c r="G206" i="6"/>
  <c r="D236" i="13"/>
  <c r="G29" i="6"/>
  <c r="F29" i="6"/>
  <c r="H29" i="6" s="1"/>
  <c r="B249" i="13"/>
  <c r="F196" i="6"/>
  <c r="F206" i="6"/>
  <c r="B236" i="13"/>
  <c r="M4" i="9"/>
  <c r="M13" i="9"/>
  <c r="F248" i="13"/>
  <c r="H197" i="6"/>
  <c r="F225" i="13"/>
  <c r="D245" i="13"/>
  <c r="D80" i="13"/>
  <c r="C198" i="6"/>
  <c r="C249" i="13" s="1"/>
  <c r="F198" i="6"/>
  <c r="D249" i="13"/>
  <c r="C196" i="6"/>
  <c r="C247" i="13" s="1"/>
  <c r="B246" i="13"/>
  <c r="C197" i="6"/>
  <c r="C248" i="13" s="1"/>
  <c r="F194" i="6"/>
  <c r="G194" i="6"/>
  <c r="C187" i="6"/>
  <c r="C238" i="13" s="1"/>
  <c r="F152" i="13"/>
  <c r="F233" i="13"/>
  <c r="H182" i="6"/>
  <c r="F234" i="13"/>
  <c r="H183" i="6"/>
  <c r="F235" i="13"/>
  <c r="H184" i="6"/>
  <c r="C186" i="6"/>
  <c r="C237" i="13" s="1"/>
  <c r="G185" i="6"/>
  <c r="G103" i="6"/>
  <c r="D126" i="13"/>
  <c r="F221" i="13"/>
  <c r="H170" i="6"/>
  <c r="F224" i="13"/>
  <c r="H173" i="6"/>
  <c r="F199" i="13"/>
  <c r="H148" i="6"/>
  <c r="D114" i="13"/>
  <c r="G63" i="6"/>
  <c r="C89" i="13"/>
  <c r="C225" i="13"/>
  <c r="D154" i="13"/>
  <c r="F213" i="13"/>
  <c r="H162" i="6"/>
  <c r="F210" i="13"/>
  <c r="H159" i="6"/>
  <c r="F212" i="13"/>
  <c r="H161" i="6"/>
  <c r="F214" i="13"/>
  <c r="H163" i="6"/>
  <c r="M15" i="9"/>
  <c r="M6" i="9"/>
  <c r="M10" i="9"/>
  <c r="F198" i="13"/>
  <c r="H147" i="6"/>
  <c r="F197" i="13"/>
  <c r="H146" i="6"/>
  <c r="F201" i="13"/>
  <c r="H150" i="6"/>
  <c r="F204" i="13"/>
  <c r="H153" i="6"/>
  <c r="F200" i="13"/>
  <c r="H149" i="6"/>
  <c r="D153" i="13"/>
  <c r="G75" i="6"/>
  <c r="F75" i="6"/>
  <c r="G50" i="6"/>
  <c r="C102" i="13"/>
  <c r="F91" i="13"/>
  <c r="C137" i="6"/>
  <c r="F136" i="6"/>
  <c r="C136" i="6"/>
  <c r="F2" i="6"/>
  <c r="H2" i="6" s="1"/>
  <c r="F185" i="13"/>
  <c r="H134" i="6"/>
  <c r="G139" i="6"/>
  <c r="G136" i="6"/>
  <c r="F138" i="6"/>
  <c r="C138" i="6"/>
  <c r="C189" i="13" s="1"/>
  <c r="D101" i="13"/>
  <c r="G2" i="6"/>
  <c r="C186" i="13"/>
  <c r="D53" i="13"/>
  <c r="D189" i="13"/>
  <c r="F188" i="13"/>
  <c r="F139" i="6"/>
  <c r="G138" i="6"/>
  <c r="F186" i="13"/>
  <c r="C139" i="6"/>
  <c r="C190" i="13" s="1"/>
  <c r="D161" i="13"/>
  <c r="G102" i="6"/>
  <c r="F103" i="6"/>
  <c r="C77" i="6"/>
  <c r="C128" i="13" s="1"/>
  <c r="F89" i="13"/>
  <c r="C66" i="13"/>
  <c r="C103" i="6"/>
  <c r="F50" i="6"/>
  <c r="G41" i="6"/>
  <c r="F175" i="13"/>
  <c r="H124" i="6"/>
  <c r="F179" i="13"/>
  <c r="H128" i="6"/>
  <c r="F127" i="6"/>
  <c r="D92" i="13"/>
  <c r="C128" i="6"/>
  <c r="C179" i="13" s="1"/>
  <c r="F126" i="6"/>
  <c r="C125" i="6"/>
  <c r="C176" i="13" s="1"/>
  <c r="G123" i="6"/>
  <c r="F123" i="6"/>
  <c r="G122" i="6"/>
  <c r="C124" i="6"/>
  <c r="C175" i="13" s="1"/>
  <c r="C127" i="6"/>
  <c r="C178" i="13" s="1"/>
  <c r="B178" i="13"/>
  <c r="C126" i="6"/>
  <c r="C177" i="13" s="1"/>
  <c r="B177" i="13"/>
  <c r="H125" i="6"/>
  <c r="F176" i="13"/>
  <c r="C123" i="6"/>
  <c r="C174" i="13" s="1"/>
  <c r="B174" i="13"/>
  <c r="F122" i="6"/>
  <c r="D173" i="13"/>
  <c r="C122" i="6"/>
  <c r="C173" i="13" s="1"/>
  <c r="B173" i="13"/>
  <c r="C111" i="6"/>
  <c r="C162" i="13" s="1"/>
  <c r="F162" i="13"/>
  <c r="H111" i="6"/>
  <c r="B92" i="13"/>
  <c r="F41" i="6"/>
  <c r="G110" i="6"/>
  <c r="F110" i="6"/>
  <c r="C112" i="6"/>
  <c r="C163" i="13" s="1"/>
  <c r="F112" i="6"/>
  <c r="D163" i="13"/>
  <c r="B161" i="13"/>
  <c r="C110" i="6"/>
  <c r="C161" i="13" s="1"/>
  <c r="F149" i="13"/>
  <c r="H98" i="6"/>
  <c r="F150" i="13"/>
  <c r="H99" i="6"/>
  <c r="C102" i="6"/>
  <c r="C153" i="13" s="1"/>
  <c r="F100" i="6"/>
  <c r="B153" i="13"/>
  <c r="F102" i="6"/>
  <c r="G100" i="6"/>
  <c r="D151" i="13"/>
  <c r="C100" i="6"/>
  <c r="C151" i="13" s="1"/>
  <c r="C101" i="6"/>
  <c r="C152" i="13" s="1"/>
  <c r="B151" i="13"/>
  <c r="F86" i="6"/>
  <c r="D137" i="13"/>
  <c r="C88" i="6"/>
  <c r="C139" i="13" s="1"/>
  <c r="F142" i="13"/>
  <c r="H91" i="6"/>
  <c r="G90" i="6"/>
  <c r="C89" i="6"/>
  <c r="C140" i="13" s="1"/>
  <c r="D139" i="13"/>
  <c r="C90" i="6"/>
  <c r="C141" i="13" s="1"/>
  <c r="G88" i="6"/>
  <c r="G89" i="6"/>
  <c r="G86" i="6"/>
  <c r="F90" i="6"/>
  <c r="C91" i="6"/>
  <c r="C142" i="13" s="1"/>
  <c r="F89" i="6"/>
  <c r="F87" i="6"/>
  <c r="B138" i="13"/>
  <c r="C87" i="6"/>
  <c r="C138" i="13" s="1"/>
  <c r="B137" i="13"/>
  <c r="C86" i="6"/>
  <c r="C137" i="13" s="1"/>
  <c r="F139" i="13"/>
  <c r="H88" i="6"/>
  <c r="F127" i="13"/>
  <c r="H76" i="6"/>
  <c r="F125" i="13"/>
  <c r="H74" i="6"/>
  <c r="F77" i="6"/>
  <c r="G77" i="6"/>
  <c r="D128" i="13"/>
  <c r="F71" i="13"/>
  <c r="C65" i="6"/>
  <c r="C116" i="13" s="1"/>
  <c r="F63" i="6"/>
  <c r="H65" i="6"/>
  <c r="F116" i="13"/>
  <c r="C64" i="6"/>
  <c r="C115" i="13" s="1"/>
  <c r="C63" i="6"/>
  <c r="C114" i="13" s="1"/>
  <c r="B114" i="13"/>
  <c r="H62" i="6"/>
  <c r="F113" i="13"/>
  <c r="D105" i="13"/>
  <c r="C54" i="6"/>
  <c r="C105" i="13" s="1"/>
  <c r="B105" i="13"/>
  <c r="F51" i="6"/>
  <c r="F54" i="6"/>
  <c r="G54" i="6"/>
  <c r="G53" i="6"/>
  <c r="D104" i="13"/>
  <c r="F53" i="6"/>
  <c r="D102" i="13"/>
  <c r="G51" i="6"/>
  <c r="F94" i="13"/>
  <c r="H43" i="6"/>
  <c r="F39" i="6"/>
  <c r="C82" i="13"/>
  <c r="F81" i="13"/>
  <c r="G42" i="6"/>
  <c r="C41" i="6"/>
  <c r="C92" i="13" s="1"/>
  <c r="G39" i="6"/>
  <c r="B90" i="13"/>
  <c r="C39" i="6"/>
  <c r="C90" i="13" s="1"/>
  <c r="D90" i="13"/>
  <c r="D93" i="13"/>
  <c r="F42" i="6"/>
  <c r="C42" i="6"/>
  <c r="C93" i="13" s="1"/>
  <c r="B93" i="13"/>
  <c r="C43" i="6"/>
  <c r="C94" i="13" s="1"/>
  <c r="C40" i="6"/>
  <c r="C91" i="13" s="1"/>
  <c r="G18" i="6"/>
  <c r="F18" i="6"/>
  <c r="H18" i="6" s="1"/>
  <c r="C18" i="6"/>
  <c r="F79" i="13"/>
  <c r="H28" i="6"/>
  <c r="F78" i="13"/>
  <c r="H27" i="6"/>
  <c r="F83" i="13"/>
  <c r="H32" i="6"/>
  <c r="C81" i="13"/>
  <c r="C80" i="13"/>
  <c r="F77" i="13"/>
  <c r="C77" i="13"/>
  <c r="M5" i="9"/>
  <c r="C19" i="6"/>
  <c r="C70" i="13" s="1"/>
  <c r="F65" i="13"/>
  <c r="H14" i="6"/>
  <c r="F66" i="13"/>
  <c r="H15" i="6"/>
  <c r="F67" i="13"/>
  <c r="H16" i="6"/>
  <c r="F19" i="6"/>
  <c r="B70" i="13"/>
  <c r="D69" i="13"/>
  <c r="B68" i="13"/>
  <c r="M12" i="9"/>
  <c r="M16" i="9"/>
  <c r="C20" i="6"/>
  <c r="C71" i="13" s="1"/>
  <c r="C17" i="6"/>
  <c r="C68" i="13" s="1"/>
  <c r="F17" i="6"/>
  <c r="M11" i="9"/>
  <c r="C53" i="13"/>
  <c r="H3" i="6"/>
  <c r="F54" i="13"/>
  <c r="D6" i="7"/>
  <c r="E6" i="7" s="1"/>
  <c r="D4" i="7"/>
  <c r="E4" i="7" s="1"/>
  <c r="D29" i="7"/>
  <c r="E29" i="7" s="1"/>
  <c r="D40" i="7"/>
  <c r="E40" i="7" s="1"/>
  <c r="D52" i="7"/>
  <c r="E52" i="7" s="1"/>
  <c r="D56" i="7"/>
  <c r="E56" i="7" s="1"/>
  <c r="D62" i="7"/>
  <c r="E62" i="7" s="1"/>
  <c r="D66" i="7"/>
  <c r="E66" i="7" s="1"/>
  <c r="D70" i="7"/>
  <c r="E70" i="7" s="1"/>
  <c r="D75" i="7"/>
  <c r="E75" i="7" s="1"/>
  <c r="D78" i="7"/>
  <c r="E78" i="7" s="1"/>
  <c r="D84" i="7"/>
  <c r="E84" i="7" s="1"/>
  <c r="D86" i="7"/>
  <c r="E86" i="7" s="1"/>
  <c r="D91" i="7"/>
  <c r="E91" i="7" s="1"/>
  <c r="D94" i="7"/>
  <c r="E94" i="7" s="1"/>
  <c r="D98" i="7"/>
  <c r="E98" i="7" s="1"/>
  <c r="D103" i="7"/>
  <c r="E103" i="7" s="1"/>
  <c r="D105" i="7"/>
  <c r="E105" i="7" s="1"/>
  <c r="D109" i="7"/>
  <c r="E109" i="7" s="1"/>
  <c r="D136" i="7"/>
  <c r="E136" i="7" s="1"/>
  <c r="D141" i="7"/>
  <c r="E141" i="7" s="1"/>
  <c r="D148" i="7"/>
  <c r="E148" i="7" s="1"/>
  <c r="D153" i="7"/>
  <c r="E153" i="7" s="1"/>
  <c r="D7" i="7"/>
  <c r="E7" i="7" s="1"/>
  <c r="D9" i="7"/>
  <c r="E9" i="7" s="1"/>
  <c r="D11" i="7"/>
  <c r="E11" i="7" s="1"/>
  <c r="D23" i="7"/>
  <c r="E23" i="7" s="1"/>
  <c r="D43" i="7"/>
  <c r="E43" i="7" s="1"/>
  <c r="D44" i="7"/>
  <c r="E44" i="7" s="1"/>
  <c r="D45" i="7"/>
  <c r="E45" i="7" s="1"/>
  <c r="D46" i="7"/>
  <c r="E46" i="7" s="1"/>
  <c r="D47" i="7"/>
  <c r="E47" i="7" s="1"/>
  <c r="D48" i="7"/>
  <c r="E48" i="7" s="1"/>
  <c r="D49" i="7"/>
  <c r="E49" i="7" s="1"/>
  <c r="D51" i="7"/>
  <c r="E51" i="7" s="1"/>
  <c r="D57" i="7"/>
  <c r="E57" i="7" s="1"/>
  <c r="D61" i="7"/>
  <c r="E61" i="7" s="1"/>
  <c r="D67" i="7"/>
  <c r="E67" i="7" s="1"/>
  <c r="D69" i="7"/>
  <c r="E69" i="7" s="1"/>
  <c r="D74" i="7"/>
  <c r="E74" i="7" s="1"/>
  <c r="D79" i="7"/>
  <c r="E79" i="7" s="1"/>
  <c r="D83" i="7"/>
  <c r="E83" i="7" s="1"/>
  <c r="D87" i="7"/>
  <c r="E87" i="7" s="1"/>
  <c r="D90" i="7"/>
  <c r="E90" i="7" s="1"/>
  <c r="D95" i="7"/>
  <c r="E95" i="7" s="1"/>
  <c r="D99" i="7"/>
  <c r="E99" i="7" s="1"/>
  <c r="D102" i="7"/>
  <c r="E102" i="7" s="1"/>
  <c r="D106" i="7"/>
  <c r="E106" i="7" s="1"/>
  <c r="D110" i="7"/>
  <c r="E110" i="7" s="1"/>
  <c r="D135" i="7"/>
  <c r="E135" i="7" s="1"/>
  <c r="D142" i="7"/>
  <c r="E142" i="7" s="1"/>
  <c r="D147" i="7"/>
  <c r="E147" i="7" s="1"/>
  <c r="D154" i="7"/>
  <c r="E154" i="7" s="1"/>
  <c r="D13" i="7"/>
  <c r="E13" i="7" s="1"/>
  <c r="D3" i="7"/>
  <c r="E3" i="7" s="1"/>
  <c r="D5" i="7"/>
  <c r="E5" i="7" s="1"/>
  <c r="D34" i="7"/>
  <c r="E34" i="7" s="1"/>
  <c r="D27" i="7"/>
  <c r="E27" i="7" s="1"/>
  <c r="D111" i="7"/>
  <c r="E111" i="7" s="1"/>
  <c r="D112" i="7"/>
  <c r="E112" i="7" s="1"/>
  <c r="D113" i="7"/>
  <c r="E113" i="7" s="1"/>
  <c r="D114" i="7"/>
  <c r="E114" i="7" s="1"/>
  <c r="D115" i="7"/>
  <c r="E115" i="7" s="1"/>
  <c r="D116" i="7"/>
  <c r="E116" i="7" s="1"/>
  <c r="D117" i="7"/>
  <c r="E117" i="7" s="1"/>
  <c r="D118" i="7"/>
  <c r="E118" i="7" s="1"/>
  <c r="D119" i="7"/>
  <c r="E119" i="7" s="1"/>
  <c r="D120" i="7"/>
  <c r="E120" i="7" s="1"/>
  <c r="D121" i="7"/>
  <c r="E121" i="7" s="1"/>
  <c r="D123" i="7"/>
  <c r="E123" i="7" s="1"/>
  <c r="D124" i="7"/>
  <c r="E124" i="7" s="1"/>
  <c r="D125" i="7"/>
  <c r="E125" i="7" s="1"/>
  <c r="D126" i="7"/>
  <c r="E126" i="7" s="1"/>
  <c r="D127" i="7"/>
  <c r="E127" i="7" s="1"/>
  <c r="D128" i="7"/>
  <c r="E128" i="7" s="1"/>
  <c r="D129" i="7"/>
  <c r="E129" i="7" s="1"/>
  <c r="D130" i="7"/>
  <c r="E130" i="7" s="1"/>
  <c r="D131" i="7"/>
  <c r="E131" i="7" s="1"/>
  <c r="D134" i="7"/>
  <c r="E134" i="7" s="1"/>
  <c r="D139" i="7"/>
  <c r="E139" i="7" s="1"/>
  <c r="D145" i="7"/>
  <c r="E145" i="7" s="1"/>
  <c r="D151" i="7"/>
  <c r="E151" i="7" s="1"/>
  <c r="D157" i="7"/>
  <c r="E157" i="7" s="1"/>
  <c r="D31" i="7"/>
  <c r="E31" i="7" s="1"/>
  <c r="D38" i="7"/>
  <c r="E38" i="7" s="1"/>
  <c r="D2" i="7"/>
  <c r="E2" i="7" s="1"/>
  <c r="D33" i="7"/>
  <c r="E33" i="7" s="1"/>
  <c r="D25" i="7"/>
  <c r="E25" i="7" s="1"/>
  <c r="D8" i="7"/>
  <c r="E8" i="7" s="1"/>
  <c r="D42" i="7"/>
  <c r="E42" i="7" s="1"/>
  <c r="D54" i="7"/>
  <c r="E54" i="7" s="1"/>
  <c r="D59" i="7"/>
  <c r="E59" i="7" s="1"/>
  <c r="D65" i="7"/>
  <c r="E65" i="7" s="1"/>
  <c r="D71" i="7"/>
  <c r="E71" i="7" s="1"/>
  <c r="D76" i="7"/>
  <c r="E76" i="7" s="1"/>
  <c r="D81" i="7"/>
  <c r="E81" i="7" s="1"/>
  <c r="D108" i="7"/>
  <c r="E108" i="7" s="1"/>
  <c r="D140" i="7"/>
  <c r="E140" i="7" s="1"/>
  <c r="D146" i="7"/>
  <c r="E146" i="7" s="1"/>
  <c r="D152" i="7"/>
  <c r="E152" i="7" s="1"/>
  <c r="D158" i="7"/>
  <c r="E158" i="7" s="1"/>
  <c r="D37" i="7"/>
  <c r="E37" i="7" s="1"/>
  <c r="D30" i="7"/>
  <c r="E30" i="7" s="1"/>
  <c r="D28" i="7"/>
  <c r="E28" i="7" s="1"/>
  <c r="D19" i="7"/>
  <c r="E19" i="7" s="1"/>
  <c r="D12" i="7"/>
  <c r="E12" i="7" s="1"/>
  <c r="D32" i="7"/>
  <c r="E32" i="7" s="1"/>
  <c r="D15" i="7"/>
  <c r="E15" i="7" s="1"/>
  <c r="D35" i="7"/>
  <c r="E35" i="7" s="1"/>
  <c r="D53" i="7"/>
  <c r="E53" i="7" s="1"/>
  <c r="D58" i="7"/>
  <c r="E58" i="7" s="1"/>
  <c r="D63" i="7"/>
  <c r="E63" i="7" s="1"/>
  <c r="D68" i="7"/>
  <c r="E68" i="7" s="1"/>
  <c r="D73" i="7"/>
  <c r="E73" i="7" s="1"/>
  <c r="D80" i="7"/>
  <c r="E80" i="7" s="1"/>
  <c r="D85" i="7"/>
  <c r="E85" i="7" s="1"/>
  <c r="D89" i="7"/>
  <c r="E89" i="7" s="1"/>
  <c r="D93" i="7"/>
  <c r="E93" i="7" s="1"/>
  <c r="D97" i="7"/>
  <c r="E97" i="7" s="1"/>
  <c r="D101" i="7"/>
  <c r="E101" i="7" s="1"/>
  <c r="D107" i="7"/>
  <c r="E107" i="7" s="1"/>
  <c r="D133" i="7"/>
  <c r="E133" i="7" s="1"/>
  <c r="D138" i="7"/>
  <c r="E138" i="7" s="1"/>
  <c r="D144" i="7"/>
  <c r="E144" i="7" s="1"/>
  <c r="D150" i="7"/>
  <c r="E150" i="7" s="1"/>
  <c r="D155" i="7"/>
  <c r="E155" i="7" s="1"/>
  <c r="D26" i="7"/>
  <c r="E26" i="7" s="1"/>
  <c r="D16" i="7"/>
  <c r="E16" i="7" s="1"/>
  <c r="D21" i="7"/>
  <c r="E21" i="7" s="1"/>
  <c r="D10" i="7"/>
  <c r="E10" i="7" s="1"/>
  <c r="D18" i="7"/>
  <c r="E18" i="7" s="1"/>
  <c r="D36" i="7"/>
  <c r="E36" i="7" s="1"/>
  <c r="D24" i="7"/>
  <c r="E24" i="7" s="1"/>
  <c r="D50" i="7"/>
  <c r="E50" i="7" s="1"/>
  <c r="D55" i="7"/>
  <c r="E55" i="7" s="1"/>
  <c r="D60" i="7"/>
  <c r="E60" i="7" s="1"/>
  <c r="D64" i="7"/>
  <c r="E64" i="7" s="1"/>
  <c r="D72" i="7"/>
  <c r="E72" i="7" s="1"/>
  <c r="D77" i="7"/>
  <c r="E77" i="7" s="1"/>
  <c r="D82" i="7"/>
  <c r="E82" i="7" s="1"/>
  <c r="D88" i="7"/>
  <c r="E88" i="7" s="1"/>
  <c r="D92" i="7"/>
  <c r="E92" i="7" s="1"/>
  <c r="D96" i="7"/>
  <c r="E96" i="7" s="1"/>
  <c r="D100" i="7"/>
  <c r="E100" i="7" s="1"/>
  <c r="D104" i="7"/>
  <c r="E104" i="7" s="1"/>
  <c r="D132" i="7"/>
  <c r="E132" i="7" s="1"/>
  <c r="D137" i="7"/>
  <c r="E137" i="7" s="1"/>
  <c r="D149" i="7"/>
  <c r="E149" i="7" s="1"/>
  <c r="D156" i="7"/>
  <c r="E156" i="7" s="1"/>
  <c r="D20" i="7"/>
  <c r="E20" i="7" s="1"/>
  <c r="D17" i="7"/>
  <c r="E17" i="7" s="1"/>
  <c r="D14" i="7"/>
  <c r="E14" i="7" s="1"/>
  <c r="D41" i="7"/>
  <c r="E41" i="7" s="1"/>
  <c r="F56" i="13" l="1"/>
  <c r="H5" i="6"/>
  <c r="D39" i="7"/>
  <c r="E39" i="7" s="1"/>
  <c r="D143" i="7"/>
  <c r="E143" i="7" s="1"/>
  <c r="D22" i="7"/>
  <c r="E22" i="7" s="1"/>
  <c r="F330" i="13"/>
  <c r="H279" i="6"/>
  <c r="H278" i="6"/>
  <c r="F329" i="13"/>
  <c r="F238" i="13"/>
  <c r="H187" i="6"/>
  <c r="F103" i="13"/>
  <c r="H52" i="6"/>
  <c r="F317" i="13"/>
  <c r="H266" i="6"/>
  <c r="F318" i="13"/>
  <c r="H267" i="6"/>
  <c r="C257" i="13"/>
  <c r="F236" i="13"/>
  <c r="F223" i="13"/>
  <c r="C222" i="13"/>
  <c r="F305" i="13"/>
  <c r="H254" i="6"/>
  <c r="F307" i="13"/>
  <c r="H256" i="6"/>
  <c r="C246" i="13"/>
  <c r="F222" i="13"/>
  <c r="F297" i="13"/>
  <c r="H246" i="6"/>
  <c r="F80" i="13"/>
  <c r="F246" i="13"/>
  <c r="H195" i="6"/>
  <c r="F281" i="13"/>
  <c r="H230" i="6"/>
  <c r="F247" i="13"/>
  <c r="H196" i="6"/>
  <c r="F257" i="13"/>
  <c r="H206" i="6"/>
  <c r="C188" i="13"/>
  <c r="C187" i="13"/>
  <c r="H136" i="6"/>
  <c r="F126" i="13"/>
  <c r="H75" i="6"/>
  <c r="F187" i="13"/>
  <c r="F249" i="13"/>
  <c r="H198" i="6"/>
  <c r="F245" i="13"/>
  <c r="H194" i="6"/>
  <c r="D122" i="7"/>
  <c r="E122" i="7" s="1"/>
  <c r="H50" i="6"/>
  <c r="F101" i="13"/>
  <c r="F53" i="13"/>
  <c r="E7" i="10"/>
  <c r="E10" i="13" s="1"/>
  <c r="K6" i="10"/>
  <c r="K9" i="13" s="1"/>
  <c r="G6" i="10"/>
  <c r="G9" i="13" s="1"/>
  <c r="C6" i="10"/>
  <c r="C9" i="13" s="1"/>
  <c r="K9" i="10"/>
  <c r="K12" i="13" s="1"/>
  <c r="G9" i="10"/>
  <c r="G12" i="13" s="1"/>
  <c r="D9" i="10"/>
  <c r="D12" i="13" s="1"/>
  <c r="K8" i="10"/>
  <c r="K11" i="13" s="1"/>
  <c r="G8" i="10"/>
  <c r="G11" i="13" s="1"/>
  <c r="E8" i="10"/>
  <c r="E11" i="13" s="1"/>
  <c r="L7" i="10"/>
  <c r="L10" i="13" s="1"/>
  <c r="G7" i="10"/>
  <c r="G10" i="13" s="1"/>
  <c r="D7" i="10"/>
  <c r="D10" i="13" s="1"/>
  <c r="H6" i="10"/>
  <c r="H9" i="13" s="1"/>
  <c r="E6" i="10"/>
  <c r="E9" i="13" s="1"/>
  <c r="L9" i="10"/>
  <c r="L12" i="13" s="1"/>
  <c r="I9" i="10"/>
  <c r="I12" i="13" s="1"/>
  <c r="F9" i="10"/>
  <c r="F12" i="13" s="1"/>
  <c r="E9" i="10"/>
  <c r="E12" i="13" s="1"/>
  <c r="J8" i="10"/>
  <c r="J11" i="13" s="1"/>
  <c r="I8" i="10"/>
  <c r="I11" i="13" s="1"/>
  <c r="F8" i="10"/>
  <c r="F11" i="13" s="1"/>
  <c r="C8" i="10"/>
  <c r="C11" i="13" s="1"/>
  <c r="J7" i="10"/>
  <c r="J10" i="13" s="1"/>
  <c r="H7" i="10"/>
  <c r="H10" i="13" s="1"/>
  <c r="F7" i="10"/>
  <c r="F10" i="13" s="1"/>
  <c r="L6" i="10"/>
  <c r="L9" i="13" s="1"/>
  <c r="J6" i="10"/>
  <c r="J9" i="13" s="1"/>
  <c r="F6" i="10"/>
  <c r="F9" i="13" s="1"/>
  <c r="J9" i="10"/>
  <c r="J12" i="13" s="1"/>
  <c r="H9" i="10"/>
  <c r="H12" i="13" s="1"/>
  <c r="C9" i="10"/>
  <c r="C12" i="13" s="1"/>
  <c r="L8" i="10"/>
  <c r="L11" i="13" s="1"/>
  <c r="H8" i="10"/>
  <c r="H11" i="13" s="1"/>
  <c r="D8" i="10"/>
  <c r="D11" i="13" s="1"/>
  <c r="K7" i="10"/>
  <c r="K10" i="13" s="1"/>
  <c r="I7" i="10"/>
  <c r="I10" i="13" s="1"/>
  <c r="C7" i="10"/>
  <c r="C10" i="13" s="1"/>
  <c r="I6" i="10"/>
  <c r="I9" i="13" s="1"/>
  <c r="D6" i="10"/>
  <c r="D9" i="13" s="1"/>
  <c r="C154" i="13"/>
  <c r="F137" i="13"/>
  <c r="H86" i="6"/>
  <c r="F189" i="13"/>
  <c r="H138" i="6"/>
  <c r="F190" i="13"/>
  <c r="H139" i="6"/>
  <c r="F154" i="13"/>
  <c r="H103" i="6"/>
  <c r="F178" i="13"/>
  <c r="H127" i="6"/>
  <c r="F177" i="13"/>
  <c r="H126" i="6"/>
  <c r="F174" i="13"/>
  <c r="H123" i="6"/>
  <c r="F173" i="13"/>
  <c r="H122" i="6"/>
  <c r="F92" i="13"/>
  <c r="H41" i="6"/>
  <c r="F161" i="13"/>
  <c r="H110" i="6"/>
  <c r="F163" i="13"/>
  <c r="H112" i="6"/>
  <c r="F151" i="13"/>
  <c r="H100" i="6"/>
  <c r="F153" i="13"/>
  <c r="H102" i="6"/>
  <c r="F141" i="13"/>
  <c r="H90" i="6"/>
  <c r="F140" i="13"/>
  <c r="H89" i="6"/>
  <c r="F138" i="13"/>
  <c r="H87" i="6"/>
  <c r="F69" i="13"/>
  <c r="F128" i="13"/>
  <c r="H77" i="6"/>
  <c r="C69" i="13"/>
  <c r="H63" i="6"/>
  <c r="F114" i="13"/>
  <c r="I17" i="10"/>
  <c r="I20" i="13" s="1"/>
  <c r="E17" i="10"/>
  <c r="E20" i="13" s="1"/>
  <c r="L16" i="10"/>
  <c r="L19" i="13" s="1"/>
  <c r="G16" i="10"/>
  <c r="G19" i="13" s="1"/>
  <c r="L12" i="10"/>
  <c r="L15" i="13" s="1"/>
  <c r="D16" i="10"/>
  <c r="D19" i="13" s="1"/>
  <c r="F102" i="13"/>
  <c r="H51" i="6"/>
  <c r="F105" i="13"/>
  <c r="H54" i="6"/>
  <c r="F104" i="13"/>
  <c r="H53" i="6"/>
  <c r="J17" i="10"/>
  <c r="J20" i="13" s="1"/>
  <c r="G17" i="10"/>
  <c r="G20" i="13" s="1"/>
  <c r="C17" i="10"/>
  <c r="C20" i="13" s="1"/>
  <c r="I16" i="10"/>
  <c r="I19" i="13" s="1"/>
  <c r="E16" i="10"/>
  <c r="E19" i="13" s="1"/>
  <c r="K15" i="10"/>
  <c r="K18" i="13" s="1"/>
  <c r="L17" i="10"/>
  <c r="L20" i="13" s="1"/>
  <c r="D17" i="10"/>
  <c r="D20" i="13" s="1"/>
  <c r="H15" i="10"/>
  <c r="H18" i="13" s="1"/>
  <c r="F15" i="10"/>
  <c r="F18" i="13" s="1"/>
  <c r="C15" i="10"/>
  <c r="C18" i="13" s="1"/>
  <c r="H14" i="10"/>
  <c r="H17" i="13" s="1"/>
  <c r="F14" i="10"/>
  <c r="F17" i="13" s="1"/>
  <c r="K17" i="10"/>
  <c r="K20" i="13" s="1"/>
  <c r="E13" i="10"/>
  <c r="E16" i="13" s="1"/>
  <c r="H13" i="10"/>
  <c r="H16" i="13" s="1"/>
  <c r="L13" i="10"/>
  <c r="L16" i="13" s="1"/>
  <c r="E10" i="10"/>
  <c r="E13" i="13" s="1"/>
  <c r="K13" i="10"/>
  <c r="K16" i="13" s="1"/>
  <c r="I13" i="10"/>
  <c r="I16" i="13" s="1"/>
  <c r="J16" i="10"/>
  <c r="J19" i="13" s="1"/>
  <c r="F90" i="13"/>
  <c r="H39" i="6"/>
  <c r="F93" i="13"/>
  <c r="H42" i="6"/>
  <c r="F17" i="10"/>
  <c r="F20" i="13" s="1"/>
  <c r="H16" i="10"/>
  <c r="H19" i="13" s="1"/>
  <c r="C16" i="10"/>
  <c r="C19" i="13" s="1"/>
  <c r="J15" i="10"/>
  <c r="J18" i="13" s="1"/>
  <c r="G15" i="10"/>
  <c r="G18" i="13" s="1"/>
  <c r="D15" i="10"/>
  <c r="D18" i="13" s="1"/>
  <c r="K14" i="10"/>
  <c r="K17" i="13" s="1"/>
  <c r="J14" i="10"/>
  <c r="J17" i="13" s="1"/>
  <c r="G14" i="10"/>
  <c r="G17" i="13" s="1"/>
  <c r="D14" i="10"/>
  <c r="D17" i="13" s="1"/>
  <c r="C14" i="10"/>
  <c r="C17" i="13" s="1"/>
  <c r="H17" i="10"/>
  <c r="H20" i="13" s="1"/>
  <c r="K16" i="10"/>
  <c r="K19" i="13" s="1"/>
  <c r="F16" i="10"/>
  <c r="F19" i="13" s="1"/>
  <c r="K5" i="10"/>
  <c r="K8" i="13" s="1"/>
  <c r="F5" i="10"/>
  <c r="F8" i="13" s="1"/>
  <c r="D5" i="10"/>
  <c r="D8" i="13" s="1"/>
  <c r="J4" i="10"/>
  <c r="J7" i="13" s="1"/>
  <c r="G4" i="10"/>
  <c r="G7" i="13" s="1"/>
  <c r="D4" i="10"/>
  <c r="D7" i="13" s="1"/>
  <c r="H3" i="10"/>
  <c r="H6" i="13" s="1"/>
  <c r="D3" i="10"/>
  <c r="D6" i="13" s="1"/>
  <c r="J2" i="10"/>
  <c r="J5" i="13" s="1"/>
  <c r="K4" i="10"/>
  <c r="K7" i="13" s="1"/>
  <c r="H4" i="10"/>
  <c r="H7" i="13" s="1"/>
  <c r="C4" i="10"/>
  <c r="C7" i="13" s="1"/>
  <c r="I3" i="10"/>
  <c r="I6" i="13" s="1"/>
  <c r="C3" i="10"/>
  <c r="C6" i="13" s="1"/>
  <c r="I2" i="10"/>
  <c r="I5" i="13" s="1"/>
  <c r="E2" i="10"/>
  <c r="E5" i="13" s="1"/>
  <c r="L5" i="10"/>
  <c r="L8" i="13" s="1"/>
  <c r="E4" i="10"/>
  <c r="E7" i="13" s="1"/>
  <c r="K3" i="10"/>
  <c r="K6" i="13" s="1"/>
  <c r="G3" i="10"/>
  <c r="G6" i="13" s="1"/>
  <c r="E3" i="10"/>
  <c r="E6" i="13" s="1"/>
  <c r="K2" i="10"/>
  <c r="K5" i="13" s="1"/>
  <c r="G2" i="10"/>
  <c r="G5" i="13" s="1"/>
  <c r="F2" i="10"/>
  <c r="F5" i="13" s="1"/>
  <c r="F10" i="10"/>
  <c r="F13" i="13" s="1"/>
  <c r="I11" i="10"/>
  <c r="I14" i="13" s="1"/>
  <c r="F13" i="10"/>
  <c r="F16" i="13" s="1"/>
  <c r="L10" i="10"/>
  <c r="L13" i="13" s="1"/>
  <c r="C11" i="10"/>
  <c r="C14" i="13" s="1"/>
  <c r="L11" i="10"/>
  <c r="L14" i="13" s="1"/>
  <c r="F12" i="10"/>
  <c r="F15" i="13" s="1"/>
  <c r="J12" i="10"/>
  <c r="J15" i="13" s="1"/>
  <c r="J13" i="10"/>
  <c r="J16" i="13" s="1"/>
  <c r="D10" i="10"/>
  <c r="D13" i="13" s="1"/>
  <c r="G10" i="10"/>
  <c r="G13" i="13" s="1"/>
  <c r="J10" i="10"/>
  <c r="J13" i="13" s="1"/>
  <c r="E11" i="10"/>
  <c r="E14" i="13" s="1"/>
  <c r="G11" i="10"/>
  <c r="G14" i="13" s="1"/>
  <c r="J11" i="10"/>
  <c r="J14" i="13" s="1"/>
  <c r="D12" i="10"/>
  <c r="D15" i="13" s="1"/>
  <c r="G12" i="10"/>
  <c r="G15" i="13" s="1"/>
  <c r="L15" i="10"/>
  <c r="L18" i="13" s="1"/>
  <c r="I15" i="10"/>
  <c r="I18" i="13" s="1"/>
  <c r="E15" i="10"/>
  <c r="E18" i="13" s="1"/>
  <c r="L14" i="10"/>
  <c r="L17" i="13" s="1"/>
  <c r="I14" i="10"/>
  <c r="I17" i="13" s="1"/>
  <c r="E14" i="10"/>
  <c r="E17" i="13" s="1"/>
  <c r="D2" i="10"/>
  <c r="D5" i="13" s="1"/>
  <c r="I5" i="10"/>
  <c r="I8" i="13" s="1"/>
  <c r="H5" i="10"/>
  <c r="H8" i="13" s="1"/>
  <c r="E5" i="10"/>
  <c r="E8" i="13" s="1"/>
  <c r="L4" i="10"/>
  <c r="L7" i="13" s="1"/>
  <c r="I4" i="10"/>
  <c r="I7" i="13" s="1"/>
  <c r="F4" i="10"/>
  <c r="F7" i="13" s="1"/>
  <c r="L3" i="10"/>
  <c r="L6" i="13" s="1"/>
  <c r="J3" i="10"/>
  <c r="J6" i="13" s="1"/>
  <c r="F3" i="10"/>
  <c r="F6" i="13" s="1"/>
  <c r="L2" i="10"/>
  <c r="L5" i="13" s="1"/>
  <c r="H2" i="10"/>
  <c r="H5" i="13" s="1"/>
  <c r="C2" i="10"/>
  <c r="C5" i="13" s="1"/>
  <c r="J5" i="10"/>
  <c r="J8" i="13" s="1"/>
  <c r="G5" i="10"/>
  <c r="G8" i="13" s="1"/>
  <c r="C5" i="10"/>
  <c r="C8" i="13" s="1"/>
  <c r="D13" i="10"/>
  <c r="D16" i="13" s="1"/>
  <c r="K12" i="10"/>
  <c r="K15" i="13" s="1"/>
  <c r="H12" i="10"/>
  <c r="H15" i="13" s="1"/>
  <c r="C12" i="10"/>
  <c r="C15" i="13" s="1"/>
  <c r="K11" i="10"/>
  <c r="K14" i="13" s="1"/>
  <c r="H11" i="10"/>
  <c r="H14" i="13" s="1"/>
  <c r="D11" i="10"/>
  <c r="D14" i="13" s="1"/>
  <c r="K10" i="10"/>
  <c r="K13" i="13" s="1"/>
  <c r="H10" i="10"/>
  <c r="H13" i="13" s="1"/>
  <c r="C10" i="10"/>
  <c r="C13" i="13" s="1"/>
  <c r="G13" i="10"/>
  <c r="G16" i="13" s="1"/>
  <c r="F70" i="13"/>
  <c r="H19" i="6"/>
  <c r="F68" i="13"/>
  <c r="H17" i="6"/>
  <c r="I10" i="10"/>
  <c r="I13" i="13" s="1"/>
  <c r="F11" i="10"/>
  <c r="F14" i="13" s="1"/>
  <c r="E12" i="10"/>
  <c r="E15" i="13" s="1"/>
  <c r="I12" i="10"/>
  <c r="I15" i="13" s="1"/>
  <c r="C13" i="10"/>
  <c r="C16" i="13" s="1"/>
  <c r="A20" i="8" l="1"/>
  <c r="A23" i="8"/>
  <c r="A32" i="8"/>
  <c r="A43" i="8"/>
  <c r="A39" i="8"/>
  <c r="A26" i="8"/>
  <c r="A29" i="8"/>
  <c r="A46" i="8"/>
  <c r="A35" i="8"/>
  <c r="A25" i="8"/>
  <c r="A21" i="8"/>
  <c r="A50" i="8"/>
  <c r="A40" i="8"/>
  <c r="A30" i="8"/>
  <c r="A45" i="8"/>
  <c r="A28" i="8"/>
  <c r="A24" i="8"/>
  <c r="A48" i="8"/>
  <c r="A44" i="8"/>
  <c r="A41" i="8"/>
  <c r="A37" i="8"/>
  <c r="A34" i="8"/>
  <c r="A49" i="8"/>
  <c r="A36" i="8"/>
  <c r="A31" i="8"/>
  <c r="A22" i="8"/>
  <c r="A27" i="8"/>
  <c r="A38" i="8"/>
  <c r="A33" i="8"/>
  <c r="A42" i="8"/>
  <c r="A19" i="8"/>
  <c r="A18" i="8"/>
  <c r="A17" i="8"/>
  <c r="A16" i="8"/>
  <c r="A4" i="8"/>
  <c r="A3" i="8"/>
  <c r="A2" i="8"/>
  <c r="A51" i="8"/>
  <c r="A47" i="8"/>
  <c r="A15" i="8"/>
  <c r="A14" i="8"/>
  <c r="A10" i="8"/>
  <c r="A9" i="8"/>
  <c r="A8" i="8"/>
  <c r="A7" i="8"/>
  <c r="A6" i="8"/>
  <c r="A5" i="8"/>
  <c r="A13" i="8"/>
  <c r="A12" i="8"/>
  <c r="A11" i="8"/>
  <c r="C50" i="8"/>
  <c r="P53" i="13" s="1"/>
  <c r="B50" i="8"/>
  <c r="O53" i="13" s="1"/>
  <c r="D50" i="8"/>
  <c r="Q53" i="13" s="1"/>
  <c r="N53" i="13"/>
  <c r="B46" i="8"/>
  <c r="O49" i="13" s="1"/>
  <c r="D46" i="8"/>
  <c r="Q49" i="13" s="1"/>
  <c r="B21" i="8" l="1"/>
  <c r="D21" i="8"/>
  <c r="C21" i="8"/>
  <c r="C46" i="8"/>
  <c r="P49" i="13" s="1"/>
  <c r="N49" i="13"/>
  <c r="D43" i="8"/>
  <c r="B43" i="8"/>
  <c r="B23" i="8"/>
  <c r="D23" i="8"/>
  <c r="C23" i="8"/>
  <c r="N23" i="13"/>
  <c r="C20" i="8"/>
  <c r="P23" i="13" s="1"/>
  <c r="B20" i="8"/>
  <c r="O23" i="13" s="1"/>
  <c r="D20" i="8"/>
  <c r="Q23" i="13" s="1"/>
  <c r="C43" i="8"/>
  <c r="B40" i="8"/>
  <c r="D40" i="8"/>
  <c r="C40" i="8"/>
  <c r="B35" i="8"/>
  <c r="D35" i="8"/>
  <c r="C35" i="8"/>
  <c r="C30" i="8"/>
  <c r="B30" i="8"/>
  <c r="D30" i="8"/>
  <c r="C25" i="8"/>
  <c r="B39" i="8"/>
  <c r="D39" i="8"/>
  <c r="C39" i="8"/>
  <c r="D32" i="8"/>
  <c r="B32" i="8"/>
  <c r="C32" i="8"/>
  <c r="B29" i="8"/>
  <c r="D29" i="8"/>
  <c r="C29" i="8"/>
  <c r="B26" i="8"/>
  <c r="C26" i="8"/>
  <c r="D26" i="8"/>
  <c r="B25" i="8"/>
  <c r="D25" i="8"/>
  <c r="C45" i="8"/>
  <c r="B45" i="8"/>
  <c r="D45" i="8"/>
  <c r="B19" i="8"/>
  <c r="O22" i="13" s="1"/>
  <c r="C19" i="8"/>
  <c r="P22" i="13" s="1"/>
  <c r="D19" i="8"/>
  <c r="Q22" i="13" s="1"/>
  <c r="N22" i="13"/>
  <c r="B18" i="8"/>
  <c r="O21" i="13" s="1"/>
  <c r="C18" i="8"/>
  <c r="P21" i="13" s="1"/>
  <c r="D18" i="8"/>
  <c r="Q21" i="13" s="1"/>
  <c r="C28" i="8"/>
  <c r="D28" i="8"/>
  <c r="B28" i="8"/>
  <c r="C24" i="8"/>
  <c r="B24" i="8"/>
  <c r="D24" i="8"/>
  <c r="B48" i="8"/>
  <c r="O51" i="13" s="1"/>
  <c r="C48" i="8"/>
  <c r="P51" i="13" s="1"/>
  <c r="D48" i="8"/>
  <c r="Q51" i="13" s="1"/>
  <c r="N51" i="13"/>
  <c r="D44" i="8"/>
  <c r="B44" i="8"/>
  <c r="C44" i="8"/>
  <c r="C41" i="8"/>
  <c r="D41" i="8"/>
  <c r="B41" i="8"/>
  <c r="C37" i="8"/>
  <c r="B37" i="8"/>
  <c r="D37" i="8"/>
  <c r="B34" i="8"/>
  <c r="D34" i="8"/>
  <c r="C34" i="8"/>
  <c r="N21" i="13"/>
  <c r="B17" i="8"/>
  <c r="O20" i="13" s="1"/>
  <c r="B49" i="8"/>
  <c r="O52" i="13" s="1"/>
  <c r="C49" i="8"/>
  <c r="P52" i="13" s="1"/>
  <c r="N52" i="13"/>
  <c r="D49" i="8"/>
  <c r="Q52" i="13" s="1"/>
  <c r="C36" i="8"/>
  <c r="D36" i="8"/>
  <c r="B36" i="8"/>
  <c r="C31" i="8"/>
  <c r="D31" i="8"/>
  <c r="B31" i="8"/>
  <c r="C17" i="8"/>
  <c r="P20" i="13" s="1"/>
  <c r="C22" i="8"/>
  <c r="B22" i="8"/>
  <c r="D22" i="8"/>
  <c r="D17" i="8"/>
  <c r="Q20" i="13" s="1"/>
  <c r="D27" i="8"/>
  <c r="B27" i="8"/>
  <c r="C27" i="8"/>
  <c r="N20" i="13"/>
  <c r="B16" i="8"/>
  <c r="O19" i="13" s="1"/>
  <c r="C16" i="8"/>
  <c r="P19" i="13" s="1"/>
  <c r="C42" i="8"/>
  <c r="B42" i="8"/>
  <c r="D42" i="8"/>
  <c r="C38" i="8"/>
  <c r="B38" i="8"/>
  <c r="D38" i="8"/>
  <c r="C33" i="8"/>
  <c r="D33" i="8"/>
  <c r="B33" i="8"/>
  <c r="D16" i="8"/>
  <c r="Q19" i="13" s="1"/>
  <c r="N19" i="13"/>
  <c r="B15" i="8"/>
  <c r="O18" i="13" s="1"/>
  <c r="C15" i="8"/>
  <c r="P18" i="13" s="1"/>
  <c r="D15" i="8"/>
  <c r="Q18" i="13" s="1"/>
  <c r="N18" i="13"/>
  <c r="B14" i="8"/>
  <c r="O17" i="13" s="1"/>
  <c r="C14" i="8"/>
  <c r="P17" i="13" s="1"/>
  <c r="D14" i="8"/>
  <c r="Q17" i="13" s="1"/>
  <c r="N17" i="13"/>
  <c r="B4" i="8"/>
  <c r="O7" i="13" s="1"/>
  <c r="C4" i="8"/>
  <c r="P7" i="13" s="1"/>
  <c r="D4" i="8"/>
  <c r="Q7" i="13" s="1"/>
  <c r="N7" i="13"/>
  <c r="B3" i="8"/>
  <c r="O6" i="13" s="1"/>
  <c r="C3" i="8"/>
  <c r="P6" i="13" s="1"/>
  <c r="D3" i="8"/>
  <c r="Q6" i="13" s="1"/>
  <c r="N6" i="13"/>
  <c r="B2" i="8"/>
  <c r="O5" i="13" s="1"/>
  <c r="C2" i="8"/>
  <c r="P5" i="13" s="1"/>
  <c r="D2" i="8"/>
  <c r="Q5" i="13" s="1"/>
  <c r="N5" i="13"/>
  <c r="B51" i="8"/>
  <c r="O54" i="13" s="1"/>
  <c r="C51" i="8"/>
  <c r="P54" i="13" s="1"/>
  <c r="D51" i="8"/>
  <c r="Q54" i="13" s="1"/>
  <c r="N54" i="13"/>
  <c r="C47" i="8"/>
  <c r="P50" i="13" s="1"/>
  <c r="N50" i="13"/>
  <c r="B47" i="8"/>
  <c r="O50" i="13" s="1"/>
  <c r="D47" i="8"/>
  <c r="Q50" i="13" s="1"/>
  <c r="C13" i="8"/>
  <c r="P16" i="13" s="1"/>
  <c r="D13" i="8"/>
  <c r="Q16" i="13" s="1"/>
  <c r="N16" i="13"/>
  <c r="B12" i="8"/>
  <c r="O15" i="13" s="1"/>
  <c r="C12" i="8"/>
  <c r="P15" i="13" s="1"/>
  <c r="B10" i="8"/>
  <c r="O13" i="13" s="1"/>
  <c r="C10" i="8"/>
  <c r="P13" i="13" s="1"/>
  <c r="D10" i="8"/>
  <c r="Q13" i="13" s="1"/>
  <c r="N13" i="13"/>
  <c r="B9" i="8"/>
  <c r="O12" i="13" s="1"/>
  <c r="C9" i="8"/>
  <c r="P12" i="13" s="1"/>
  <c r="D9" i="8"/>
  <c r="Q12" i="13" s="1"/>
  <c r="N12" i="13"/>
  <c r="B8" i="8"/>
  <c r="O11" i="13" s="1"/>
  <c r="C8" i="8"/>
  <c r="P11" i="13" s="1"/>
  <c r="D8" i="8"/>
  <c r="Q11" i="13" s="1"/>
  <c r="N11" i="13"/>
  <c r="B7" i="8"/>
  <c r="O10" i="13" s="1"/>
  <c r="C7" i="8"/>
  <c r="P10" i="13" s="1"/>
  <c r="D7" i="8"/>
  <c r="Q10" i="13" s="1"/>
  <c r="N10" i="13"/>
  <c r="B6" i="8"/>
  <c r="O9" i="13" s="1"/>
  <c r="C6" i="8"/>
  <c r="P9" i="13" s="1"/>
  <c r="D6" i="8"/>
  <c r="Q9" i="13" s="1"/>
  <c r="N9" i="13"/>
  <c r="B5" i="8"/>
  <c r="O8" i="13" s="1"/>
  <c r="C5" i="8"/>
  <c r="P8" i="13" s="1"/>
  <c r="D5" i="8"/>
  <c r="Q8" i="13" s="1"/>
  <c r="N8" i="13"/>
  <c r="B13" i="8"/>
  <c r="O16" i="13" s="1"/>
  <c r="D12" i="8"/>
  <c r="Q15" i="13" s="1"/>
  <c r="N15" i="13"/>
  <c r="B11" i="8"/>
  <c r="O14" i="13" s="1"/>
  <c r="C11" i="8"/>
  <c r="P14" i="13" s="1"/>
  <c r="D11" i="8"/>
  <c r="Q14" i="13" s="1"/>
  <c r="N14" i="13"/>
</calcChain>
</file>

<file path=xl/sharedStrings.xml><?xml version="1.0" encoding="utf-8"?>
<sst xmlns="http://schemas.openxmlformats.org/spreadsheetml/2006/main" count="2074" uniqueCount="667">
  <si>
    <t>12 ORE BOSARO 2026 — Tournament Manager</t>
  </si>
  <si>
    <t>Uso rapido: 1) inserisci risultati in Matches, colonne HomeGoals/AwayGoals/PenaltyWinner; 2) vai su Goals e completa solo le righe rosse con GoalType e Player; 3) Standings, TopScorers ed Export si aggiornano automaticamente.</t>
  </si>
  <si>
    <t>Punti vittoria</t>
  </si>
  <si>
    <t>Punti vittoria ai rigori</t>
  </si>
  <si>
    <t>Punti sconfitta ai rigori</t>
  </si>
  <si>
    <t>Punti sconfitta</t>
  </si>
  <si>
    <t>Ordinamento classifica</t>
  </si>
  <si>
    <t>Punti, H2H manuale, differenza reti, gol fatti</t>
  </si>
  <si>
    <t>Autogol</t>
  </si>
  <si>
    <t>Non associato ad alcun giocatore e non conteggiato nei marcatori</t>
  </si>
  <si>
    <t>Fonte rose</t>
  </si>
  <si>
    <t>Squadre_iscritte(1).pdf</t>
  </si>
  <si>
    <t>Fonte calendario</t>
  </si>
  <si>
    <t>calendario_partite.pdf / gironi.pdf / fase_finale.pdf</t>
  </si>
  <si>
    <t>Modifiche v4</t>
  </si>
  <si>
    <t>Export include anche marcatori aggregati per partita e tabella normalizzata match_goals.</t>
  </si>
  <si>
    <t>PenaltyWinner</t>
  </si>
  <si>
    <t>Nel foglio Matches il vincitore ai rigori è vincolato a squadra casa/trasferta della riga.</t>
  </si>
  <si>
    <t>GoalType</t>
  </si>
  <si>
    <t>Nel foglio Goals il tipo è Goal di default; cambia in Autogol solo se serve e lascia Player vuoto.</t>
  </si>
  <si>
    <t>Export sito</t>
  </si>
  <si>
    <t>Usa sezione matches per risultati + marcatori aggregati, oppure match_goals per dati normalizzati.</t>
  </si>
  <si>
    <t>Setting</t>
  </si>
  <si>
    <t>Value</t>
  </si>
  <si>
    <t>WinPoints</t>
  </si>
  <si>
    <t>PenaltyWinPoints</t>
  </si>
  <si>
    <t>PenaltyLossPoints</t>
  </si>
  <si>
    <t>LossPoints</t>
  </si>
  <si>
    <t>MaxGoalSlotsPerMatch</t>
  </si>
  <si>
    <t>TeamID</t>
  </si>
  <si>
    <t>Group</t>
  </si>
  <si>
    <t>TeamName</t>
  </si>
  <si>
    <t>Players</t>
  </si>
  <si>
    <t>T01</t>
  </si>
  <si>
    <t>A</t>
  </si>
  <si>
    <t>Fatine FC</t>
  </si>
  <si>
    <t>T02</t>
  </si>
  <si>
    <t>FC Internazionale Rovigo</t>
  </si>
  <si>
    <t>T03</t>
  </si>
  <si>
    <t>Moviola Utd</t>
  </si>
  <si>
    <t>T04</t>
  </si>
  <si>
    <t>Astolfi Impianti Elettrici</t>
  </si>
  <si>
    <t>T05</t>
  </si>
  <si>
    <t>B</t>
  </si>
  <si>
    <t>Totani</t>
  </si>
  <si>
    <t>T06</t>
  </si>
  <si>
    <t>Vecchie Glorie Rovigo</t>
  </si>
  <si>
    <t>T07</t>
  </si>
  <si>
    <t>AS Bancatore</t>
  </si>
  <si>
    <t>T08</t>
  </si>
  <si>
    <t>Beverton</t>
  </si>
  <si>
    <t>T09</t>
  </si>
  <si>
    <t>C</t>
  </si>
  <si>
    <t>Leoni di Ricky</t>
  </si>
  <si>
    <t>T10</t>
  </si>
  <si>
    <t>Pink 5ive</t>
  </si>
  <si>
    <t>T11</t>
  </si>
  <si>
    <t>Barrio Boys</t>
  </si>
  <si>
    <t>T12</t>
  </si>
  <si>
    <t>Cani</t>
  </si>
  <si>
    <t>T13</t>
  </si>
  <si>
    <t>D</t>
  </si>
  <si>
    <t>All Blacks</t>
  </si>
  <si>
    <t>T14</t>
  </si>
  <si>
    <t>Boldò Glimt</t>
  </si>
  <si>
    <t>T15</t>
  </si>
  <si>
    <t>Coca Juniors</t>
  </si>
  <si>
    <t>T16</t>
  </si>
  <si>
    <t>Piadineria la Salsiccia</t>
  </si>
  <si>
    <t>PlayerID</t>
  </si>
  <si>
    <t>ShirtNumber</t>
  </si>
  <si>
    <t>PlayerName</t>
  </si>
  <si>
    <t>Captain</t>
  </si>
  <si>
    <t>DisplayName</t>
  </si>
  <si>
    <t>P001</t>
  </si>
  <si>
    <t>PIETRO SEGATO</t>
  </si>
  <si>
    <t>No</t>
  </si>
  <si>
    <t>1 - PIETRO SEGATO</t>
  </si>
  <si>
    <t>P002</t>
  </si>
  <si>
    <t>GIOVANNI BALLO</t>
  </si>
  <si>
    <t>4 - GIOVANNI BALLO</t>
  </si>
  <si>
    <t>P003</t>
  </si>
  <si>
    <t>DANIELE MARZOLLA</t>
  </si>
  <si>
    <t>5 - DANIELE MARZOLLA</t>
  </si>
  <si>
    <t>P004</t>
  </si>
  <si>
    <t>NICHOLAS MILAN</t>
  </si>
  <si>
    <t>7 - NICHOLAS MILAN</t>
  </si>
  <si>
    <t>P005</t>
  </si>
  <si>
    <t>ALESSIO MILAN</t>
  </si>
  <si>
    <t>8 - ALESSIO MILAN</t>
  </si>
  <si>
    <t>P006</t>
  </si>
  <si>
    <t>LUCA MARINI</t>
  </si>
  <si>
    <t>10 - LUCA MARINI</t>
  </si>
  <si>
    <t>P007</t>
  </si>
  <si>
    <t>DAVIDE GHIRARDI</t>
  </si>
  <si>
    <t>11 - DAVIDE GHIRARDI</t>
  </si>
  <si>
    <t>P008</t>
  </si>
  <si>
    <t>NICOLA MARINI</t>
  </si>
  <si>
    <t>Yes</t>
  </si>
  <si>
    <t>23 - NICOLA MARINI (C)</t>
  </si>
  <si>
    <t>P009</t>
  </si>
  <si>
    <t>LUCA ROSSETTO</t>
  </si>
  <si>
    <t>69 - LUCA ROSSETTO</t>
  </si>
  <si>
    <t>P010</t>
  </si>
  <si>
    <t>MANUEL MEDEA</t>
  </si>
  <si>
    <t>90 - MANUEL MEDEA</t>
  </si>
  <si>
    <t>P011</t>
  </si>
  <si>
    <t>BOGDAN ATAMANYUK</t>
  </si>
  <si>
    <t>P012</t>
  </si>
  <si>
    <t>IVAN DENIS SHEVERAK</t>
  </si>
  <si>
    <t>P013</t>
  </si>
  <si>
    <t>MOHAMED IAICH</t>
  </si>
  <si>
    <t>P014</t>
  </si>
  <si>
    <t>NICOLÒ ANDOLFO</t>
  </si>
  <si>
    <t>P015</t>
  </si>
  <si>
    <t>AHMED ZOUZAF</t>
  </si>
  <si>
    <t>P016</t>
  </si>
  <si>
    <t>YOUSSEF IAICH</t>
  </si>
  <si>
    <t>P017</t>
  </si>
  <si>
    <t>HAMZA AGRIBI</t>
  </si>
  <si>
    <t>HAMZA AGRIBI (C)</t>
  </si>
  <si>
    <t>P018</t>
  </si>
  <si>
    <t>KHALID BENNOUNE</t>
  </si>
  <si>
    <t>P019</t>
  </si>
  <si>
    <t>YASSINE SOHAYB</t>
  </si>
  <si>
    <t>P020</t>
  </si>
  <si>
    <t>ABDESSAMAD BAGHROUCH</t>
  </si>
  <si>
    <t>P021</t>
  </si>
  <si>
    <t>FILIPPO ZANFORLIN</t>
  </si>
  <si>
    <t>P022</t>
  </si>
  <si>
    <t>MICHAEL STRENGHETTO</t>
  </si>
  <si>
    <t>MICHAEL STRENGHETTO (C)</t>
  </si>
  <si>
    <t>P023</t>
  </si>
  <si>
    <t>LUCA BACCO</t>
  </si>
  <si>
    <t>P024</t>
  </si>
  <si>
    <t>FILIPPO SCARANELLO</t>
  </si>
  <si>
    <t>P025</t>
  </si>
  <si>
    <t>LORENZO NOVENTA</t>
  </si>
  <si>
    <t>P026</t>
  </si>
  <si>
    <t>MATTIA BORGATO</t>
  </si>
  <si>
    <t>P027</t>
  </si>
  <si>
    <t>MARCO CASAROTTI</t>
  </si>
  <si>
    <t>P028</t>
  </si>
  <si>
    <t>MATTEO NATALI</t>
  </si>
  <si>
    <t>P029</t>
  </si>
  <si>
    <t>FRANCESCO DADDATO</t>
  </si>
  <si>
    <t>P030</t>
  </si>
  <si>
    <t>NICHOLAS LANZONI</t>
  </si>
  <si>
    <t>P031</t>
  </si>
  <si>
    <t>NICOLÒ POLITI</t>
  </si>
  <si>
    <t>P032</t>
  </si>
  <si>
    <t>MATTEO SENO</t>
  </si>
  <si>
    <t>P033</t>
  </si>
  <si>
    <t>NICOLAS ANDRIOTTO</t>
  </si>
  <si>
    <t>1 - NICOLAS ANDRIOTTO</t>
  </si>
  <si>
    <t>P034</t>
  </si>
  <si>
    <t>GIANLUCA PAVAN</t>
  </si>
  <si>
    <t>4 - GIANLUCA PAVAN</t>
  </si>
  <si>
    <t>P035</t>
  </si>
  <si>
    <t>NICOLA CAVALLIERI</t>
  </si>
  <si>
    <t>6 - NICOLA CAVALLIERI</t>
  </si>
  <si>
    <t>P036</t>
  </si>
  <si>
    <t>ALBAN AHMATI</t>
  </si>
  <si>
    <t>7 - ALBAN AHMATI</t>
  </si>
  <si>
    <t>P037</t>
  </si>
  <si>
    <t>MARCO PREVIATO</t>
  </si>
  <si>
    <t>8 - MARCO PREVIATO</t>
  </si>
  <si>
    <t>P038</t>
  </si>
  <si>
    <t>LUCA SIMEONE</t>
  </si>
  <si>
    <t>9 - LUCA SIMEONE</t>
  </si>
  <si>
    <t>P039</t>
  </si>
  <si>
    <t>ELIA NAGLIERI</t>
  </si>
  <si>
    <t>10 - ELIA NAGLIERI</t>
  </si>
  <si>
    <t>P040</t>
  </si>
  <si>
    <t>FILIPPO ZANINI</t>
  </si>
  <si>
    <t>11 - FILIPPO ZANINI (C)</t>
  </si>
  <si>
    <t>P041</t>
  </si>
  <si>
    <t>ALBERTO MUNERATO</t>
  </si>
  <si>
    <t>14 - ALBERTO MUNERATO</t>
  </si>
  <si>
    <t>P042</t>
  </si>
  <si>
    <t>DANIEL TARGA</t>
  </si>
  <si>
    <t>5 - DANIEL TARGA</t>
  </si>
  <si>
    <t>P043</t>
  </si>
  <si>
    <t>RICCARDO DAVÌ</t>
  </si>
  <si>
    <t>6 - RICCARDO DAVÌ</t>
  </si>
  <si>
    <t>P044</t>
  </si>
  <si>
    <t>RICCARDO SANTARATO</t>
  </si>
  <si>
    <t>7 - RICCARDO SANTARATO</t>
  </si>
  <si>
    <t>P045</t>
  </si>
  <si>
    <t>RICCARDO STIEVANO</t>
  </si>
  <si>
    <t>9 - RICCARDO STIEVANO</t>
  </si>
  <si>
    <t>P046</t>
  </si>
  <si>
    <t>LUCA CHERUBIN</t>
  </si>
  <si>
    <t>10 - LUCA CHERUBIN (C)</t>
  </si>
  <si>
    <t>P047</t>
  </si>
  <si>
    <t>FILIPPO CREPALDI</t>
  </si>
  <si>
    <t>12 - FILIPPO CREPALDI</t>
  </si>
  <si>
    <t>P048</t>
  </si>
  <si>
    <t>LUCA PAPARELLA</t>
  </si>
  <si>
    <t>15 - LUCA PAPARELLA</t>
  </si>
  <si>
    <t>P049</t>
  </si>
  <si>
    <t>LUCA POLATO</t>
  </si>
  <si>
    <t>18 - LUCA POLATO</t>
  </si>
  <si>
    <t>P050</t>
  </si>
  <si>
    <t>DANIELE SECCO</t>
  </si>
  <si>
    <t>71 - DANIELE SECCO</t>
  </si>
  <si>
    <t>P051</t>
  </si>
  <si>
    <t>DAVIDE ZAGHI</t>
  </si>
  <si>
    <t>P052</t>
  </si>
  <si>
    <t>JACOPO VOLTOLINA</t>
  </si>
  <si>
    <t>P053</t>
  </si>
  <si>
    <t>MATTEO ZAMBERLAN</t>
  </si>
  <si>
    <t>P054</t>
  </si>
  <si>
    <t>MATTEO DALL'ARA</t>
  </si>
  <si>
    <t>P055</t>
  </si>
  <si>
    <t>LEONARDO FUSCO</t>
  </si>
  <si>
    <t>P056</t>
  </si>
  <si>
    <t>DENIS TIMPANARO</t>
  </si>
  <si>
    <t>P057</t>
  </si>
  <si>
    <t>MATTEO TOSETTI</t>
  </si>
  <si>
    <t>P058</t>
  </si>
  <si>
    <t>MATTEO AMBROSINI</t>
  </si>
  <si>
    <t>P059</t>
  </si>
  <si>
    <t>ANDREA BONIN</t>
  </si>
  <si>
    <t>P060</t>
  </si>
  <si>
    <t>DOMENICO IACOVINO</t>
  </si>
  <si>
    <t>DOMENICO IACOVINO (C)</t>
  </si>
  <si>
    <t>P061</t>
  </si>
  <si>
    <t>GIACOMO PROTTI</t>
  </si>
  <si>
    <t>P062</t>
  </si>
  <si>
    <t>RICCARDO BROGLIO</t>
  </si>
  <si>
    <t>1 - RICCARDO BROGLIO</t>
  </si>
  <si>
    <t>P063</t>
  </si>
  <si>
    <t>NICOLÒ MARANGONI</t>
  </si>
  <si>
    <t>2 - NICOLÒ MARANGONI</t>
  </si>
  <si>
    <t>P064</t>
  </si>
  <si>
    <t>MATTEO LONGO</t>
  </si>
  <si>
    <t>5 - MATTEO LONGO</t>
  </si>
  <si>
    <t>P065</t>
  </si>
  <si>
    <t>MATTIA ZAGO</t>
  </si>
  <si>
    <t>7 - MATTIA ZAGO</t>
  </si>
  <si>
    <t>P066</t>
  </si>
  <si>
    <t>MATTEO SAVIOLI</t>
  </si>
  <si>
    <t>8 - MATTEO SAVIOLI (C)</t>
  </si>
  <si>
    <t>P067</t>
  </si>
  <si>
    <t>IGNAZIO BADALÌ</t>
  </si>
  <si>
    <t>9 - IGNAZIO BADALÌ</t>
  </si>
  <si>
    <t>P068</t>
  </si>
  <si>
    <t>GIANLUCA FREZZATI</t>
  </si>
  <si>
    <t>10 - GIANLUCA FREZZATI</t>
  </si>
  <si>
    <t>P069</t>
  </si>
  <si>
    <t>FEDERICO MASCELLANI</t>
  </si>
  <si>
    <t>11 - FEDERICO MASCELLANI</t>
  </si>
  <si>
    <t>P070</t>
  </si>
  <si>
    <t>ALBERTO OSTI</t>
  </si>
  <si>
    <t>13 - ALBERTO OSTI</t>
  </si>
  <si>
    <t>P071</t>
  </si>
  <si>
    <t>LUCA ROSSI</t>
  </si>
  <si>
    <t>14 - LUCA ROSSI</t>
  </si>
  <si>
    <t>P072</t>
  </si>
  <si>
    <t>NICOLA BARONI</t>
  </si>
  <si>
    <t>20 - NICOLA BARONI</t>
  </si>
  <si>
    <t>P073</t>
  </si>
  <si>
    <t>SAMUEL MATTIELLO</t>
  </si>
  <si>
    <t>4 - SAMUEL MATTIELLO</t>
  </si>
  <si>
    <t>P074</t>
  </si>
  <si>
    <t>SAMUEL BONSU</t>
  </si>
  <si>
    <t>10 - SAMUEL BONSU (C)</t>
  </si>
  <si>
    <t>P075</t>
  </si>
  <si>
    <t>FILIPPO VENDRAMIN</t>
  </si>
  <si>
    <t>11 - FILIPPO VENDRAMIN</t>
  </si>
  <si>
    <t>P076</t>
  </si>
  <si>
    <t>MARCO GREGGIO</t>
  </si>
  <si>
    <t>14 - MARCO GREGGIO</t>
  </si>
  <si>
    <t>P077</t>
  </si>
  <si>
    <t>CHRISTIAN ZUCCATO</t>
  </si>
  <si>
    <t>19 - CHRISTIAN ZUCCATO</t>
  </si>
  <si>
    <t>P078</t>
  </si>
  <si>
    <t>MATTEO BARTOLOMEI</t>
  </si>
  <si>
    <t>21 - MATTEO BARTOLOMEI</t>
  </si>
  <si>
    <t>P079</t>
  </si>
  <si>
    <t>ANDREA DEGAN</t>
  </si>
  <si>
    <t>1 - ANDREA DEGAN</t>
  </si>
  <si>
    <t>P080</t>
  </si>
  <si>
    <t>LEONARDO MAGGIO</t>
  </si>
  <si>
    <t>3 - LEONARDO MAGGIO</t>
  </si>
  <si>
    <t>P081</t>
  </si>
  <si>
    <t>AMIN MASSAGHRI</t>
  </si>
  <si>
    <t>4 - AMIN MASSAGHRI (C)</t>
  </si>
  <si>
    <t>P082</t>
  </si>
  <si>
    <t>PIETRO VIOLATO</t>
  </si>
  <si>
    <t>5 - PIETRO VIOLATO</t>
  </si>
  <si>
    <t>P083</t>
  </si>
  <si>
    <t>MARCO THOMPSON</t>
  </si>
  <si>
    <t>6 - MARCO THOMPSON</t>
  </si>
  <si>
    <t>P084</t>
  </si>
  <si>
    <t>GIACOMO BORTOLIERO</t>
  </si>
  <si>
    <t>8 - GIACOMO BORTOLIERO</t>
  </si>
  <si>
    <t>P085</t>
  </si>
  <si>
    <t>ANDREA BARZAGHIDEANU</t>
  </si>
  <si>
    <t>10 - ANDREA BARZAGHIDEANU</t>
  </si>
  <si>
    <t>P086</t>
  </si>
  <si>
    <t>VLAD GABRIEL DUMINICA</t>
  </si>
  <si>
    <t>14 - VLAD GABRIEL DUMINICA</t>
  </si>
  <si>
    <t>P087</t>
  </si>
  <si>
    <t>LORENZO BOSCOLO</t>
  </si>
  <si>
    <t>4 - LORENZO BOSCOLO</t>
  </si>
  <si>
    <t>P088</t>
  </si>
  <si>
    <t>TOMMASO FERRARESI</t>
  </si>
  <si>
    <t>7 - TOMMASO FERRARESI</t>
  </si>
  <si>
    <t>P089</t>
  </si>
  <si>
    <t>GIOVANNI VERONESE</t>
  </si>
  <si>
    <t>9 - GIOVANNI VERONESE</t>
  </si>
  <si>
    <t>P090</t>
  </si>
  <si>
    <t>AARON PROVITO</t>
  </si>
  <si>
    <t>10 - AARON PROVITO</t>
  </si>
  <si>
    <t>P091</t>
  </si>
  <si>
    <t>LUCA CAVALLARO</t>
  </si>
  <si>
    <t>15 - LUCA CAVALLARO</t>
  </si>
  <si>
    <t>P092</t>
  </si>
  <si>
    <t>MATTEO CAMPION</t>
  </si>
  <si>
    <t>19 - MATTEO CAMPION</t>
  </si>
  <si>
    <t>P093</t>
  </si>
  <si>
    <t>LEONARDO BEDENDO</t>
  </si>
  <si>
    <t>21 - LEONARDO BEDENDO</t>
  </si>
  <si>
    <t>P094</t>
  </si>
  <si>
    <t>LUCA BERNARDINELLO</t>
  </si>
  <si>
    <t>29 - LUCA BERNARDINELLO</t>
  </si>
  <si>
    <t>P095</t>
  </si>
  <si>
    <t>LEONARDO VERONESE</t>
  </si>
  <si>
    <t>63 - LEONARDO VERONESE (C)</t>
  </si>
  <si>
    <t>P096</t>
  </si>
  <si>
    <t>MATTIA COLTRO</t>
  </si>
  <si>
    <t>95 - MATTIA COLTRO</t>
  </si>
  <si>
    <t>P097</t>
  </si>
  <si>
    <t>NICCOLÒ LIMAJ</t>
  </si>
  <si>
    <t>1 - NICCOLÒ LIMAJ</t>
  </si>
  <si>
    <t>P098</t>
  </si>
  <si>
    <t>LUCA NONNATO</t>
  </si>
  <si>
    <t>2 - LUCA NONNATO</t>
  </si>
  <si>
    <t>P099</t>
  </si>
  <si>
    <t>FRANCESCO BERARDI</t>
  </si>
  <si>
    <t>7 - FRANCESCO BERARDI</t>
  </si>
  <si>
    <t>P100</t>
  </si>
  <si>
    <t>FRANCESCO MARANGON</t>
  </si>
  <si>
    <t>8 - FRANCESCO MARANGON</t>
  </si>
  <si>
    <t>P101</t>
  </si>
  <si>
    <t>GIMMY MANARI</t>
  </si>
  <si>
    <t>9 - GIMMY MANARI</t>
  </si>
  <si>
    <t>P102</t>
  </si>
  <si>
    <t>CRISTIAN MICUCCI</t>
  </si>
  <si>
    <t>10 - CRISTIAN MICUCCI (C)</t>
  </si>
  <si>
    <t>P103</t>
  </si>
  <si>
    <t>RICCARDO ALESSIO</t>
  </si>
  <si>
    <t>11 - RICCARDO ALESSIO</t>
  </si>
  <si>
    <t>P104</t>
  </si>
  <si>
    <t>EDOARDO CAVALLARI</t>
  </si>
  <si>
    <t>14 - EDOARDO CAVALLARI</t>
  </si>
  <si>
    <t>P105</t>
  </si>
  <si>
    <t>MATTEO FERRO</t>
  </si>
  <si>
    <t>18 - MATTEO FERRO</t>
  </si>
  <si>
    <t>P106</t>
  </si>
  <si>
    <t>ANDREA ANZOLETTI</t>
  </si>
  <si>
    <t>20 - ANDREA ANZOLETTI</t>
  </si>
  <si>
    <t>P107</t>
  </si>
  <si>
    <t>MANUEL IMPELLICCIERI</t>
  </si>
  <si>
    <t>4 - MANUEL IMPELLICCIERI</t>
  </si>
  <si>
    <t>P108</t>
  </si>
  <si>
    <t>MOURAD ECHCHARI</t>
  </si>
  <si>
    <t>5 - MOURAD ECHCHARI</t>
  </si>
  <si>
    <t>P109</t>
  </si>
  <si>
    <t>OTMAN SOUATI</t>
  </si>
  <si>
    <t>7 - OTMAN SOUATI</t>
  </si>
  <si>
    <t>P110</t>
  </si>
  <si>
    <t>KARL KABASELA</t>
  </si>
  <si>
    <t>8 - KARL KABASELA</t>
  </si>
  <si>
    <t>P111</t>
  </si>
  <si>
    <t>ALESSIO GHIRARDELLO</t>
  </si>
  <si>
    <t>10 - ALESSIO GHIRARDELLO (C)</t>
  </si>
  <si>
    <t>P112</t>
  </si>
  <si>
    <t>ISMAIL ECHCHARI</t>
  </si>
  <si>
    <t>11 - ISMAIL ECHCHARI</t>
  </si>
  <si>
    <t>P113</t>
  </si>
  <si>
    <t>LORENZO REZZAGHI</t>
  </si>
  <si>
    <t>19 - LORENZO REZZAGHI</t>
  </si>
  <si>
    <t>P114</t>
  </si>
  <si>
    <t>TOMMASO CALZAVARINI</t>
  </si>
  <si>
    <t>22 - TOMMASO CALZAVARINI</t>
  </si>
  <si>
    <t>P115</t>
  </si>
  <si>
    <t>LEONARDO BULGARI</t>
  </si>
  <si>
    <t>45 - LEONARDO BULGARI</t>
  </si>
  <si>
    <t>P116</t>
  </si>
  <si>
    <t>RICCARDO TOGNOLO</t>
  </si>
  <si>
    <t>67 - RICCARDO TOGNOLO</t>
  </si>
  <si>
    <t>P117</t>
  </si>
  <si>
    <t>GIACOMO DE SIMONE</t>
  </si>
  <si>
    <t>1 - GIACOMO DE SIMONE</t>
  </si>
  <si>
    <t>P118</t>
  </si>
  <si>
    <t>MARTINO GRANFO</t>
  </si>
  <si>
    <t>3 - MARTINO GRANFO</t>
  </si>
  <si>
    <t>P119</t>
  </si>
  <si>
    <t>STEFANO BRAGHIN</t>
  </si>
  <si>
    <t>4 - STEFANO BRAGHIN</t>
  </si>
  <si>
    <t>P120</t>
  </si>
  <si>
    <t>NICOLA BRESCIANI</t>
  </si>
  <si>
    <t>5 - NICOLA BRESCIANI</t>
  </si>
  <si>
    <t>P121</t>
  </si>
  <si>
    <t>DAVIDE BEDESCHI</t>
  </si>
  <si>
    <t>6 - DAVIDE BEDESCHI</t>
  </si>
  <si>
    <t>P122</t>
  </si>
  <si>
    <t>NICHOLAS MOSCHINI</t>
  </si>
  <si>
    <t>7 - NICHOLAS MOSCHINI</t>
  </si>
  <si>
    <t>P123</t>
  </si>
  <si>
    <t>DAVIDE GIRARDELLO</t>
  </si>
  <si>
    <t>8 - DAVIDE GIRARDELLO</t>
  </si>
  <si>
    <t>P124</t>
  </si>
  <si>
    <t>NICOLÒ BERGANTIN</t>
  </si>
  <si>
    <t>9 - NICOLÒ BERGANTIN</t>
  </si>
  <si>
    <t>P125</t>
  </si>
  <si>
    <t>FILIPPO CLEMENTE</t>
  </si>
  <si>
    <t>10 - FILIPPO CLEMENTE</t>
  </si>
  <si>
    <t>P126</t>
  </si>
  <si>
    <t>ALBERTO LORENZETTI</t>
  </si>
  <si>
    <t>11 - ALBERTO LORENZETTI (C)</t>
  </si>
  <si>
    <t>P127</t>
  </si>
  <si>
    <t>MATTIA BIOLCATI</t>
  </si>
  <si>
    <t>18 - MATTIA BIOLCATI</t>
  </si>
  <si>
    <t>P128</t>
  </si>
  <si>
    <t>MATTIA BELLUCCO</t>
  </si>
  <si>
    <t>1 - MATTIA BELLUCCO</t>
  </si>
  <si>
    <t>P129</t>
  </si>
  <si>
    <t>NICOLÒ BERTIPAGLIA</t>
  </si>
  <si>
    <t>2 - NICOLÒ BERTIPAGLIA</t>
  </si>
  <si>
    <t>P130</t>
  </si>
  <si>
    <t>FRANCESCO CUCCATO</t>
  </si>
  <si>
    <t>4 - FRANCESCO CUCCATO</t>
  </si>
  <si>
    <t>P131</t>
  </si>
  <si>
    <t>ANGELO REDI</t>
  </si>
  <si>
    <t>7 - ANGELO REDI</t>
  </si>
  <si>
    <t>P132</t>
  </si>
  <si>
    <t>MATTEO VERZA</t>
  </si>
  <si>
    <t>8 - MATTEO VERZA</t>
  </si>
  <si>
    <t>P133</t>
  </si>
  <si>
    <t>MARCO NEODO</t>
  </si>
  <si>
    <t>9 - MARCO NEODO</t>
  </si>
  <si>
    <t>P134</t>
  </si>
  <si>
    <t>ALEX BERTIPAGLIA</t>
  </si>
  <si>
    <t>10 - ALEX BERTIPAGLIA (C)</t>
  </si>
  <si>
    <t>P135</t>
  </si>
  <si>
    <t>FABIO FERRARI</t>
  </si>
  <si>
    <t>14 - FABIO FERRARI</t>
  </si>
  <si>
    <t>P136</t>
  </si>
  <si>
    <t>NICOLA MORIN</t>
  </si>
  <si>
    <t>17 - NICOLA MORIN</t>
  </si>
  <si>
    <t>P137</t>
  </si>
  <si>
    <t>LUCA CECCONELLO</t>
  </si>
  <si>
    <t>21 - LUCA CECCONELLO</t>
  </si>
  <si>
    <t>P138</t>
  </si>
  <si>
    <t>1 - LUCA CAVALLARO</t>
  </si>
  <si>
    <t>P139</t>
  </si>
  <si>
    <t>KEVIN DOBROZI</t>
  </si>
  <si>
    <t>3 - KEVIN DOBROZI</t>
  </si>
  <si>
    <t>P140</t>
  </si>
  <si>
    <t>ANDREA PAVAN</t>
  </si>
  <si>
    <t>4 - ANDREA PAVAN</t>
  </si>
  <si>
    <t>P141</t>
  </si>
  <si>
    <t>TOMMASO PAVAN</t>
  </si>
  <si>
    <t>5 - TOMMASO PAVAN</t>
  </si>
  <si>
    <t>P142</t>
  </si>
  <si>
    <t>GIAN MARCO MARANGONI</t>
  </si>
  <si>
    <t>7 - GIAN MARCO MARANGONI</t>
  </si>
  <si>
    <t>P143</t>
  </si>
  <si>
    <t>ANDREA GREGGIO</t>
  </si>
  <si>
    <t>9 - ANDREA GREGGIO</t>
  </si>
  <si>
    <t>P144</t>
  </si>
  <si>
    <t>GIACOMO DOLCE</t>
  </si>
  <si>
    <t>10 - GIACOMO DOLCE (C)</t>
  </si>
  <si>
    <t>P145</t>
  </si>
  <si>
    <t>CRISTIAN CAPUZZO</t>
  </si>
  <si>
    <t>11 - CRISTIAN CAPUZZO</t>
  </si>
  <si>
    <t>P146</t>
  </si>
  <si>
    <t>EMANUELE VERONESE</t>
  </si>
  <si>
    <t>23 - EMANUELE VERONESE</t>
  </si>
  <si>
    <t>P147</t>
  </si>
  <si>
    <t>NICOLA DOBROZI</t>
  </si>
  <si>
    <t>28 - NICOLA DOBROZI</t>
  </si>
  <si>
    <t>P148</t>
  </si>
  <si>
    <t>KEVIN CASTELLAN</t>
  </si>
  <si>
    <t>1 - KEVIN CASTELLAN</t>
  </si>
  <si>
    <t>P149</t>
  </si>
  <si>
    <t>SOUFIANE KHECHAB</t>
  </si>
  <si>
    <t>2 - SOUFIANE KHECHAB</t>
  </si>
  <si>
    <t>P150</t>
  </si>
  <si>
    <t>GABRIELE BARBIERATO</t>
  </si>
  <si>
    <t>3 - GABRIELE BARBIERATO</t>
  </si>
  <si>
    <t>P151</t>
  </si>
  <si>
    <t>DAVIDE DELLA VOLPE</t>
  </si>
  <si>
    <t>4 - DAVIDE DELLA VOLPE (C)</t>
  </si>
  <si>
    <t>P152</t>
  </si>
  <si>
    <t>LUCA CEDRINO</t>
  </si>
  <si>
    <t>5 - LUCA CEDRINO</t>
  </si>
  <si>
    <t>P153</t>
  </si>
  <si>
    <t>ALLAL SABIL</t>
  </si>
  <si>
    <t>6 - ALLAL SABIL</t>
  </si>
  <si>
    <t>P154</t>
  </si>
  <si>
    <t>MATTIA AYRTON MARIOTTO</t>
  </si>
  <si>
    <t>8 - MATTIA AYRTON MARIOTTO</t>
  </si>
  <si>
    <t>P155</t>
  </si>
  <si>
    <t>ANDREA BALDON</t>
  </si>
  <si>
    <t>9 - ANDREA BALDON</t>
  </si>
  <si>
    <t>P156</t>
  </si>
  <si>
    <t>RAFFAELE GAROFALO</t>
  </si>
  <si>
    <t>10 - RAFFAELE GAROFALO</t>
  </si>
  <si>
    <t>P157</t>
  </si>
  <si>
    <t>ALEX BERGO</t>
  </si>
  <si>
    <t>11 - ALEX BERGO</t>
  </si>
  <si>
    <t>MatchID</t>
  </si>
  <si>
    <t>Stage</t>
  </si>
  <si>
    <t>Round</t>
  </si>
  <si>
    <t>Field</t>
  </si>
  <si>
    <t>Time</t>
  </si>
  <si>
    <t>HomeTeam</t>
  </si>
  <si>
    <t>AwayTeam</t>
  </si>
  <si>
    <t>HomeGoals</t>
  </si>
  <si>
    <t>AwayGoals</t>
  </si>
  <si>
    <t>Status</t>
  </si>
  <si>
    <t>HomePoints</t>
  </si>
  <si>
    <t>AwayPoints</t>
  </si>
  <si>
    <t>Winner</t>
  </si>
  <si>
    <t>ScoreLabel</t>
  </si>
  <si>
    <t>M01</t>
  </si>
  <si>
    <t>1</t>
  </si>
  <si>
    <t>14:15</t>
  </si>
  <si>
    <t>M02</t>
  </si>
  <si>
    <t>2</t>
  </si>
  <si>
    <t>M03</t>
  </si>
  <si>
    <t>3 (S)</t>
  </si>
  <si>
    <t>M04</t>
  </si>
  <si>
    <t>14:45</t>
  </si>
  <si>
    <t>M05</t>
  </si>
  <si>
    <t>M06</t>
  </si>
  <si>
    <t>M07</t>
  </si>
  <si>
    <t>15:15</t>
  </si>
  <si>
    <t>M08</t>
  </si>
  <si>
    <t>M09</t>
  </si>
  <si>
    <t>M10</t>
  </si>
  <si>
    <t>15:45</t>
  </si>
  <si>
    <t>M11</t>
  </si>
  <si>
    <t>M12</t>
  </si>
  <si>
    <t>M13</t>
  </si>
  <si>
    <t>16:30</t>
  </si>
  <si>
    <t>M14</t>
  </si>
  <si>
    <t>M15</t>
  </si>
  <si>
    <t>M16</t>
  </si>
  <si>
    <t>17:00</t>
  </si>
  <si>
    <t>M17</t>
  </si>
  <si>
    <t>M18</t>
  </si>
  <si>
    <t>M19</t>
  </si>
  <si>
    <t>17:30</t>
  </si>
  <si>
    <t>M20</t>
  </si>
  <si>
    <t>M21</t>
  </si>
  <si>
    <t>M22</t>
  </si>
  <si>
    <t>18:00</t>
  </si>
  <si>
    <t>M23</t>
  </si>
  <si>
    <t>M24</t>
  </si>
  <si>
    <t>GoalForTeam</t>
  </si>
  <si>
    <t>GoalSlot</t>
  </si>
  <si>
    <t>Player</t>
  </si>
  <si>
    <t>ScorerTeam</t>
  </si>
  <si>
    <t>PlayerListRange</t>
  </si>
  <si>
    <t>MatchRow</t>
  </si>
  <si>
    <t>Slot</t>
  </si>
  <si>
    <t>Note</t>
  </si>
  <si>
    <t>Autogol: lasciare Player vuoto; non viene conteggiato nella classifica marcatori.</t>
  </si>
  <si>
    <t>Team</t>
  </si>
  <si>
    <t>Goals</t>
  </si>
  <si>
    <t>SortKey</t>
  </si>
  <si>
    <t>Pos</t>
  </si>
  <si>
    <t>Played</t>
  </si>
  <si>
    <t>Won</t>
  </si>
  <si>
    <t>WonPen</t>
  </si>
  <si>
    <t>LostPen</t>
  </si>
  <si>
    <t>Lost</t>
  </si>
  <si>
    <t>GF</t>
  </si>
  <si>
    <t>GA</t>
  </si>
  <si>
    <t>GD</t>
  </si>
  <si>
    <t>Points</t>
  </si>
  <si>
    <t>H2H_Manual</t>
  </si>
  <si>
    <t>Pts</t>
  </si>
  <si>
    <t>P</t>
  </si>
  <si>
    <t>W</t>
  </si>
  <si>
    <t>WP</t>
  </si>
  <si>
    <t>LP</t>
  </si>
  <si>
    <t>L</t>
  </si>
  <si>
    <t>QF1</t>
  </si>
  <si>
    <t>Quarter-final</t>
  </si>
  <si>
    <t>20:00</t>
  </si>
  <si>
    <t>QF2</t>
  </si>
  <si>
    <t>QF3</t>
  </si>
  <si>
    <t>20:45</t>
  </si>
  <si>
    <t>QF4</t>
  </si>
  <si>
    <t>SF1</t>
  </si>
  <si>
    <t>Semi-final</t>
  </si>
  <si>
    <t>21:45</t>
  </si>
  <si>
    <t>SF2</t>
  </si>
  <si>
    <t>FIN</t>
  </si>
  <si>
    <t>Final</t>
  </si>
  <si>
    <t>22:45</t>
  </si>
  <si>
    <t>PlayerRangeForINDIRECT</t>
  </si>
  <si>
    <t>Validation!$C$2:$C$11</t>
  </si>
  <si>
    <t>Validation!$D$2:$D$11</t>
  </si>
  <si>
    <t>Validation!$E$2:$E$13</t>
  </si>
  <si>
    <t>Validation!$F$2:$F$10</t>
  </si>
  <si>
    <t>Validation!$G$2:$G$10</t>
  </si>
  <si>
    <t>Validation!$H$2:$H$12</t>
  </si>
  <si>
    <t>Validation!$I$2:$I$12</t>
  </si>
  <si>
    <t>Validation!$J$2:$J$7</t>
  </si>
  <si>
    <t>Validation!$K$2:$K$9</t>
  </si>
  <si>
    <t>Validation!$L$2:$L$11</t>
  </si>
  <si>
    <t>Validation!$M$2:$M$11</t>
  </si>
  <si>
    <t>Validation!$N$2:$N$11</t>
  </si>
  <si>
    <t>Validation!$O$2:$O$12</t>
  </si>
  <si>
    <t>Validation!$P$2:$P$11</t>
  </si>
  <si>
    <t>Validation!$Q$2:$Q$11</t>
  </si>
  <si>
    <t>Validation!$R$2:$R$11</t>
  </si>
  <si>
    <t>EXPORT — dati ordinati per sito</t>
  </si>
  <si>
    <t>standings</t>
  </si>
  <si>
    <t>top_scorers</t>
  </si>
  <si>
    <t>group</t>
  </si>
  <si>
    <t>position</t>
  </si>
  <si>
    <t>team</t>
  </si>
  <si>
    <t>points</t>
  </si>
  <si>
    <t>played</t>
  </si>
  <si>
    <t>won</t>
  </si>
  <si>
    <t>won_pen</t>
  </si>
  <si>
    <t>lost_pen</t>
  </si>
  <si>
    <t>lost</t>
  </si>
  <si>
    <t>gf</t>
  </si>
  <si>
    <t>ga</t>
  </si>
  <si>
    <t>gd</t>
  </si>
  <si>
    <t>player</t>
  </si>
  <si>
    <t>goals</t>
  </si>
  <si>
    <t>matches</t>
  </si>
  <si>
    <t>match_id</t>
  </si>
  <si>
    <t>stage</t>
  </si>
  <si>
    <t>round</t>
  </si>
  <si>
    <t>field</t>
  </si>
  <si>
    <t>time</t>
  </si>
  <si>
    <t>home_team</t>
  </si>
  <si>
    <t>away_team</t>
  </si>
  <si>
    <t>home_goals</t>
  </si>
  <si>
    <t>away_goals</t>
  </si>
  <si>
    <t>penalty_winner</t>
  </si>
  <si>
    <t>status</t>
  </si>
  <si>
    <t>home_points</t>
  </si>
  <si>
    <t>away_points</t>
  </si>
  <si>
    <t>winner</t>
  </si>
  <si>
    <t>score_label</t>
  </si>
  <si>
    <t>home_scorers</t>
  </si>
  <si>
    <t>away_scorers</t>
  </si>
  <si>
    <t>autogoals</t>
  </si>
  <si>
    <t>match_goals</t>
  </si>
  <si>
    <t>goal_for_team</t>
  </si>
  <si>
    <t>goal_number</t>
  </si>
  <si>
    <t>goal_type</t>
  </si>
  <si>
    <t>scorer_team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</si>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</sst>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6"/>
      <color rgb="FF7F1D1D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7F1D1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E0F2FE"/>
      </patternFill>
    </fill>
    <fill>
      <patternFill patternType="solid">
        <fgColor rgb="FF111827"/>
      </patternFill>
    </fill>
    <fill>
      <patternFill patternType="solid">
        <fgColor rgb="FFFDE68A"/>
      </patternFill>
    </fill>
    <fill>
      <patternFill patternType="solid">
        <fgColor rgb="FF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>
          <bgColor rgb="FFDCFCE7"/>
        </patternFill>
      </fill>
    </dxf>
    <dxf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workbookViewId="0">
      <selection activeCell="B5" sqref="B5:B8"/>
    </sheetView>
  </sheetViews>
  <sheetFormatPr defaultRowHeight="14.4" x14ac:dyDescent="0.3"/>
  <cols>
    <col min="1" max="1" width="71.21875" customWidth="1"/>
    <col min="2" max="2" width="38" customWidth="1"/>
  </cols>
  <sheetData>
    <row r="1" spans="1:26" ht="42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 ht="100.8" x14ac:dyDescent="0.3">
      <c r="A3" s="1" t="s">
        <v>1</v>
      </c>
    </row>
    <row r="5" spans="1:26" x14ac:dyDescent="0.3">
      <c r="A5" s="1" t="s">
        <v>2</v>
      </c>
      <c r="B5" s="1">
        <v>3</v>
      </c>
    </row>
    <row r="6" spans="1:26" x14ac:dyDescent="0.3">
      <c r="A6" s="1" t="s">
        <v>3</v>
      </c>
      <c r="B6" s="1">
        <v>2</v>
      </c>
    </row>
    <row r="7" spans="1:26" x14ac:dyDescent="0.3">
      <c r="A7" s="1" t="s">
        <v>4</v>
      </c>
      <c r="B7" s="1">
        <v>1</v>
      </c>
    </row>
    <row r="8" spans="1:26" x14ac:dyDescent="0.3">
      <c r="A8" s="1" t="s">
        <v>5</v>
      </c>
      <c r="B8" s="1">
        <v>0</v>
      </c>
    </row>
    <row r="9" spans="1:26" x14ac:dyDescent="0.3">
      <c r="A9" s="1" t="s">
        <v>6</v>
      </c>
      <c r="B9" s="1" t="s">
        <v>7</v>
      </c>
    </row>
    <row r="10" spans="1:26" ht="28.8" x14ac:dyDescent="0.3">
      <c r="A10" s="1" t="s">
        <v>8</v>
      </c>
      <c r="B10" s="1" t="s">
        <v>9</v>
      </c>
    </row>
    <row r="11" spans="1:26" x14ac:dyDescent="0.3">
      <c r="A11" s="1" t="s">
        <v>10</v>
      </c>
      <c r="B11" s="1" t="s">
        <v>11</v>
      </c>
    </row>
    <row r="12" spans="1:26" ht="28.8" x14ac:dyDescent="0.3">
      <c r="A12" s="1" t="s">
        <v>12</v>
      </c>
      <c r="B12" s="1" t="s">
        <v>13</v>
      </c>
    </row>
    <row r="14" spans="1:26" x14ac:dyDescent="0.3">
      <c r="A14" t="s">
        <v>14</v>
      </c>
      <c r="B14" t="s">
        <v>15</v>
      </c>
    </row>
    <row r="15" spans="1:26" x14ac:dyDescent="0.3">
      <c r="A15" t="s">
        <v>16</v>
      </c>
      <c r="B15" t="s">
        <v>17</v>
      </c>
    </row>
    <row r="16" spans="1:26" x14ac:dyDescent="0.3">
      <c r="A16" t="s">
        <v>18</v>
      </c>
      <c r="B16" t="s">
        <v>19</v>
      </c>
    </row>
    <row r="17" spans="1:2" x14ac:dyDescent="0.3">
      <c r="A17" t="s">
        <v>20</v>
      </c>
      <c r="B1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"/>
  <sheetViews>
    <sheetView workbookViewId="0">
      <selection activeCell="B6" sqref="B6"/>
    </sheetView>
  </sheetViews>
  <sheetFormatPr defaultRowHeight="14.4" x14ac:dyDescent="0.3"/>
  <cols>
    <col min="1" max="2" width="24" customWidth="1"/>
  </cols>
  <sheetData>
    <row r="1" spans="1:26" x14ac:dyDescent="0.3">
      <c r="A1" s="5" t="s">
        <v>22</v>
      </c>
      <c r="B1" s="5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24</v>
      </c>
      <c r="B2">
        <v>3</v>
      </c>
    </row>
    <row r="3" spans="1:26" x14ac:dyDescent="0.3">
      <c r="A3" t="s">
        <v>25</v>
      </c>
      <c r="B3">
        <v>2</v>
      </c>
    </row>
    <row r="4" spans="1:26" x14ac:dyDescent="0.3">
      <c r="A4" t="s">
        <v>26</v>
      </c>
      <c r="B4">
        <v>1</v>
      </c>
    </row>
    <row r="5" spans="1:26" x14ac:dyDescent="0.3">
      <c r="A5" t="s">
        <v>27</v>
      </c>
      <c r="B5">
        <v>0</v>
      </c>
    </row>
    <row r="6" spans="1:26" x14ac:dyDescent="0.3">
      <c r="A6" t="s">
        <v>28</v>
      </c>
      <c r="B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/>
  </sheetViews>
  <sheetFormatPr defaultRowHeight="14.4" x14ac:dyDescent="0.3"/>
  <cols>
    <col min="1" max="4" width="24" customWidth="1"/>
  </cols>
  <sheetData>
    <row r="1" spans="1:26" x14ac:dyDescent="0.3">
      <c r="A1" s="5" t="s">
        <v>29</v>
      </c>
      <c r="B1" s="5" t="s">
        <v>30</v>
      </c>
      <c r="C1" s="5" t="s">
        <v>31</v>
      </c>
      <c r="D1" s="5" t="s">
        <v>32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33</v>
      </c>
      <c r="B2" t="s">
        <v>34</v>
      </c>
      <c r="C2" t="s">
        <v>35</v>
      </c>
      <c r="D2">
        <v>10</v>
      </c>
    </row>
    <row r="3" spans="1:26" x14ac:dyDescent="0.3">
      <c r="A3" t="s">
        <v>36</v>
      </c>
      <c r="B3" t="s">
        <v>34</v>
      </c>
      <c r="C3" t="s">
        <v>37</v>
      </c>
      <c r="D3">
        <v>10</v>
      </c>
    </row>
    <row r="4" spans="1:26" x14ac:dyDescent="0.3">
      <c r="A4" t="s">
        <v>38</v>
      </c>
      <c r="B4" t="s">
        <v>34</v>
      </c>
      <c r="C4" t="s">
        <v>39</v>
      </c>
      <c r="D4">
        <v>12</v>
      </c>
    </row>
    <row r="5" spans="1:26" x14ac:dyDescent="0.3">
      <c r="A5" t="s">
        <v>40</v>
      </c>
      <c r="B5" t="s">
        <v>34</v>
      </c>
      <c r="C5" t="s">
        <v>41</v>
      </c>
      <c r="D5">
        <v>9</v>
      </c>
    </row>
    <row r="6" spans="1:26" x14ac:dyDescent="0.3">
      <c r="A6" t="s">
        <v>42</v>
      </c>
      <c r="B6" t="s">
        <v>43</v>
      </c>
      <c r="C6" t="s">
        <v>44</v>
      </c>
      <c r="D6">
        <v>9</v>
      </c>
    </row>
    <row r="7" spans="1:26" x14ac:dyDescent="0.3">
      <c r="A7" t="s">
        <v>45</v>
      </c>
      <c r="B7" t="s">
        <v>43</v>
      </c>
      <c r="C7" t="s">
        <v>46</v>
      </c>
      <c r="D7">
        <v>11</v>
      </c>
    </row>
    <row r="8" spans="1:26" x14ac:dyDescent="0.3">
      <c r="A8" t="s">
        <v>47</v>
      </c>
      <c r="B8" t="s">
        <v>43</v>
      </c>
      <c r="C8" t="s">
        <v>48</v>
      </c>
      <c r="D8">
        <v>11</v>
      </c>
    </row>
    <row r="9" spans="1:26" x14ac:dyDescent="0.3">
      <c r="A9" t="s">
        <v>49</v>
      </c>
      <c r="B9" t="s">
        <v>43</v>
      </c>
      <c r="C9" t="s">
        <v>50</v>
      </c>
      <c r="D9">
        <v>6</v>
      </c>
    </row>
    <row r="10" spans="1:26" x14ac:dyDescent="0.3">
      <c r="A10" t="s">
        <v>51</v>
      </c>
      <c r="B10" t="s">
        <v>52</v>
      </c>
      <c r="C10" t="s">
        <v>53</v>
      </c>
      <c r="D10">
        <v>8</v>
      </c>
    </row>
    <row r="11" spans="1:26" x14ac:dyDescent="0.3">
      <c r="A11" t="s">
        <v>54</v>
      </c>
      <c r="B11" t="s">
        <v>52</v>
      </c>
      <c r="C11" t="s">
        <v>55</v>
      </c>
      <c r="D11">
        <v>10</v>
      </c>
    </row>
    <row r="12" spans="1:26" x14ac:dyDescent="0.3">
      <c r="A12" t="s">
        <v>56</v>
      </c>
      <c r="B12" t="s">
        <v>52</v>
      </c>
      <c r="C12" t="s">
        <v>57</v>
      </c>
      <c r="D12">
        <v>10</v>
      </c>
    </row>
    <row r="13" spans="1:26" x14ac:dyDescent="0.3">
      <c r="A13" t="s">
        <v>58</v>
      </c>
      <c r="B13" t="s">
        <v>52</v>
      </c>
      <c r="C13" t="s">
        <v>59</v>
      </c>
      <c r="D13">
        <v>10</v>
      </c>
    </row>
    <row r="14" spans="1:26" x14ac:dyDescent="0.3">
      <c r="A14" t="s">
        <v>60</v>
      </c>
      <c r="B14" t="s">
        <v>61</v>
      </c>
      <c r="C14" t="s">
        <v>62</v>
      </c>
      <c r="D14">
        <v>11</v>
      </c>
    </row>
    <row r="15" spans="1:26" x14ac:dyDescent="0.3">
      <c r="A15" t="s">
        <v>63</v>
      </c>
      <c r="B15" t="s">
        <v>61</v>
      </c>
      <c r="C15" t="s">
        <v>64</v>
      </c>
      <c r="D15">
        <v>10</v>
      </c>
    </row>
    <row r="16" spans="1:26" x14ac:dyDescent="0.3">
      <c r="A16" t="s">
        <v>65</v>
      </c>
      <c r="B16" t="s">
        <v>61</v>
      </c>
      <c r="C16" t="s">
        <v>66</v>
      </c>
      <c r="D16">
        <v>10</v>
      </c>
    </row>
    <row r="17" spans="1:4" x14ac:dyDescent="0.3">
      <c r="A17" t="s">
        <v>67</v>
      </c>
      <c r="B17" t="s">
        <v>61</v>
      </c>
      <c r="C17" t="s">
        <v>68</v>
      </c>
      <c r="D1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8"/>
  <sheetViews>
    <sheetView topLeftCell="A16" workbookViewId="0">
      <selection activeCell="A2" sqref="A2"/>
    </sheetView>
  </sheetViews>
  <sheetFormatPr defaultRowHeight="14.4" x14ac:dyDescent="0.3"/>
  <cols>
    <col min="1" max="6" width="24" customWidth="1"/>
    <col min="7" max="7" width="34" customWidth="1"/>
  </cols>
  <sheetData>
    <row r="1" spans="1:26" x14ac:dyDescent="0.3">
      <c r="A1" s="5" t="s">
        <v>69</v>
      </c>
      <c r="B1" s="5" t="s">
        <v>29</v>
      </c>
      <c r="C1" s="5" t="s">
        <v>31</v>
      </c>
      <c r="D1" s="5" t="s">
        <v>70</v>
      </c>
      <c r="E1" s="5" t="s">
        <v>71</v>
      </c>
      <c r="F1" s="5" t="s">
        <v>72</v>
      </c>
      <c r="G1" s="5" t="s">
        <v>73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74</v>
      </c>
      <c r="B2" t="s">
        <v>33</v>
      </c>
      <c r="C2" t="s">
        <v>35</v>
      </c>
      <c r="D2">
        <v>1</v>
      </c>
      <c r="E2" t="s">
        <v>75</v>
      </c>
      <c r="F2" t="s">
        <v>76</v>
      </c>
      <c r="G2" t="s">
        <v>77</v>
      </c>
    </row>
    <row r="3" spans="1:26" x14ac:dyDescent="0.3">
      <c r="A3" t="s">
        <v>78</v>
      </c>
      <c r="B3" t="s">
        <v>33</v>
      </c>
      <c r="C3" t="s">
        <v>35</v>
      </c>
      <c r="D3">
        <v>4</v>
      </c>
      <c r="E3" t="s">
        <v>79</v>
      </c>
      <c r="F3" t="s">
        <v>76</v>
      </c>
      <c r="G3" t="s">
        <v>80</v>
      </c>
    </row>
    <row r="4" spans="1:26" x14ac:dyDescent="0.3">
      <c r="A4" t="s">
        <v>81</v>
      </c>
      <c r="B4" t="s">
        <v>33</v>
      </c>
      <c r="C4" t="s">
        <v>35</v>
      </c>
      <c r="D4">
        <v>5</v>
      </c>
      <c r="E4" t="s">
        <v>82</v>
      </c>
      <c r="F4" t="s">
        <v>76</v>
      </c>
      <c r="G4" t="s">
        <v>83</v>
      </c>
    </row>
    <row r="5" spans="1:26" x14ac:dyDescent="0.3">
      <c r="A5" t="s">
        <v>84</v>
      </c>
      <c r="B5" t="s">
        <v>33</v>
      </c>
      <c r="C5" t="s">
        <v>35</v>
      </c>
      <c r="D5">
        <v>7</v>
      </c>
      <c r="E5" t="s">
        <v>85</v>
      </c>
      <c r="F5" t="s">
        <v>76</v>
      </c>
      <c r="G5" t="s">
        <v>86</v>
      </c>
    </row>
    <row r="6" spans="1:26" x14ac:dyDescent="0.3">
      <c r="A6" t="s">
        <v>87</v>
      </c>
      <c r="B6" t="s">
        <v>33</v>
      </c>
      <c r="C6" t="s">
        <v>35</v>
      </c>
      <c r="D6">
        <v>8</v>
      </c>
      <c r="E6" t="s">
        <v>88</v>
      </c>
      <c r="F6" t="s">
        <v>76</v>
      </c>
      <c r="G6" t="s">
        <v>89</v>
      </c>
    </row>
    <row r="7" spans="1:26" x14ac:dyDescent="0.3">
      <c r="A7" t="s">
        <v>90</v>
      </c>
      <c r="B7" t="s">
        <v>33</v>
      </c>
      <c r="C7" t="s">
        <v>35</v>
      </c>
      <c r="D7">
        <v>10</v>
      </c>
      <c r="E7" t="s">
        <v>91</v>
      </c>
      <c r="F7" t="s">
        <v>76</v>
      </c>
      <c r="G7" t="s">
        <v>92</v>
      </c>
    </row>
    <row r="8" spans="1:26" x14ac:dyDescent="0.3">
      <c r="A8" t="s">
        <v>93</v>
      </c>
      <c r="B8" t="s">
        <v>33</v>
      </c>
      <c r="C8" t="s">
        <v>35</v>
      </c>
      <c r="D8">
        <v>11</v>
      </c>
      <c r="E8" t="s">
        <v>94</v>
      </c>
      <c r="F8" t="s">
        <v>76</v>
      </c>
      <c r="G8" t="s">
        <v>95</v>
      </c>
    </row>
    <row r="9" spans="1:26" x14ac:dyDescent="0.3">
      <c r="A9" t="s">
        <v>96</v>
      </c>
      <c r="B9" t="s">
        <v>33</v>
      </c>
      <c r="C9" t="s">
        <v>35</v>
      </c>
      <c r="D9">
        <v>23</v>
      </c>
      <c r="E9" t="s">
        <v>97</v>
      </c>
      <c r="F9" t="s">
        <v>98</v>
      </c>
      <c r="G9" t="s">
        <v>99</v>
      </c>
    </row>
    <row r="10" spans="1:26" x14ac:dyDescent="0.3">
      <c r="A10" t="s">
        <v>100</v>
      </c>
      <c r="B10" t="s">
        <v>33</v>
      </c>
      <c r="C10" t="s">
        <v>35</v>
      </c>
      <c r="D10">
        <v>69</v>
      </c>
      <c r="E10" t="s">
        <v>101</v>
      </c>
      <c r="F10" t="s">
        <v>76</v>
      </c>
      <c r="G10" t="s">
        <v>102</v>
      </c>
    </row>
    <row r="11" spans="1:26" x14ac:dyDescent="0.3">
      <c r="A11" t="s">
        <v>103</v>
      </c>
      <c r="B11" t="s">
        <v>33</v>
      </c>
      <c r="C11" t="s">
        <v>35</v>
      </c>
      <c r="D11">
        <v>90</v>
      </c>
      <c r="E11" t="s">
        <v>104</v>
      </c>
      <c r="F11" t="s">
        <v>76</v>
      </c>
      <c r="G11" t="s">
        <v>105</v>
      </c>
    </row>
    <row r="12" spans="1:26" x14ac:dyDescent="0.3">
      <c r="A12" t="s">
        <v>106</v>
      </c>
      <c r="B12" t="s">
        <v>36</v>
      </c>
      <c r="C12" t="s">
        <v>37</v>
      </c>
      <c r="E12" t="s">
        <v>107</v>
      </c>
      <c r="F12" t="s">
        <v>76</v>
      </c>
      <c r="G12" t="s">
        <v>107</v>
      </c>
    </row>
    <row r="13" spans="1:26" x14ac:dyDescent="0.3">
      <c r="A13" t="s">
        <v>108</v>
      </c>
      <c r="B13" t="s">
        <v>36</v>
      </c>
      <c r="C13" t="s">
        <v>37</v>
      </c>
      <c r="E13" t="s">
        <v>109</v>
      </c>
      <c r="F13" t="s">
        <v>76</v>
      </c>
      <c r="G13" t="s">
        <v>109</v>
      </c>
    </row>
    <row r="14" spans="1:26" x14ac:dyDescent="0.3">
      <c r="A14" t="s">
        <v>110</v>
      </c>
      <c r="B14" t="s">
        <v>36</v>
      </c>
      <c r="C14" t="s">
        <v>37</v>
      </c>
      <c r="E14" t="s">
        <v>111</v>
      </c>
      <c r="F14" t="s">
        <v>76</v>
      </c>
      <c r="G14" t="s">
        <v>111</v>
      </c>
    </row>
    <row r="15" spans="1:26" x14ac:dyDescent="0.3">
      <c r="A15" t="s">
        <v>112</v>
      </c>
      <c r="B15" t="s">
        <v>36</v>
      </c>
      <c r="C15" t="s">
        <v>37</v>
      </c>
      <c r="E15" t="s">
        <v>113</v>
      </c>
      <c r="F15" t="s">
        <v>76</v>
      </c>
      <c r="G15" t="s">
        <v>113</v>
      </c>
    </row>
    <row r="16" spans="1:26" x14ac:dyDescent="0.3">
      <c r="A16" t="s">
        <v>114</v>
      </c>
      <c r="B16" t="s">
        <v>36</v>
      </c>
      <c r="C16" t="s">
        <v>37</v>
      </c>
      <c r="E16" t="s">
        <v>115</v>
      </c>
      <c r="F16" t="s">
        <v>76</v>
      </c>
      <c r="G16" t="s">
        <v>115</v>
      </c>
    </row>
    <row r="17" spans="1:7" x14ac:dyDescent="0.3">
      <c r="A17" t="s">
        <v>116</v>
      </c>
      <c r="B17" t="s">
        <v>36</v>
      </c>
      <c r="C17" t="s">
        <v>37</v>
      </c>
      <c r="E17" t="s">
        <v>117</v>
      </c>
      <c r="F17" t="s">
        <v>76</v>
      </c>
      <c r="G17" t="s">
        <v>117</v>
      </c>
    </row>
    <row r="18" spans="1:7" x14ac:dyDescent="0.3">
      <c r="A18" t="s">
        <v>118</v>
      </c>
      <c r="B18" t="s">
        <v>36</v>
      </c>
      <c r="C18" t="s">
        <v>37</v>
      </c>
      <c r="E18" t="s">
        <v>119</v>
      </c>
      <c r="F18" t="s">
        <v>98</v>
      </c>
      <c r="G18" t="s">
        <v>120</v>
      </c>
    </row>
    <row r="19" spans="1:7" x14ac:dyDescent="0.3">
      <c r="A19" t="s">
        <v>121</v>
      </c>
      <c r="B19" t="s">
        <v>36</v>
      </c>
      <c r="C19" t="s">
        <v>37</v>
      </c>
      <c r="E19" t="s">
        <v>122</v>
      </c>
      <c r="F19" t="s">
        <v>76</v>
      </c>
      <c r="G19" t="s">
        <v>122</v>
      </c>
    </row>
    <row r="20" spans="1:7" x14ac:dyDescent="0.3">
      <c r="A20" t="s">
        <v>123</v>
      </c>
      <c r="B20" t="s">
        <v>36</v>
      </c>
      <c r="C20" t="s">
        <v>37</v>
      </c>
      <c r="E20" t="s">
        <v>124</v>
      </c>
      <c r="F20" t="s">
        <v>76</v>
      </c>
      <c r="G20" t="s">
        <v>124</v>
      </c>
    </row>
    <row r="21" spans="1:7" x14ac:dyDescent="0.3">
      <c r="A21" t="s">
        <v>125</v>
      </c>
      <c r="B21" t="s">
        <v>36</v>
      </c>
      <c r="C21" t="s">
        <v>37</v>
      </c>
      <c r="E21" t="s">
        <v>126</v>
      </c>
      <c r="F21" t="s">
        <v>76</v>
      </c>
      <c r="G21" t="s">
        <v>126</v>
      </c>
    </row>
    <row r="22" spans="1:7" x14ac:dyDescent="0.3">
      <c r="A22" t="s">
        <v>127</v>
      </c>
      <c r="B22" t="s">
        <v>38</v>
      </c>
      <c r="C22" t="s">
        <v>39</v>
      </c>
      <c r="E22" t="s">
        <v>128</v>
      </c>
      <c r="F22" t="s">
        <v>76</v>
      </c>
      <c r="G22" t="s">
        <v>128</v>
      </c>
    </row>
    <row r="23" spans="1:7" x14ac:dyDescent="0.3">
      <c r="A23" t="s">
        <v>129</v>
      </c>
      <c r="B23" t="s">
        <v>38</v>
      </c>
      <c r="C23" t="s">
        <v>39</v>
      </c>
      <c r="E23" t="s">
        <v>130</v>
      </c>
      <c r="F23" t="s">
        <v>98</v>
      </c>
      <c r="G23" t="s">
        <v>131</v>
      </c>
    </row>
    <row r="24" spans="1:7" x14ac:dyDescent="0.3">
      <c r="A24" t="s">
        <v>132</v>
      </c>
      <c r="B24" t="s">
        <v>38</v>
      </c>
      <c r="C24" t="s">
        <v>39</v>
      </c>
      <c r="E24" t="s">
        <v>133</v>
      </c>
      <c r="F24" t="s">
        <v>76</v>
      </c>
      <c r="G24" t="s">
        <v>133</v>
      </c>
    </row>
    <row r="25" spans="1:7" x14ac:dyDescent="0.3">
      <c r="A25" t="s">
        <v>134</v>
      </c>
      <c r="B25" t="s">
        <v>38</v>
      </c>
      <c r="C25" t="s">
        <v>39</v>
      </c>
      <c r="E25" t="s">
        <v>135</v>
      </c>
      <c r="F25" t="s">
        <v>76</v>
      </c>
      <c r="G25" t="s">
        <v>135</v>
      </c>
    </row>
    <row r="26" spans="1:7" x14ac:dyDescent="0.3">
      <c r="A26" t="s">
        <v>136</v>
      </c>
      <c r="B26" t="s">
        <v>38</v>
      </c>
      <c r="C26" t="s">
        <v>39</v>
      </c>
      <c r="E26" t="s">
        <v>137</v>
      </c>
      <c r="F26" t="s">
        <v>76</v>
      </c>
      <c r="G26" t="s">
        <v>137</v>
      </c>
    </row>
    <row r="27" spans="1:7" x14ac:dyDescent="0.3">
      <c r="A27" t="s">
        <v>138</v>
      </c>
      <c r="B27" t="s">
        <v>38</v>
      </c>
      <c r="C27" t="s">
        <v>39</v>
      </c>
      <c r="E27" t="s">
        <v>139</v>
      </c>
      <c r="F27" t="s">
        <v>76</v>
      </c>
      <c r="G27" t="s">
        <v>139</v>
      </c>
    </row>
    <row r="28" spans="1:7" x14ac:dyDescent="0.3">
      <c r="A28" t="s">
        <v>140</v>
      </c>
      <c r="B28" t="s">
        <v>38</v>
      </c>
      <c r="C28" t="s">
        <v>39</v>
      </c>
      <c r="E28" t="s">
        <v>141</v>
      </c>
      <c r="F28" t="s">
        <v>76</v>
      </c>
      <c r="G28" t="s">
        <v>141</v>
      </c>
    </row>
    <row r="29" spans="1:7" x14ac:dyDescent="0.3">
      <c r="A29" t="s">
        <v>142</v>
      </c>
      <c r="B29" t="s">
        <v>38</v>
      </c>
      <c r="C29" t="s">
        <v>39</v>
      </c>
      <c r="E29" t="s">
        <v>143</v>
      </c>
      <c r="F29" t="s">
        <v>76</v>
      </c>
      <c r="G29" t="s">
        <v>143</v>
      </c>
    </row>
    <row r="30" spans="1:7" x14ac:dyDescent="0.3">
      <c r="A30" t="s">
        <v>144</v>
      </c>
      <c r="B30" t="s">
        <v>38</v>
      </c>
      <c r="C30" t="s">
        <v>39</v>
      </c>
      <c r="E30" t="s">
        <v>145</v>
      </c>
      <c r="F30" t="s">
        <v>76</v>
      </c>
      <c r="G30" t="s">
        <v>145</v>
      </c>
    </row>
    <row r="31" spans="1:7" x14ac:dyDescent="0.3">
      <c r="A31" t="s">
        <v>146</v>
      </c>
      <c r="B31" t="s">
        <v>38</v>
      </c>
      <c r="C31" t="s">
        <v>39</v>
      </c>
      <c r="E31" t="s">
        <v>147</v>
      </c>
      <c r="F31" t="s">
        <v>76</v>
      </c>
      <c r="G31" t="s">
        <v>147</v>
      </c>
    </row>
    <row r="32" spans="1:7" x14ac:dyDescent="0.3">
      <c r="A32" t="s">
        <v>148</v>
      </c>
      <c r="B32" t="s">
        <v>38</v>
      </c>
      <c r="C32" t="s">
        <v>39</v>
      </c>
      <c r="E32" t="s">
        <v>149</v>
      </c>
      <c r="F32" t="s">
        <v>76</v>
      </c>
      <c r="G32" t="s">
        <v>149</v>
      </c>
    </row>
    <row r="33" spans="1:7" x14ac:dyDescent="0.3">
      <c r="A33" t="s">
        <v>150</v>
      </c>
      <c r="B33" t="s">
        <v>38</v>
      </c>
      <c r="C33" t="s">
        <v>39</v>
      </c>
      <c r="E33" t="s">
        <v>151</v>
      </c>
      <c r="F33" t="s">
        <v>76</v>
      </c>
      <c r="G33" t="s">
        <v>151</v>
      </c>
    </row>
    <row r="34" spans="1:7" x14ac:dyDescent="0.3">
      <c r="A34" t="s">
        <v>152</v>
      </c>
      <c r="B34" t="s">
        <v>40</v>
      </c>
      <c r="C34" t="s">
        <v>41</v>
      </c>
      <c r="D34">
        <v>1</v>
      </c>
      <c r="E34" t="s">
        <v>153</v>
      </c>
      <c r="F34" t="s">
        <v>76</v>
      </c>
      <c r="G34" t="s">
        <v>154</v>
      </c>
    </row>
    <row r="35" spans="1:7" x14ac:dyDescent="0.3">
      <c r="A35" t="s">
        <v>155</v>
      </c>
      <c r="B35" t="s">
        <v>40</v>
      </c>
      <c r="C35" t="s">
        <v>41</v>
      </c>
      <c r="D35">
        <v>4</v>
      </c>
      <c r="E35" t="s">
        <v>156</v>
      </c>
      <c r="F35" t="s">
        <v>76</v>
      </c>
      <c r="G35" t="s">
        <v>157</v>
      </c>
    </row>
    <row r="36" spans="1:7" x14ac:dyDescent="0.3">
      <c r="A36" t="s">
        <v>158</v>
      </c>
      <c r="B36" t="s">
        <v>40</v>
      </c>
      <c r="C36" t="s">
        <v>41</v>
      </c>
      <c r="D36">
        <v>6</v>
      </c>
      <c r="E36" t="s">
        <v>159</v>
      </c>
      <c r="F36" t="s">
        <v>76</v>
      </c>
      <c r="G36" t="s">
        <v>160</v>
      </c>
    </row>
    <row r="37" spans="1:7" x14ac:dyDescent="0.3">
      <c r="A37" t="s">
        <v>161</v>
      </c>
      <c r="B37" t="s">
        <v>40</v>
      </c>
      <c r="C37" t="s">
        <v>41</v>
      </c>
      <c r="D37">
        <v>7</v>
      </c>
      <c r="E37" t="s">
        <v>162</v>
      </c>
      <c r="F37" t="s">
        <v>76</v>
      </c>
      <c r="G37" t="s">
        <v>163</v>
      </c>
    </row>
    <row r="38" spans="1:7" x14ac:dyDescent="0.3">
      <c r="A38" t="s">
        <v>164</v>
      </c>
      <c r="B38" t="s">
        <v>40</v>
      </c>
      <c r="C38" t="s">
        <v>41</v>
      </c>
      <c r="D38">
        <v>8</v>
      </c>
      <c r="E38" t="s">
        <v>165</v>
      </c>
      <c r="F38" t="s">
        <v>76</v>
      </c>
      <c r="G38" t="s">
        <v>166</v>
      </c>
    </row>
    <row r="39" spans="1:7" x14ac:dyDescent="0.3">
      <c r="A39" t="s">
        <v>167</v>
      </c>
      <c r="B39" t="s">
        <v>40</v>
      </c>
      <c r="C39" t="s">
        <v>41</v>
      </c>
      <c r="D39">
        <v>9</v>
      </c>
      <c r="E39" t="s">
        <v>168</v>
      </c>
      <c r="F39" t="s">
        <v>76</v>
      </c>
      <c r="G39" t="s">
        <v>169</v>
      </c>
    </row>
    <row r="40" spans="1:7" x14ac:dyDescent="0.3">
      <c r="A40" t="s">
        <v>170</v>
      </c>
      <c r="B40" t="s">
        <v>40</v>
      </c>
      <c r="C40" t="s">
        <v>41</v>
      </c>
      <c r="D40">
        <v>10</v>
      </c>
      <c r="E40" t="s">
        <v>171</v>
      </c>
      <c r="F40" t="s">
        <v>76</v>
      </c>
      <c r="G40" t="s">
        <v>172</v>
      </c>
    </row>
    <row r="41" spans="1:7" x14ac:dyDescent="0.3">
      <c r="A41" t="s">
        <v>173</v>
      </c>
      <c r="B41" t="s">
        <v>40</v>
      </c>
      <c r="C41" t="s">
        <v>41</v>
      </c>
      <c r="D41">
        <v>11</v>
      </c>
      <c r="E41" t="s">
        <v>174</v>
      </c>
      <c r="F41" t="s">
        <v>98</v>
      </c>
      <c r="G41" t="s">
        <v>175</v>
      </c>
    </row>
    <row r="42" spans="1:7" x14ac:dyDescent="0.3">
      <c r="A42" t="s">
        <v>176</v>
      </c>
      <c r="B42" t="s">
        <v>40</v>
      </c>
      <c r="C42" t="s">
        <v>41</v>
      </c>
      <c r="D42">
        <v>14</v>
      </c>
      <c r="E42" t="s">
        <v>177</v>
      </c>
      <c r="F42" t="s">
        <v>76</v>
      </c>
      <c r="G42" t="s">
        <v>178</v>
      </c>
    </row>
    <row r="43" spans="1:7" x14ac:dyDescent="0.3">
      <c r="A43" t="s">
        <v>179</v>
      </c>
      <c r="B43" t="s">
        <v>42</v>
      </c>
      <c r="C43" t="s">
        <v>44</v>
      </c>
      <c r="D43">
        <v>5</v>
      </c>
      <c r="E43" t="s">
        <v>180</v>
      </c>
      <c r="F43" t="s">
        <v>76</v>
      </c>
      <c r="G43" t="s">
        <v>181</v>
      </c>
    </row>
    <row r="44" spans="1:7" x14ac:dyDescent="0.3">
      <c r="A44" t="s">
        <v>182</v>
      </c>
      <c r="B44" t="s">
        <v>42</v>
      </c>
      <c r="C44" t="s">
        <v>44</v>
      </c>
      <c r="D44">
        <v>6</v>
      </c>
      <c r="E44" t="s">
        <v>183</v>
      </c>
      <c r="F44" t="s">
        <v>76</v>
      </c>
      <c r="G44" t="s">
        <v>184</v>
      </c>
    </row>
    <row r="45" spans="1:7" x14ac:dyDescent="0.3">
      <c r="A45" t="s">
        <v>185</v>
      </c>
      <c r="B45" t="s">
        <v>42</v>
      </c>
      <c r="C45" t="s">
        <v>44</v>
      </c>
      <c r="D45">
        <v>7</v>
      </c>
      <c r="E45" t="s">
        <v>186</v>
      </c>
      <c r="F45" t="s">
        <v>76</v>
      </c>
      <c r="G45" t="s">
        <v>187</v>
      </c>
    </row>
    <row r="46" spans="1:7" x14ac:dyDescent="0.3">
      <c r="A46" t="s">
        <v>188</v>
      </c>
      <c r="B46" t="s">
        <v>42</v>
      </c>
      <c r="C46" t="s">
        <v>44</v>
      </c>
      <c r="D46">
        <v>9</v>
      </c>
      <c r="E46" t="s">
        <v>189</v>
      </c>
      <c r="F46" t="s">
        <v>76</v>
      </c>
      <c r="G46" t="s">
        <v>190</v>
      </c>
    </row>
    <row r="47" spans="1:7" x14ac:dyDescent="0.3">
      <c r="A47" t="s">
        <v>191</v>
      </c>
      <c r="B47" t="s">
        <v>42</v>
      </c>
      <c r="C47" t="s">
        <v>44</v>
      </c>
      <c r="D47">
        <v>10</v>
      </c>
      <c r="E47" t="s">
        <v>192</v>
      </c>
      <c r="F47" t="s">
        <v>98</v>
      </c>
      <c r="G47" t="s">
        <v>193</v>
      </c>
    </row>
    <row r="48" spans="1:7" x14ac:dyDescent="0.3">
      <c r="A48" t="s">
        <v>194</v>
      </c>
      <c r="B48" t="s">
        <v>42</v>
      </c>
      <c r="C48" t="s">
        <v>44</v>
      </c>
      <c r="D48">
        <v>12</v>
      </c>
      <c r="E48" t="s">
        <v>195</v>
      </c>
      <c r="F48" t="s">
        <v>76</v>
      </c>
      <c r="G48" t="s">
        <v>196</v>
      </c>
    </row>
    <row r="49" spans="1:7" x14ac:dyDescent="0.3">
      <c r="A49" t="s">
        <v>197</v>
      </c>
      <c r="B49" t="s">
        <v>42</v>
      </c>
      <c r="C49" t="s">
        <v>44</v>
      </c>
      <c r="D49">
        <v>15</v>
      </c>
      <c r="E49" t="s">
        <v>198</v>
      </c>
      <c r="F49" t="s">
        <v>76</v>
      </c>
      <c r="G49" t="s">
        <v>199</v>
      </c>
    </row>
    <row r="50" spans="1:7" x14ac:dyDescent="0.3">
      <c r="A50" t="s">
        <v>200</v>
      </c>
      <c r="B50" t="s">
        <v>42</v>
      </c>
      <c r="C50" t="s">
        <v>44</v>
      </c>
      <c r="D50">
        <v>18</v>
      </c>
      <c r="E50" t="s">
        <v>201</v>
      </c>
      <c r="F50" t="s">
        <v>76</v>
      </c>
      <c r="G50" t="s">
        <v>202</v>
      </c>
    </row>
    <row r="51" spans="1:7" x14ac:dyDescent="0.3">
      <c r="A51" t="s">
        <v>203</v>
      </c>
      <c r="B51" t="s">
        <v>42</v>
      </c>
      <c r="C51" t="s">
        <v>44</v>
      </c>
      <c r="D51">
        <v>71</v>
      </c>
      <c r="E51" t="s">
        <v>204</v>
      </c>
      <c r="F51" t="s">
        <v>76</v>
      </c>
      <c r="G51" t="s">
        <v>205</v>
      </c>
    </row>
    <row r="52" spans="1:7" x14ac:dyDescent="0.3">
      <c r="A52" t="s">
        <v>206</v>
      </c>
      <c r="B52" t="s">
        <v>45</v>
      </c>
      <c r="C52" t="s">
        <v>46</v>
      </c>
      <c r="E52" t="s">
        <v>207</v>
      </c>
      <c r="F52" t="s">
        <v>76</v>
      </c>
      <c r="G52" t="s">
        <v>207</v>
      </c>
    </row>
    <row r="53" spans="1:7" x14ac:dyDescent="0.3">
      <c r="A53" t="s">
        <v>208</v>
      </c>
      <c r="B53" t="s">
        <v>45</v>
      </c>
      <c r="C53" t="s">
        <v>46</v>
      </c>
      <c r="E53" t="s">
        <v>209</v>
      </c>
      <c r="F53" t="s">
        <v>76</v>
      </c>
      <c r="G53" t="s">
        <v>209</v>
      </c>
    </row>
    <row r="54" spans="1:7" x14ac:dyDescent="0.3">
      <c r="A54" t="s">
        <v>210</v>
      </c>
      <c r="B54" t="s">
        <v>45</v>
      </c>
      <c r="C54" t="s">
        <v>46</v>
      </c>
      <c r="E54" t="s">
        <v>211</v>
      </c>
      <c r="F54" t="s">
        <v>76</v>
      </c>
      <c r="G54" t="s">
        <v>211</v>
      </c>
    </row>
    <row r="55" spans="1:7" x14ac:dyDescent="0.3">
      <c r="A55" t="s">
        <v>212</v>
      </c>
      <c r="B55" t="s">
        <v>45</v>
      </c>
      <c r="C55" t="s">
        <v>46</v>
      </c>
      <c r="E55" t="s">
        <v>213</v>
      </c>
      <c r="F55" t="s">
        <v>76</v>
      </c>
      <c r="G55" t="s">
        <v>213</v>
      </c>
    </row>
    <row r="56" spans="1:7" x14ac:dyDescent="0.3">
      <c r="A56" t="s">
        <v>214</v>
      </c>
      <c r="B56" t="s">
        <v>45</v>
      </c>
      <c r="C56" t="s">
        <v>46</v>
      </c>
      <c r="E56" t="s">
        <v>215</v>
      </c>
      <c r="F56" t="s">
        <v>76</v>
      </c>
      <c r="G56" t="s">
        <v>215</v>
      </c>
    </row>
    <row r="57" spans="1:7" x14ac:dyDescent="0.3">
      <c r="A57" t="s">
        <v>216</v>
      </c>
      <c r="B57" t="s">
        <v>45</v>
      </c>
      <c r="C57" t="s">
        <v>46</v>
      </c>
      <c r="E57" t="s">
        <v>217</v>
      </c>
      <c r="F57" t="s">
        <v>76</v>
      </c>
      <c r="G57" t="s">
        <v>217</v>
      </c>
    </row>
    <row r="58" spans="1:7" x14ac:dyDescent="0.3">
      <c r="A58" t="s">
        <v>218</v>
      </c>
      <c r="B58" t="s">
        <v>45</v>
      </c>
      <c r="C58" t="s">
        <v>46</v>
      </c>
      <c r="E58" t="s">
        <v>219</v>
      </c>
      <c r="F58" t="s">
        <v>76</v>
      </c>
      <c r="G58" t="s">
        <v>219</v>
      </c>
    </row>
    <row r="59" spans="1:7" x14ac:dyDescent="0.3">
      <c r="A59" t="s">
        <v>220</v>
      </c>
      <c r="B59" t="s">
        <v>45</v>
      </c>
      <c r="C59" t="s">
        <v>46</v>
      </c>
      <c r="E59" t="s">
        <v>221</v>
      </c>
      <c r="F59" t="s">
        <v>76</v>
      </c>
      <c r="G59" t="s">
        <v>221</v>
      </c>
    </row>
    <row r="60" spans="1:7" x14ac:dyDescent="0.3">
      <c r="A60" t="s">
        <v>222</v>
      </c>
      <c r="B60" t="s">
        <v>45</v>
      </c>
      <c r="C60" t="s">
        <v>46</v>
      </c>
      <c r="E60" t="s">
        <v>223</v>
      </c>
      <c r="F60" t="s">
        <v>76</v>
      </c>
      <c r="G60" t="s">
        <v>223</v>
      </c>
    </row>
    <row r="61" spans="1:7" x14ac:dyDescent="0.3">
      <c r="A61" t="s">
        <v>224</v>
      </c>
      <c r="B61" t="s">
        <v>45</v>
      </c>
      <c r="C61" t="s">
        <v>46</v>
      </c>
      <c r="E61" t="s">
        <v>225</v>
      </c>
      <c r="F61" t="s">
        <v>98</v>
      </c>
      <c r="G61" t="s">
        <v>226</v>
      </c>
    </row>
    <row r="62" spans="1:7" x14ac:dyDescent="0.3">
      <c r="A62" t="s">
        <v>227</v>
      </c>
      <c r="B62" t="s">
        <v>45</v>
      </c>
      <c r="C62" t="s">
        <v>46</v>
      </c>
      <c r="E62" t="s">
        <v>228</v>
      </c>
      <c r="F62" t="s">
        <v>76</v>
      </c>
      <c r="G62" t="s">
        <v>228</v>
      </c>
    </row>
    <row r="63" spans="1:7" x14ac:dyDescent="0.3">
      <c r="A63" t="s">
        <v>229</v>
      </c>
      <c r="B63" t="s">
        <v>47</v>
      </c>
      <c r="C63" t="s">
        <v>48</v>
      </c>
      <c r="D63">
        <v>1</v>
      </c>
      <c r="E63" t="s">
        <v>230</v>
      </c>
      <c r="F63" t="s">
        <v>76</v>
      </c>
      <c r="G63" t="s">
        <v>231</v>
      </c>
    </row>
    <row r="64" spans="1:7" x14ac:dyDescent="0.3">
      <c r="A64" t="s">
        <v>232</v>
      </c>
      <c r="B64" t="s">
        <v>47</v>
      </c>
      <c r="C64" t="s">
        <v>48</v>
      </c>
      <c r="D64">
        <v>2</v>
      </c>
      <c r="E64" t="s">
        <v>233</v>
      </c>
      <c r="F64" t="s">
        <v>76</v>
      </c>
      <c r="G64" t="s">
        <v>234</v>
      </c>
    </row>
    <row r="65" spans="1:7" x14ac:dyDescent="0.3">
      <c r="A65" t="s">
        <v>235</v>
      </c>
      <c r="B65" t="s">
        <v>47</v>
      </c>
      <c r="C65" t="s">
        <v>48</v>
      </c>
      <c r="D65">
        <v>5</v>
      </c>
      <c r="E65" t="s">
        <v>236</v>
      </c>
      <c r="F65" t="s">
        <v>76</v>
      </c>
      <c r="G65" t="s">
        <v>237</v>
      </c>
    </row>
    <row r="66" spans="1:7" x14ac:dyDescent="0.3">
      <c r="A66" t="s">
        <v>238</v>
      </c>
      <c r="B66" t="s">
        <v>47</v>
      </c>
      <c r="C66" t="s">
        <v>48</v>
      </c>
      <c r="D66">
        <v>7</v>
      </c>
      <c r="E66" t="s">
        <v>239</v>
      </c>
      <c r="F66" t="s">
        <v>76</v>
      </c>
      <c r="G66" t="s">
        <v>240</v>
      </c>
    </row>
    <row r="67" spans="1:7" x14ac:dyDescent="0.3">
      <c r="A67" t="s">
        <v>241</v>
      </c>
      <c r="B67" t="s">
        <v>47</v>
      </c>
      <c r="C67" t="s">
        <v>48</v>
      </c>
      <c r="D67">
        <v>8</v>
      </c>
      <c r="E67" t="s">
        <v>242</v>
      </c>
      <c r="F67" t="s">
        <v>98</v>
      </c>
      <c r="G67" t="s">
        <v>243</v>
      </c>
    </row>
    <row r="68" spans="1:7" x14ac:dyDescent="0.3">
      <c r="A68" t="s">
        <v>244</v>
      </c>
      <c r="B68" t="s">
        <v>47</v>
      </c>
      <c r="C68" t="s">
        <v>48</v>
      </c>
      <c r="D68">
        <v>9</v>
      </c>
      <c r="E68" t="s">
        <v>245</v>
      </c>
      <c r="F68" t="s">
        <v>76</v>
      </c>
      <c r="G68" t="s">
        <v>246</v>
      </c>
    </row>
    <row r="69" spans="1:7" x14ac:dyDescent="0.3">
      <c r="A69" t="s">
        <v>247</v>
      </c>
      <c r="B69" t="s">
        <v>47</v>
      </c>
      <c r="C69" t="s">
        <v>48</v>
      </c>
      <c r="D69">
        <v>10</v>
      </c>
      <c r="E69" t="s">
        <v>248</v>
      </c>
      <c r="F69" t="s">
        <v>76</v>
      </c>
      <c r="G69" t="s">
        <v>249</v>
      </c>
    </row>
    <row r="70" spans="1:7" x14ac:dyDescent="0.3">
      <c r="A70" t="s">
        <v>250</v>
      </c>
      <c r="B70" t="s">
        <v>47</v>
      </c>
      <c r="C70" t="s">
        <v>48</v>
      </c>
      <c r="D70">
        <v>11</v>
      </c>
      <c r="E70" t="s">
        <v>251</v>
      </c>
      <c r="F70" t="s">
        <v>76</v>
      </c>
      <c r="G70" t="s">
        <v>252</v>
      </c>
    </row>
    <row r="71" spans="1:7" x14ac:dyDescent="0.3">
      <c r="A71" t="s">
        <v>253</v>
      </c>
      <c r="B71" t="s">
        <v>47</v>
      </c>
      <c r="C71" t="s">
        <v>48</v>
      </c>
      <c r="D71">
        <v>13</v>
      </c>
      <c r="E71" t="s">
        <v>254</v>
      </c>
      <c r="F71" t="s">
        <v>76</v>
      </c>
      <c r="G71" t="s">
        <v>255</v>
      </c>
    </row>
    <row r="72" spans="1:7" x14ac:dyDescent="0.3">
      <c r="A72" t="s">
        <v>256</v>
      </c>
      <c r="B72" t="s">
        <v>47</v>
      </c>
      <c r="C72" t="s">
        <v>48</v>
      </c>
      <c r="D72">
        <v>14</v>
      </c>
      <c r="E72" t="s">
        <v>257</v>
      </c>
      <c r="F72" t="s">
        <v>76</v>
      </c>
      <c r="G72" t="s">
        <v>258</v>
      </c>
    </row>
    <row r="73" spans="1:7" x14ac:dyDescent="0.3">
      <c r="A73" t="s">
        <v>259</v>
      </c>
      <c r="B73" t="s">
        <v>47</v>
      </c>
      <c r="C73" t="s">
        <v>48</v>
      </c>
      <c r="D73">
        <v>20</v>
      </c>
      <c r="E73" t="s">
        <v>260</v>
      </c>
      <c r="F73" t="s">
        <v>76</v>
      </c>
      <c r="G73" t="s">
        <v>261</v>
      </c>
    </row>
    <row r="74" spans="1:7" x14ac:dyDescent="0.3">
      <c r="A74" t="s">
        <v>262</v>
      </c>
      <c r="B74" t="s">
        <v>49</v>
      </c>
      <c r="C74" t="s">
        <v>50</v>
      </c>
      <c r="D74">
        <v>4</v>
      </c>
      <c r="E74" t="s">
        <v>263</v>
      </c>
      <c r="F74" t="s">
        <v>76</v>
      </c>
      <c r="G74" t="s">
        <v>264</v>
      </c>
    </row>
    <row r="75" spans="1:7" x14ac:dyDescent="0.3">
      <c r="A75" t="s">
        <v>265</v>
      </c>
      <c r="B75" t="s">
        <v>49</v>
      </c>
      <c r="C75" t="s">
        <v>50</v>
      </c>
      <c r="D75">
        <v>10</v>
      </c>
      <c r="E75" t="s">
        <v>266</v>
      </c>
      <c r="F75" t="s">
        <v>98</v>
      </c>
      <c r="G75" t="s">
        <v>267</v>
      </c>
    </row>
    <row r="76" spans="1:7" x14ac:dyDescent="0.3">
      <c r="A76" t="s">
        <v>268</v>
      </c>
      <c r="B76" t="s">
        <v>49</v>
      </c>
      <c r="C76" t="s">
        <v>50</v>
      </c>
      <c r="D76">
        <v>11</v>
      </c>
      <c r="E76" t="s">
        <v>269</v>
      </c>
      <c r="F76" t="s">
        <v>76</v>
      </c>
      <c r="G76" t="s">
        <v>270</v>
      </c>
    </row>
    <row r="77" spans="1:7" x14ac:dyDescent="0.3">
      <c r="A77" t="s">
        <v>271</v>
      </c>
      <c r="B77" t="s">
        <v>49</v>
      </c>
      <c r="C77" t="s">
        <v>50</v>
      </c>
      <c r="D77">
        <v>14</v>
      </c>
      <c r="E77" t="s">
        <v>272</v>
      </c>
      <c r="F77" t="s">
        <v>76</v>
      </c>
      <c r="G77" t="s">
        <v>273</v>
      </c>
    </row>
    <row r="78" spans="1:7" x14ac:dyDescent="0.3">
      <c r="A78" t="s">
        <v>274</v>
      </c>
      <c r="B78" t="s">
        <v>49</v>
      </c>
      <c r="C78" t="s">
        <v>50</v>
      </c>
      <c r="D78">
        <v>19</v>
      </c>
      <c r="E78" t="s">
        <v>275</v>
      </c>
      <c r="F78" t="s">
        <v>76</v>
      </c>
      <c r="G78" t="s">
        <v>276</v>
      </c>
    </row>
    <row r="79" spans="1:7" x14ac:dyDescent="0.3">
      <c r="A79" t="s">
        <v>277</v>
      </c>
      <c r="B79" t="s">
        <v>49</v>
      </c>
      <c r="C79" t="s">
        <v>50</v>
      </c>
      <c r="D79">
        <v>21</v>
      </c>
      <c r="E79" t="s">
        <v>278</v>
      </c>
      <c r="F79" t="s">
        <v>76</v>
      </c>
      <c r="G79" t="s">
        <v>279</v>
      </c>
    </row>
    <row r="80" spans="1:7" x14ac:dyDescent="0.3">
      <c r="A80" t="s">
        <v>280</v>
      </c>
      <c r="B80" t="s">
        <v>51</v>
      </c>
      <c r="C80" t="s">
        <v>53</v>
      </c>
      <c r="D80">
        <v>1</v>
      </c>
      <c r="E80" t="s">
        <v>281</v>
      </c>
      <c r="F80" t="s">
        <v>76</v>
      </c>
      <c r="G80" t="s">
        <v>282</v>
      </c>
    </row>
    <row r="81" spans="1:7" x14ac:dyDescent="0.3">
      <c r="A81" t="s">
        <v>283</v>
      </c>
      <c r="B81" t="s">
        <v>51</v>
      </c>
      <c r="C81" t="s">
        <v>53</v>
      </c>
      <c r="D81">
        <v>3</v>
      </c>
      <c r="E81" t="s">
        <v>284</v>
      </c>
      <c r="F81" t="s">
        <v>76</v>
      </c>
      <c r="G81" t="s">
        <v>285</v>
      </c>
    </row>
    <row r="82" spans="1:7" x14ac:dyDescent="0.3">
      <c r="A82" t="s">
        <v>286</v>
      </c>
      <c r="B82" t="s">
        <v>51</v>
      </c>
      <c r="C82" t="s">
        <v>53</v>
      </c>
      <c r="D82">
        <v>4</v>
      </c>
      <c r="E82" t="s">
        <v>287</v>
      </c>
      <c r="F82" t="s">
        <v>98</v>
      </c>
      <c r="G82" t="s">
        <v>288</v>
      </c>
    </row>
    <row r="83" spans="1:7" x14ac:dyDescent="0.3">
      <c r="A83" t="s">
        <v>289</v>
      </c>
      <c r="B83" t="s">
        <v>51</v>
      </c>
      <c r="C83" t="s">
        <v>53</v>
      </c>
      <c r="D83">
        <v>5</v>
      </c>
      <c r="E83" t="s">
        <v>290</v>
      </c>
      <c r="F83" t="s">
        <v>76</v>
      </c>
      <c r="G83" t="s">
        <v>291</v>
      </c>
    </row>
    <row r="84" spans="1:7" x14ac:dyDescent="0.3">
      <c r="A84" t="s">
        <v>292</v>
      </c>
      <c r="B84" t="s">
        <v>51</v>
      </c>
      <c r="C84" t="s">
        <v>53</v>
      </c>
      <c r="D84">
        <v>6</v>
      </c>
      <c r="E84" t="s">
        <v>293</v>
      </c>
      <c r="F84" t="s">
        <v>76</v>
      </c>
      <c r="G84" t="s">
        <v>294</v>
      </c>
    </row>
    <row r="85" spans="1:7" x14ac:dyDescent="0.3">
      <c r="A85" t="s">
        <v>295</v>
      </c>
      <c r="B85" t="s">
        <v>51</v>
      </c>
      <c r="C85" t="s">
        <v>53</v>
      </c>
      <c r="D85">
        <v>8</v>
      </c>
      <c r="E85" t="s">
        <v>296</v>
      </c>
      <c r="F85" t="s">
        <v>76</v>
      </c>
      <c r="G85" t="s">
        <v>297</v>
      </c>
    </row>
    <row r="86" spans="1:7" x14ac:dyDescent="0.3">
      <c r="A86" t="s">
        <v>298</v>
      </c>
      <c r="B86" t="s">
        <v>51</v>
      </c>
      <c r="C86" t="s">
        <v>53</v>
      </c>
      <c r="D86">
        <v>10</v>
      </c>
      <c r="E86" t="s">
        <v>299</v>
      </c>
      <c r="F86" t="s">
        <v>76</v>
      </c>
      <c r="G86" t="s">
        <v>300</v>
      </c>
    </row>
    <row r="87" spans="1:7" x14ac:dyDescent="0.3">
      <c r="A87" t="s">
        <v>301</v>
      </c>
      <c r="B87" t="s">
        <v>51</v>
      </c>
      <c r="C87" t="s">
        <v>53</v>
      </c>
      <c r="D87">
        <v>14</v>
      </c>
      <c r="E87" t="s">
        <v>302</v>
      </c>
      <c r="F87" t="s">
        <v>76</v>
      </c>
      <c r="G87" t="s">
        <v>303</v>
      </c>
    </row>
    <row r="88" spans="1:7" x14ac:dyDescent="0.3">
      <c r="A88" t="s">
        <v>304</v>
      </c>
      <c r="B88" t="s">
        <v>54</v>
      </c>
      <c r="C88" t="s">
        <v>55</v>
      </c>
      <c r="D88">
        <v>4</v>
      </c>
      <c r="E88" t="s">
        <v>305</v>
      </c>
      <c r="F88" t="s">
        <v>76</v>
      </c>
      <c r="G88" t="s">
        <v>306</v>
      </c>
    </row>
    <row r="89" spans="1:7" x14ac:dyDescent="0.3">
      <c r="A89" t="s">
        <v>307</v>
      </c>
      <c r="B89" t="s">
        <v>54</v>
      </c>
      <c r="C89" t="s">
        <v>55</v>
      </c>
      <c r="D89">
        <v>7</v>
      </c>
      <c r="E89" t="s">
        <v>308</v>
      </c>
      <c r="F89" t="s">
        <v>76</v>
      </c>
      <c r="G89" t="s">
        <v>309</v>
      </c>
    </row>
    <row r="90" spans="1:7" x14ac:dyDescent="0.3">
      <c r="A90" t="s">
        <v>310</v>
      </c>
      <c r="B90" t="s">
        <v>54</v>
      </c>
      <c r="C90" t="s">
        <v>55</v>
      </c>
      <c r="D90">
        <v>9</v>
      </c>
      <c r="E90" t="s">
        <v>311</v>
      </c>
      <c r="F90" t="s">
        <v>76</v>
      </c>
      <c r="G90" t="s">
        <v>312</v>
      </c>
    </row>
    <row r="91" spans="1:7" x14ac:dyDescent="0.3">
      <c r="A91" t="s">
        <v>313</v>
      </c>
      <c r="B91" t="s">
        <v>54</v>
      </c>
      <c r="C91" t="s">
        <v>55</v>
      </c>
      <c r="D91">
        <v>10</v>
      </c>
      <c r="E91" t="s">
        <v>314</v>
      </c>
      <c r="F91" t="s">
        <v>76</v>
      </c>
      <c r="G91" t="s">
        <v>315</v>
      </c>
    </row>
    <row r="92" spans="1:7" x14ac:dyDescent="0.3">
      <c r="A92" t="s">
        <v>316</v>
      </c>
      <c r="B92" t="s">
        <v>54</v>
      </c>
      <c r="C92" t="s">
        <v>55</v>
      </c>
      <c r="D92">
        <v>15</v>
      </c>
      <c r="E92" t="s">
        <v>317</v>
      </c>
      <c r="F92" t="s">
        <v>76</v>
      </c>
      <c r="G92" t="s">
        <v>318</v>
      </c>
    </row>
    <row r="93" spans="1:7" x14ac:dyDescent="0.3">
      <c r="A93" t="s">
        <v>319</v>
      </c>
      <c r="B93" t="s">
        <v>54</v>
      </c>
      <c r="C93" t="s">
        <v>55</v>
      </c>
      <c r="D93">
        <v>19</v>
      </c>
      <c r="E93" t="s">
        <v>320</v>
      </c>
      <c r="F93" t="s">
        <v>76</v>
      </c>
      <c r="G93" t="s">
        <v>321</v>
      </c>
    </row>
    <row r="94" spans="1:7" x14ac:dyDescent="0.3">
      <c r="A94" t="s">
        <v>322</v>
      </c>
      <c r="B94" t="s">
        <v>54</v>
      </c>
      <c r="C94" t="s">
        <v>55</v>
      </c>
      <c r="D94">
        <v>21</v>
      </c>
      <c r="E94" t="s">
        <v>323</v>
      </c>
      <c r="F94" t="s">
        <v>76</v>
      </c>
      <c r="G94" t="s">
        <v>324</v>
      </c>
    </row>
    <row r="95" spans="1:7" x14ac:dyDescent="0.3">
      <c r="A95" t="s">
        <v>325</v>
      </c>
      <c r="B95" t="s">
        <v>54</v>
      </c>
      <c r="C95" t="s">
        <v>55</v>
      </c>
      <c r="D95">
        <v>29</v>
      </c>
      <c r="E95" t="s">
        <v>326</v>
      </c>
      <c r="F95" t="s">
        <v>76</v>
      </c>
      <c r="G95" t="s">
        <v>327</v>
      </c>
    </row>
    <row r="96" spans="1:7" x14ac:dyDescent="0.3">
      <c r="A96" t="s">
        <v>328</v>
      </c>
      <c r="B96" t="s">
        <v>54</v>
      </c>
      <c r="C96" t="s">
        <v>55</v>
      </c>
      <c r="D96">
        <v>63</v>
      </c>
      <c r="E96" t="s">
        <v>329</v>
      </c>
      <c r="F96" t="s">
        <v>98</v>
      </c>
      <c r="G96" t="s">
        <v>330</v>
      </c>
    </row>
    <row r="97" spans="1:7" x14ac:dyDescent="0.3">
      <c r="A97" t="s">
        <v>331</v>
      </c>
      <c r="B97" t="s">
        <v>54</v>
      </c>
      <c r="C97" t="s">
        <v>55</v>
      </c>
      <c r="D97">
        <v>95</v>
      </c>
      <c r="E97" t="s">
        <v>332</v>
      </c>
      <c r="F97" t="s">
        <v>76</v>
      </c>
      <c r="G97" t="s">
        <v>333</v>
      </c>
    </row>
    <row r="98" spans="1:7" x14ac:dyDescent="0.3">
      <c r="A98" t="s">
        <v>334</v>
      </c>
      <c r="B98" t="s">
        <v>56</v>
      </c>
      <c r="C98" t="s">
        <v>57</v>
      </c>
      <c r="D98">
        <v>1</v>
      </c>
      <c r="E98" t="s">
        <v>335</v>
      </c>
      <c r="F98" t="s">
        <v>76</v>
      </c>
      <c r="G98" t="s">
        <v>336</v>
      </c>
    </row>
    <row r="99" spans="1:7" x14ac:dyDescent="0.3">
      <c r="A99" t="s">
        <v>337</v>
      </c>
      <c r="B99" t="s">
        <v>56</v>
      </c>
      <c r="C99" t="s">
        <v>57</v>
      </c>
      <c r="D99">
        <v>2</v>
      </c>
      <c r="E99" t="s">
        <v>338</v>
      </c>
      <c r="F99" t="s">
        <v>76</v>
      </c>
      <c r="G99" t="s">
        <v>339</v>
      </c>
    </row>
    <row r="100" spans="1:7" x14ac:dyDescent="0.3">
      <c r="A100" t="s">
        <v>340</v>
      </c>
      <c r="B100" t="s">
        <v>56</v>
      </c>
      <c r="C100" t="s">
        <v>57</v>
      </c>
      <c r="D100">
        <v>7</v>
      </c>
      <c r="E100" t="s">
        <v>341</v>
      </c>
      <c r="F100" t="s">
        <v>76</v>
      </c>
      <c r="G100" t="s">
        <v>342</v>
      </c>
    </row>
    <row r="101" spans="1:7" x14ac:dyDescent="0.3">
      <c r="A101" t="s">
        <v>343</v>
      </c>
      <c r="B101" t="s">
        <v>56</v>
      </c>
      <c r="C101" t="s">
        <v>57</v>
      </c>
      <c r="D101">
        <v>8</v>
      </c>
      <c r="E101" t="s">
        <v>344</v>
      </c>
      <c r="F101" t="s">
        <v>76</v>
      </c>
      <c r="G101" t="s">
        <v>345</v>
      </c>
    </row>
    <row r="102" spans="1:7" x14ac:dyDescent="0.3">
      <c r="A102" t="s">
        <v>346</v>
      </c>
      <c r="B102" t="s">
        <v>56</v>
      </c>
      <c r="C102" t="s">
        <v>57</v>
      </c>
      <c r="D102">
        <v>9</v>
      </c>
      <c r="E102" t="s">
        <v>347</v>
      </c>
      <c r="F102" t="s">
        <v>76</v>
      </c>
      <c r="G102" t="s">
        <v>348</v>
      </c>
    </row>
    <row r="103" spans="1:7" x14ac:dyDescent="0.3">
      <c r="A103" t="s">
        <v>349</v>
      </c>
      <c r="B103" t="s">
        <v>56</v>
      </c>
      <c r="C103" t="s">
        <v>57</v>
      </c>
      <c r="D103">
        <v>10</v>
      </c>
      <c r="E103" t="s">
        <v>350</v>
      </c>
      <c r="F103" t="s">
        <v>98</v>
      </c>
      <c r="G103" t="s">
        <v>351</v>
      </c>
    </row>
    <row r="104" spans="1:7" x14ac:dyDescent="0.3">
      <c r="A104" t="s">
        <v>352</v>
      </c>
      <c r="B104" t="s">
        <v>56</v>
      </c>
      <c r="C104" t="s">
        <v>57</v>
      </c>
      <c r="D104">
        <v>11</v>
      </c>
      <c r="E104" t="s">
        <v>353</v>
      </c>
      <c r="F104" t="s">
        <v>76</v>
      </c>
      <c r="G104" t="s">
        <v>354</v>
      </c>
    </row>
    <row r="105" spans="1:7" x14ac:dyDescent="0.3">
      <c r="A105" t="s">
        <v>355</v>
      </c>
      <c r="B105" t="s">
        <v>56</v>
      </c>
      <c r="C105" t="s">
        <v>57</v>
      </c>
      <c r="D105">
        <v>14</v>
      </c>
      <c r="E105" t="s">
        <v>356</v>
      </c>
      <c r="F105" t="s">
        <v>76</v>
      </c>
      <c r="G105" t="s">
        <v>357</v>
      </c>
    </row>
    <row r="106" spans="1:7" x14ac:dyDescent="0.3">
      <c r="A106" t="s">
        <v>358</v>
      </c>
      <c r="B106" t="s">
        <v>56</v>
      </c>
      <c r="C106" t="s">
        <v>57</v>
      </c>
      <c r="D106">
        <v>18</v>
      </c>
      <c r="E106" t="s">
        <v>359</v>
      </c>
      <c r="F106" t="s">
        <v>76</v>
      </c>
      <c r="G106" t="s">
        <v>360</v>
      </c>
    </row>
    <row r="107" spans="1:7" x14ac:dyDescent="0.3">
      <c r="A107" t="s">
        <v>361</v>
      </c>
      <c r="B107" t="s">
        <v>56</v>
      </c>
      <c r="C107" t="s">
        <v>57</v>
      </c>
      <c r="D107">
        <v>20</v>
      </c>
      <c r="E107" t="s">
        <v>362</v>
      </c>
      <c r="F107" t="s">
        <v>76</v>
      </c>
      <c r="G107" t="s">
        <v>363</v>
      </c>
    </row>
    <row r="108" spans="1:7" x14ac:dyDescent="0.3">
      <c r="A108" t="s">
        <v>364</v>
      </c>
      <c r="B108" t="s">
        <v>58</v>
      </c>
      <c r="C108" t="s">
        <v>59</v>
      </c>
      <c r="D108">
        <v>4</v>
      </c>
      <c r="E108" t="s">
        <v>365</v>
      </c>
      <c r="F108" t="s">
        <v>76</v>
      </c>
      <c r="G108" t="s">
        <v>366</v>
      </c>
    </row>
    <row r="109" spans="1:7" x14ac:dyDescent="0.3">
      <c r="A109" t="s">
        <v>367</v>
      </c>
      <c r="B109" t="s">
        <v>58</v>
      </c>
      <c r="C109" t="s">
        <v>59</v>
      </c>
      <c r="D109">
        <v>5</v>
      </c>
      <c r="E109" t="s">
        <v>368</v>
      </c>
      <c r="F109" t="s">
        <v>76</v>
      </c>
      <c r="G109" t="s">
        <v>369</v>
      </c>
    </row>
    <row r="110" spans="1:7" x14ac:dyDescent="0.3">
      <c r="A110" t="s">
        <v>370</v>
      </c>
      <c r="B110" t="s">
        <v>58</v>
      </c>
      <c r="C110" t="s">
        <v>59</v>
      </c>
      <c r="D110">
        <v>7</v>
      </c>
      <c r="E110" t="s">
        <v>371</v>
      </c>
      <c r="F110" t="s">
        <v>76</v>
      </c>
      <c r="G110" t="s">
        <v>372</v>
      </c>
    </row>
    <row r="111" spans="1:7" x14ac:dyDescent="0.3">
      <c r="A111" t="s">
        <v>373</v>
      </c>
      <c r="B111" t="s">
        <v>58</v>
      </c>
      <c r="C111" t="s">
        <v>59</v>
      </c>
      <c r="D111">
        <v>8</v>
      </c>
      <c r="E111" t="s">
        <v>374</v>
      </c>
      <c r="F111" t="s">
        <v>76</v>
      </c>
      <c r="G111" t="s">
        <v>375</v>
      </c>
    </row>
    <row r="112" spans="1:7" x14ac:dyDescent="0.3">
      <c r="A112" t="s">
        <v>376</v>
      </c>
      <c r="B112" t="s">
        <v>58</v>
      </c>
      <c r="C112" t="s">
        <v>59</v>
      </c>
      <c r="D112">
        <v>10</v>
      </c>
      <c r="E112" t="s">
        <v>377</v>
      </c>
      <c r="F112" t="s">
        <v>98</v>
      </c>
      <c r="G112" t="s">
        <v>378</v>
      </c>
    </row>
    <row r="113" spans="1:7" x14ac:dyDescent="0.3">
      <c r="A113" t="s">
        <v>379</v>
      </c>
      <c r="B113" t="s">
        <v>58</v>
      </c>
      <c r="C113" t="s">
        <v>59</v>
      </c>
      <c r="D113">
        <v>11</v>
      </c>
      <c r="E113" t="s">
        <v>380</v>
      </c>
      <c r="F113" t="s">
        <v>76</v>
      </c>
      <c r="G113" t="s">
        <v>381</v>
      </c>
    </row>
    <row r="114" spans="1:7" x14ac:dyDescent="0.3">
      <c r="A114" t="s">
        <v>382</v>
      </c>
      <c r="B114" t="s">
        <v>58</v>
      </c>
      <c r="C114" t="s">
        <v>59</v>
      </c>
      <c r="D114">
        <v>19</v>
      </c>
      <c r="E114" t="s">
        <v>383</v>
      </c>
      <c r="F114" t="s">
        <v>76</v>
      </c>
      <c r="G114" t="s">
        <v>384</v>
      </c>
    </row>
    <row r="115" spans="1:7" x14ac:dyDescent="0.3">
      <c r="A115" t="s">
        <v>385</v>
      </c>
      <c r="B115" t="s">
        <v>58</v>
      </c>
      <c r="C115" t="s">
        <v>59</v>
      </c>
      <c r="D115">
        <v>22</v>
      </c>
      <c r="E115" t="s">
        <v>386</v>
      </c>
      <c r="F115" t="s">
        <v>76</v>
      </c>
      <c r="G115" t="s">
        <v>387</v>
      </c>
    </row>
    <row r="116" spans="1:7" x14ac:dyDescent="0.3">
      <c r="A116" t="s">
        <v>388</v>
      </c>
      <c r="B116" t="s">
        <v>58</v>
      </c>
      <c r="C116" t="s">
        <v>59</v>
      </c>
      <c r="D116">
        <v>45</v>
      </c>
      <c r="E116" t="s">
        <v>389</v>
      </c>
      <c r="F116" t="s">
        <v>76</v>
      </c>
      <c r="G116" t="s">
        <v>390</v>
      </c>
    </row>
    <row r="117" spans="1:7" x14ac:dyDescent="0.3">
      <c r="A117" t="s">
        <v>391</v>
      </c>
      <c r="B117" t="s">
        <v>58</v>
      </c>
      <c r="C117" t="s">
        <v>59</v>
      </c>
      <c r="D117">
        <v>67</v>
      </c>
      <c r="E117" t="s">
        <v>392</v>
      </c>
      <c r="F117" t="s">
        <v>76</v>
      </c>
      <c r="G117" t="s">
        <v>393</v>
      </c>
    </row>
    <row r="118" spans="1:7" x14ac:dyDescent="0.3">
      <c r="A118" t="s">
        <v>394</v>
      </c>
      <c r="B118" t="s">
        <v>60</v>
      </c>
      <c r="C118" t="s">
        <v>62</v>
      </c>
      <c r="D118">
        <v>1</v>
      </c>
      <c r="E118" t="s">
        <v>395</v>
      </c>
      <c r="F118" t="s">
        <v>76</v>
      </c>
      <c r="G118" t="s">
        <v>396</v>
      </c>
    </row>
    <row r="119" spans="1:7" x14ac:dyDescent="0.3">
      <c r="A119" t="s">
        <v>397</v>
      </c>
      <c r="B119" t="s">
        <v>60</v>
      </c>
      <c r="C119" t="s">
        <v>62</v>
      </c>
      <c r="D119">
        <v>3</v>
      </c>
      <c r="E119" t="s">
        <v>398</v>
      </c>
      <c r="F119" t="s">
        <v>76</v>
      </c>
      <c r="G119" t="s">
        <v>399</v>
      </c>
    </row>
    <row r="120" spans="1:7" x14ac:dyDescent="0.3">
      <c r="A120" t="s">
        <v>400</v>
      </c>
      <c r="B120" t="s">
        <v>60</v>
      </c>
      <c r="C120" t="s">
        <v>62</v>
      </c>
      <c r="D120">
        <v>4</v>
      </c>
      <c r="E120" t="s">
        <v>401</v>
      </c>
      <c r="F120" t="s">
        <v>76</v>
      </c>
      <c r="G120" t="s">
        <v>402</v>
      </c>
    </row>
    <row r="121" spans="1:7" x14ac:dyDescent="0.3">
      <c r="A121" t="s">
        <v>403</v>
      </c>
      <c r="B121" t="s">
        <v>60</v>
      </c>
      <c r="C121" t="s">
        <v>62</v>
      </c>
      <c r="D121">
        <v>5</v>
      </c>
      <c r="E121" t="s">
        <v>404</v>
      </c>
      <c r="F121" t="s">
        <v>76</v>
      </c>
      <c r="G121" t="s">
        <v>405</v>
      </c>
    </row>
    <row r="122" spans="1:7" x14ac:dyDescent="0.3">
      <c r="A122" t="s">
        <v>406</v>
      </c>
      <c r="B122" t="s">
        <v>60</v>
      </c>
      <c r="C122" t="s">
        <v>62</v>
      </c>
      <c r="D122">
        <v>6</v>
      </c>
      <c r="E122" t="s">
        <v>407</v>
      </c>
      <c r="F122" t="s">
        <v>76</v>
      </c>
      <c r="G122" t="s">
        <v>408</v>
      </c>
    </row>
    <row r="123" spans="1:7" x14ac:dyDescent="0.3">
      <c r="A123" t="s">
        <v>409</v>
      </c>
      <c r="B123" t="s">
        <v>60</v>
      </c>
      <c r="C123" t="s">
        <v>62</v>
      </c>
      <c r="D123">
        <v>7</v>
      </c>
      <c r="E123" t="s">
        <v>410</v>
      </c>
      <c r="F123" t="s">
        <v>76</v>
      </c>
      <c r="G123" t="s">
        <v>411</v>
      </c>
    </row>
    <row r="124" spans="1:7" x14ac:dyDescent="0.3">
      <c r="A124" t="s">
        <v>412</v>
      </c>
      <c r="B124" t="s">
        <v>60</v>
      </c>
      <c r="C124" t="s">
        <v>62</v>
      </c>
      <c r="D124">
        <v>8</v>
      </c>
      <c r="E124" t="s">
        <v>413</v>
      </c>
      <c r="F124" t="s">
        <v>76</v>
      </c>
      <c r="G124" t="s">
        <v>414</v>
      </c>
    </row>
    <row r="125" spans="1:7" x14ac:dyDescent="0.3">
      <c r="A125" t="s">
        <v>415</v>
      </c>
      <c r="B125" t="s">
        <v>60</v>
      </c>
      <c r="C125" t="s">
        <v>62</v>
      </c>
      <c r="D125">
        <v>9</v>
      </c>
      <c r="E125" t="s">
        <v>416</v>
      </c>
      <c r="F125" t="s">
        <v>76</v>
      </c>
      <c r="G125" t="s">
        <v>417</v>
      </c>
    </row>
    <row r="126" spans="1:7" x14ac:dyDescent="0.3">
      <c r="A126" t="s">
        <v>418</v>
      </c>
      <c r="B126" t="s">
        <v>60</v>
      </c>
      <c r="C126" t="s">
        <v>62</v>
      </c>
      <c r="D126">
        <v>10</v>
      </c>
      <c r="E126" t="s">
        <v>419</v>
      </c>
      <c r="F126" t="s">
        <v>76</v>
      </c>
      <c r="G126" t="s">
        <v>420</v>
      </c>
    </row>
    <row r="127" spans="1:7" x14ac:dyDescent="0.3">
      <c r="A127" t="s">
        <v>421</v>
      </c>
      <c r="B127" t="s">
        <v>60</v>
      </c>
      <c r="C127" t="s">
        <v>62</v>
      </c>
      <c r="D127">
        <v>11</v>
      </c>
      <c r="E127" t="s">
        <v>422</v>
      </c>
      <c r="F127" t="s">
        <v>98</v>
      </c>
      <c r="G127" t="s">
        <v>423</v>
      </c>
    </row>
    <row r="128" spans="1:7" x14ac:dyDescent="0.3">
      <c r="A128" t="s">
        <v>424</v>
      </c>
      <c r="B128" t="s">
        <v>60</v>
      </c>
      <c r="C128" t="s">
        <v>62</v>
      </c>
      <c r="D128">
        <v>18</v>
      </c>
      <c r="E128" t="s">
        <v>425</v>
      </c>
      <c r="F128" t="s">
        <v>76</v>
      </c>
      <c r="G128" t="s">
        <v>426</v>
      </c>
    </row>
    <row r="129" spans="1:7" x14ac:dyDescent="0.3">
      <c r="A129" t="s">
        <v>427</v>
      </c>
      <c r="B129" t="s">
        <v>63</v>
      </c>
      <c r="C129" t="s">
        <v>64</v>
      </c>
      <c r="D129">
        <v>1</v>
      </c>
      <c r="E129" t="s">
        <v>428</v>
      </c>
      <c r="F129" t="s">
        <v>76</v>
      </c>
      <c r="G129" t="s">
        <v>429</v>
      </c>
    </row>
    <row r="130" spans="1:7" x14ac:dyDescent="0.3">
      <c r="A130" t="s">
        <v>430</v>
      </c>
      <c r="B130" t="s">
        <v>63</v>
      </c>
      <c r="C130" t="s">
        <v>64</v>
      </c>
      <c r="D130">
        <v>2</v>
      </c>
      <c r="E130" t="s">
        <v>431</v>
      </c>
      <c r="F130" t="s">
        <v>76</v>
      </c>
      <c r="G130" t="s">
        <v>432</v>
      </c>
    </row>
    <row r="131" spans="1:7" x14ac:dyDescent="0.3">
      <c r="A131" t="s">
        <v>433</v>
      </c>
      <c r="B131" t="s">
        <v>63</v>
      </c>
      <c r="C131" t="s">
        <v>64</v>
      </c>
      <c r="D131">
        <v>4</v>
      </c>
      <c r="E131" t="s">
        <v>434</v>
      </c>
      <c r="F131" t="s">
        <v>76</v>
      </c>
      <c r="G131" t="s">
        <v>435</v>
      </c>
    </row>
    <row r="132" spans="1:7" x14ac:dyDescent="0.3">
      <c r="A132" t="s">
        <v>436</v>
      </c>
      <c r="B132" t="s">
        <v>63</v>
      </c>
      <c r="C132" t="s">
        <v>64</v>
      </c>
      <c r="D132">
        <v>7</v>
      </c>
      <c r="E132" t="s">
        <v>437</v>
      </c>
      <c r="F132" t="s">
        <v>76</v>
      </c>
      <c r="G132" t="s">
        <v>438</v>
      </c>
    </row>
    <row r="133" spans="1:7" x14ac:dyDescent="0.3">
      <c r="A133" t="s">
        <v>439</v>
      </c>
      <c r="B133" t="s">
        <v>63</v>
      </c>
      <c r="C133" t="s">
        <v>64</v>
      </c>
      <c r="D133">
        <v>8</v>
      </c>
      <c r="E133" t="s">
        <v>440</v>
      </c>
      <c r="F133" t="s">
        <v>76</v>
      </c>
      <c r="G133" t="s">
        <v>441</v>
      </c>
    </row>
    <row r="134" spans="1:7" x14ac:dyDescent="0.3">
      <c r="A134" t="s">
        <v>442</v>
      </c>
      <c r="B134" t="s">
        <v>63</v>
      </c>
      <c r="C134" t="s">
        <v>64</v>
      </c>
      <c r="D134">
        <v>9</v>
      </c>
      <c r="E134" t="s">
        <v>443</v>
      </c>
      <c r="F134" t="s">
        <v>76</v>
      </c>
      <c r="G134" t="s">
        <v>444</v>
      </c>
    </row>
    <row r="135" spans="1:7" x14ac:dyDescent="0.3">
      <c r="A135" t="s">
        <v>445</v>
      </c>
      <c r="B135" t="s">
        <v>63</v>
      </c>
      <c r="C135" t="s">
        <v>64</v>
      </c>
      <c r="D135">
        <v>10</v>
      </c>
      <c r="E135" t="s">
        <v>446</v>
      </c>
      <c r="F135" t="s">
        <v>98</v>
      </c>
      <c r="G135" t="s">
        <v>447</v>
      </c>
    </row>
    <row r="136" spans="1:7" x14ac:dyDescent="0.3">
      <c r="A136" t="s">
        <v>448</v>
      </c>
      <c r="B136" t="s">
        <v>63</v>
      </c>
      <c r="C136" t="s">
        <v>64</v>
      </c>
      <c r="D136">
        <v>14</v>
      </c>
      <c r="E136" t="s">
        <v>449</v>
      </c>
      <c r="F136" t="s">
        <v>76</v>
      </c>
      <c r="G136" t="s">
        <v>450</v>
      </c>
    </row>
    <row r="137" spans="1:7" x14ac:dyDescent="0.3">
      <c r="A137" t="s">
        <v>451</v>
      </c>
      <c r="B137" t="s">
        <v>63</v>
      </c>
      <c r="C137" t="s">
        <v>64</v>
      </c>
      <c r="D137">
        <v>17</v>
      </c>
      <c r="E137" t="s">
        <v>452</v>
      </c>
      <c r="F137" t="s">
        <v>76</v>
      </c>
      <c r="G137" t="s">
        <v>453</v>
      </c>
    </row>
    <row r="138" spans="1:7" x14ac:dyDescent="0.3">
      <c r="A138" t="s">
        <v>454</v>
      </c>
      <c r="B138" t="s">
        <v>63</v>
      </c>
      <c r="C138" t="s">
        <v>64</v>
      </c>
      <c r="D138">
        <v>21</v>
      </c>
      <c r="E138" t="s">
        <v>455</v>
      </c>
      <c r="F138" t="s">
        <v>76</v>
      </c>
      <c r="G138" t="s">
        <v>456</v>
      </c>
    </row>
    <row r="139" spans="1:7" x14ac:dyDescent="0.3">
      <c r="A139" t="s">
        <v>457</v>
      </c>
      <c r="B139" t="s">
        <v>65</v>
      </c>
      <c r="C139" t="s">
        <v>66</v>
      </c>
      <c r="D139">
        <v>1</v>
      </c>
      <c r="E139" t="s">
        <v>317</v>
      </c>
      <c r="F139" t="s">
        <v>76</v>
      </c>
      <c r="G139" t="s">
        <v>458</v>
      </c>
    </row>
    <row r="140" spans="1:7" x14ac:dyDescent="0.3">
      <c r="A140" t="s">
        <v>459</v>
      </c>
      <c r="B140" t="s">
        <v>65</v>
      </c>
      <c r="C140" t="s">
        <v>66</v>
      </c>
      <c r="D140">
        <v>3</v>
      </c>
      <c r="E140" t="s">
        <v>460</v>
      </c>
      <c r="F140" t="s">
        <v>76</v>
      </c>
      <c r="G140" t="s">
        <v>461</v>
      </c>
    </row>
    <row r="141" spans="1:7" x14ac:dyDescent="0.3">
      <c r="A141" t="s">
        <v>462</v>
      </c>
      <c r="B141" t="s">
        <v>65</v>
      </c>
      <c r="C141" t="s">
        <v>66</v>
      </c>
      <c r="D141">
        <v>4</v>
      </c>
      <c r="E141" t="s">
        <v>463</v>
      </c>
      <c r="F141" t="s">
        <v>76</v>
      </c>
      <c r="G141" t="s">
        <v>464</v>
      </c>
    </row>
    <row r="142" spans="1:7" x14ac:dyDescent="0.3">
      <c r="A142" t="s">
        <v>465</v>
      </c>
      <c r="B142" t="s">
        <v>65</v>
      </c>
      <c r="C142" t="s">
        <v>66</v>
      </c>
      <c r="D142">
        <v>5</v>
      </c>
      <c r="E142" t="s">
        <v>466</v>
      </c>
      <c r="F142" t="s">
        <v>76</v>
      </c>
      <c r="G142" t="s">
        <v>467</v>
      </c>
    </row>
    <row r="143" spans="1:7" x14ac:dyDescent="0.3">
      <c r="A143" t="s">
        <v>468</v>
      </c>
      <c r="B143" t="s">
        <v>65</v>
      </c>
      <c r="C143" t="s">
        <v>66</v>
      </c>
      <c r="D143">
        <v>7</v>
      </c>
      <c r="E143" t="s">
        <v>469</v>
      </c>
      <c r="F143" t="s">
        <v>76</v>
      </c>
      <c r="G143" t="s">
        <v>470</v>
      </c>
    </row>
    <row r="144" spans="1:7" x14ac:dyDescent="0.3">
      <c r="A144" t="s">
        <v>471</v>
      </c>
      <c r="B144" t="s">
        <v>65</v>
      </c>
      <c r="C144" t="s">
        <v>66</v>
      </c>
      <c r="D144">
        <v>9</v>
      </c>
      <c r="E144" t="s">
        <v>472</v>
      </c>
      <c r="F144" t="s">
        <v>76</v>
      </c>
      <c r="G144" t="s">
        <v>473</v>
      </c>
    </row>
    <row r="145" spans="1:7" x14ac:dyDescent="0.3">
      <c r="A145" t="s">
        <v>474</v>
      </c>
      <c r="B145" t="s">
        <v>65</v>
      </c>
      <c r="C145" t="s">
        <v>66</v>
      </c>
      <c r="D145">
        <v>10</v>
      </c>
      <c r="E145" t="s">
        <v>475</v>
      </c>
      <c r="F145" t="s">
        <v>98</v>
      </c>
      <c r="G145" t="s">
        <v>476</v>
      </c>
    </row>
    <row r="146" spans="1:7" x14ac:dyDescent="0.3">
      <c r="A146" t="s">
        <v>477</v>
      </c>
      <c r="B146" t="s">
        <v>65</v>
      </c>
      <c r="C146" t="s">
        <v>66</v>
      </c>
      <c r="D146">
        <v>11</v>
      </c>
      <c r="E146" t="s">
        <v>478</v>
      </c>
      <c r="F146" t="s">
        <v>76</v>
      </c>
      <c r="G146" t="s">
        <v>479</v>
      </c>
    </row>
    <row r="147" spans="1:7" x14ac:dyDescent="0.3">
      <c r="A147" t="s">
        <v>480</v>
      </c>
      <c r="B147" t="s">
        <v>65</v>
      </c>
      <c r="C147" t="s">
        <v>66</v>
      </c>
      <c r="D147">
        <v>23</v>
      </c>
      <c r="E147" t="s">
        <v>481</v>
      </c>
      <c r="F147" t="s">
        <v>76</v>
      </c>
      <c r="G147" t="s">
        <v>482</v>
      </c>
    </row>
    <row r="148" spans="1:7" x14ac:dyDescent="0.3">
      <c r="A148" t="s">
        <v>483</v>
      </c>
      <c r="B148" t="s">
        <v>65</v>
      </c>
      <c r="C148" t="s">
        <v>66</v>
      </c>
      <c r="D148">
        <v>28</v>
      </c>
      <c r="E148" t="s">
        <v>484</v>
      </c>
      <c r="F148" t="s">
        <v>76</v>
      </c>
      <c r="G148" t="s">
        <v>485</v>
      </c>
    </row>
    <row r="149" spans="1:7" x14ac:dyDescent="0.3">
      <c r="A149" t="s">
        <v>486</v>
      </c>
      <c r="B149" t="s">
        <v>67</v>
      </c>
      <c r="C149" t="s">
        <v>68</v>
      </c>
      <c r="D149">
        <v>1</v>
      </c>
      <c r="E149" t="s">
        <v>487</v>
      </c>
      <c r="F149" t="s">
        <v>76</v>
      </c>
      <c r="G149" t="s">
        <v>488</v>
      </c>
    </row>
    <row r="150" spans="1:7" x14ac:dyDescent="0.3">
      <c r="A150" t="s">
        <v>489</v>
      </c>
      <c r="B150" t="s">
        <v>67</v>
      </c>
      <c r="C150" t="s">
        <v>68</v>
      </c>
      <c r="D150">
        <v>2</v>
      </c>
      <c r="E150" t="s">
        <v>490</v>
      </c>
      <c r="F150" t="s">
        <v>76</v>
      </c>
      <c r="G150" t="s">
        <v>491</v>
      </c>
    </row>
    <row r="151" spans="1:7" x14ac:dyDescent="0.3">
      <c r="A151" t="s">
        <v>492</v>
      </c>
      <c r="B151" t="s">
        <v>67</v>
      </c>
      <c r="C151" t="s">
        <v>68</v>
      </c>
      <c r="D151">
        <v>3</v>
      </c>
      <c r="E151" t="s">
        <v>493</v>
      </c>
      <c r="F151" t="s">
        <v>76</v>
      </c>
      <c r="G151" t="s">
        <v>494</v>
      </c>
    </row>
    <row r="152" spans="1:7" x14ac:dyDescent="0.3">
      <c r="A152" t="s">
        <v>495</v>
      </c>
      <c r="B152" t="s">
        <v>67</v>
      </c>
      <c r="C152" t="s">
        <v>68</v>
      </c>
      <c r="D152">
        <v>4</v>
      </c>
      <c r="E152" t="s">
        <v>496</v>
      </c>
      <c r="F152" t="s">
        <v>98</v>
      </c>
      <c r="G152" t="s">
        <v>497</v>
      </c>
    </row>
    <row r="153" spans="1:7" x14ac:dyDescent="0.3">
      <c r="A153" t="s">
        <v>498</v>
      </c>
      <c r="B153" t="s">
        <v>67</v>
      </c>
      <c r="C153" t="s">
        <v>68</v>
      </c>
      <c r="D153">
        <v>5</v>
      </c>
      <c r="E153" t="s">
        <v>499</v>
      </c>
      <c r="F153" t="s">
        <v>76</v>
      </c>
      <c r="G153" t="s">
        <v>500</v>
      </c>
    </row>
    <row r="154" spans="1:7" x14ac:dyDescent="0.3">
      <c r="A154" t="s">
        <v>501</v>
      </c>
      <c r="B154" t="s">
        <v>67</v>
      </c>
      <c r="C154" t="s">
        <v>68</v>
      </c>
      <c r="D154">
        <v>6</v>
      </c>
      <c r="E154" t="s">
        <v>502</v>
      </c>
      <c r="F154" t="s">
        <v>76</v>
      </c>
      <c r="G154" t="s">
        <v>503</v>
      </c>
    </row>
    <row r="155" spans="1:7" x14ac:dyDescent="0.3">
      <c r="A155" t="s">
        <v>504</v>
      </c>
      <c r="B155" t="s">
        <v>67</v>
      </c>
      <c r="C155" t="s">
        <v>68</v>
      </c>
      <c r="D155">
        <v>8</v>
      </c>
      <c r="E155" t="s">
        <v>505</v>
      </c>
      <c r="F155" t="s">
        <v>76</v>
      </c>
      <c r="G155" t="s">
        <v>506</v>
      </c>
    </row>
    <row r="156" spans="1:7" x14ac:dyDescent="0.3">
      <c r="A156" t="s">
        <v>507</v>
      </c>
      <c r="B156" t="s">
        <v>67</v>
      </c>
      <c r="C156" t="s">
        <v>68</v>
      </c>
      <c r="D156">
        <v>9</v>
      </c>
      <c r="E156" t="s">
        <v>508</v>
      </c>
      <c r="F156" t="s">
        <v>76</v>
      </c>
      <c r="G156" t="s">
        <v>509</v>
      </c>
    </row>
    <row r="157" spans="1:7" x14ac:dyDescent="0.3">
      <c r="A157" t="s">
        <v>510</v>
      </c>
      <c r="B157" t="s">
        <v>67</v>
      </c>
      <c r="C157" t="s">
        <v>68</v>
      </c>
      <c r="D157">
        <v>10</v>
      </c>
      <c r="E157" t="s">
        <v>511</v>
      </c>
      <c r="F157" t="s">
        <v>76</v>
      </c>
      <c r="G157" t="s">
        <v>512</v>
      </c>
    </row>
    <row r="158" spans="1:7" x14ac:dyDescent="0.3">
      <c r="A158" t="s">
        <v>513</v>
      </c>
      <c r="B158" t="s">
        <v>67</v>
      </c>
      <c r="C158" t="s">
        <v>68</v>
      </c>
      <c r="D158">
        <v>11</v>
      </c>
      <c r="E158" t="s">
        <v>514</v>
      </c>
      <c r="F158" t="s">
        <v>76</v>
      </c>
      <c r="G158" t="s">
        <v>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"/>
  <sheetViews>
    <sheetView topLeftCell="C1" workbookViewId="0">
      <selection activeCell="K3" sqref="K3"/>
    </sheetView>
  </sheetViews>
  <sheetFormatPr defaultRowHeight="14.4" x14ac:dyDescent="0.3"/>
  <cols>
    <col min="1" max="6" width="18" customWidth="1"/>
    <col min="7" max="8" width="28" customWidth="1"/>
    <col min="9" max="10" width="18" customWidth="1"/>
    <col min="11" max="11" width="28" customWidth="1"/>
    <col min="12" max="15" width="18" customWidth="1"/>
    <col min="16" max="16" width="54" customWidth="1"/>
  </cols>
  <sheetData>
    <row r="1" spans="1:26" x14ac:dyDescent="0.3">
      <c r="A1" s="5" t="s">
        <v>516</v>
      </c>
      <c r="B1" s="5" t="s">
        <v>517</v>
      </c>
      <c r="C1" s="5" t="s">
        <v>30</v>
      </c>
      <c r="D1" s="5" t="s">
        <v>518</v>
      </c>
      <c r="E1" s="5" t="s">
        <v>519</v>
      </c>
      <c r="F1" s="5" t="s">
        <v>520</v>
      </c>
      <c r="G1" s="5" t="s">
        <v>521</v>
      </c>
      <c r="H1" s="5" t="s">
        <v>522</v>
      </c>
      <c r="I1" s="5" t="s">
        <v>523</v>
      </c>
      <c r="J1" s="5" t="s">
        <v>524</v>
      </c>
      <c r="K1" s="5" t="s">
        <v>16</v>
      </c>
      <c r="L1" s="5" t="s">
        <v>525</v>
      </c>
      <c r="M1" s="5" t="s">
        <v>526</v>
      </c>
      <c r="N1" s="5" t="s">
        <v>527</v>
      </c>
      <c r="O1" s="5" t="s">
        <v>528</v>
      </c>
      <c r="P1" s="5" t="s">
        <v>529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530</v>
      </c>
      <c r="B2" t="s">
        <v>30</v>
      </c>
      <c r="C2" t="s">
        <v>61</v>
      </c>
      <c r="D2">
        <v>1</v>
      </c>
      <c r="E2" t="s">
        <v>531</v>
      </c>
      <c r="F2" t="s">
        <v>532</v>
      </c>
      <c r="G2" t="s">
        <v>62</v>
      </c>
      <c r="H2" t="s">
        <v>64</v>
      </c>
      <c r="I2" s="2">
        <v>1</v>
      </c>
      <c r="J2" s="2">
        <v>0</v>
      </c>
      <c r="K2" s="2"/>
      <c r="L2" t="str">
        <f t="shared" ref="L2:L25" si="0">IF(OR(I2="",J2=""),"Pending",IF(I2=J2,IF(K2="","Needs penalty winner","Complete"),"Complete"))</f>
        <v>Complete</v>
      </c>
      <c r="M2">
        <f>IF(OR(I2="",J2=""),"",IF(I2&gt;J2,Settings!$B$2,IF(I2&lt;J2,Settings!$B$5,IF(K2=G2,Settings!$B$3,IF(K2=H2,Settings!$B$4,"")))))</f>
        <v>3</v>
      </c>
      <c r="N2">
        <f>IF(OR(I2="",J2=""),"",IF(J2&gt;I2,Settings!$B$2,IF(J2&lt;I2,Settings!$B$5,IF(K2=H2,Settings!$B$3,IF(K2=G2,Settings!$B$4,"")))))</f>
        <v>0</v>
      </c>
      <c r="O2" t="str">
        <f t="shared" ref="O2:O25" si="1">IF(OR(I2="",J2=""),"",IF(I2&gt;J2,G2,IF(J2&gt;I2,H2,K2)))</f>
        <v>All Blacks</v>
      </c>
      <c r="P2" t="str">
        <f t="shared" ref="P2:P25" si="2">IF(OR(I2="",J2=""),"",G2&amp;" "&amp;I2&amp;" - "&amp;J2&amp;" "&amp;H2&amp;IF(K2&lt;&gt;""," (rigori: "&amp;K2&amp;")",""))</f>
        <v>All Blacks 1 - 0 Boldò Glimt</v>
      </c>
    </row>
    <row r="3" spans="1:26" x14ac:dyDescent="0.3">
      <c r="A3" t="s">
        <v>533</v>
      </c>
      <c r="B3" t="s">
        <v>30</v>
      </c>
      <c r="C3" t="s">
        <v>61</v>
      </c>
      <c r="D3">
        <v>1</v>
      </c>
      <c r="E3" t="s">
        <v>534</v>
      </c>
      <c r="F3" t="s">
        <v>532</v>
      </c>
      <c r="G3" t="s">
        <v>66</v>
      </c>
      <c r="H3" t="s">
        <v>68</v>
      </c>
      <c r="I3" s="2"/>
      <c r="J3" s="2"/>
      <c r="K3" s="2"/>
      <c r="L3" t="str">
        <f t="shared" si="0"/>
        <v>Pending</v>
      </c>
      <c r="M3" t="str">
        <f>IF(OR(I3="",J3=""),"",IF(I3&gt;J3,Settings!$B$2,IF(I3&lt;J3,Settings!$B$5,IF(K3=G3,Settings!$B$3,IF(K3=H3,Settings!$B$4,"")))))</f>
        <v/>
      </c>
      <c r="N3" t="str">
        <f>IF(OR(I3="",J3=""),"",IF(J3&gt;I3,Settings!$B$2,IF(J3&lt;I3,Settings!$B$5,IF(K3=H3,Settings!$B$3,IF(K3=G3,Settings!$B$4,"")))))</f>
        <v/>
      </c>
      <c r="O3" t="str">
        <f t="shared" si="1"/>
        <v/>
      </c>
      <c r="P3" t="str">
        <f t="shared" si="2"/>
        <v/>
      </c>
    </row>
    <row r="4" spans="1:26" x14ac:dyDescent="0.3">
      <c r="A4" t="s">
        <v>535</v>
      </c>
      <c r="B4" t="s">
        <v>30</v>
      </c>
      <c r="C4" t="s">
        <v>43</v>
      </c>
      <c r="D4">
        <v>1</v>
      </c>
      <c r="E4" t="s">
        <v>536</v>
      </c>
      <c r="F4" t="s">
        <v>532</v>
      </c>
      <c r="G4" t="s">
        <v>44</v>
      </c>
      <c r="H4" t="s">
        <v>46</v>
      </c>
      <c r="I4" s="2"/>
      <c r="J4" s="2"/>
      <c r="K4" s="2"/>
      <c r="L4" t="str">
        <f t="shared" si="0"/>
        <v>Pending</v>
      </c>
      <c r="M4" t="str">
        <f>IF(OR(I4="",J4=""),"",IF(I4&gt;J4,Settings!$B$2,IF(I4&lt;J4,Settings!$B$5,IF(K4=G4,Settings!$B$3,IF(K4=H4,Settings!$B$4,"")))))</f>
        <v/>
      </c>
      <c r="N4" t="str">
        <f>IF(OR(I4="",J4=""),"",IF(J4&gt;I4,Settings!$B$2,IF(J4&lt;I4,Settings!$B$5,IF(K4=H4,Settings!$B$3,IF(K4=G4,Settings!$B$4,"")))))</f>
        <v/>
      </c>
      <c r="O4" t="str">
        <f t="shared" si="1"/>
        <v/>
      </c>
      <c r="P4" t="str">
        <f t="shared" si="2"/>
        <v/>
      </c>
    </row>
    <row r="5" spans="1:26" x14ac:dyDescent="0.3">
      <c r="A5" t="s">
        <v>537</v>
      </c>
      <c r="B5" t="s">
        <v>30</v>
      </c>
      <c r="C5" t="s">
        <v>52</v>
      </c>
      <c r="D5">
        <v>1</v>
      </c>
      <c r="E5" t="s">
        <v>531</v>
      </c>
      <c r="F5" t="s">
        <v>538</v>
      </c>
      <c r="G5" t="s">
        <v>53</v>
      </c>
      <c r="H5" t="s">
        <v>55</v>
      </c>
      <c r="I5" s="2"/>
      <c r="J5" s="2"/>
      <c r="K5" s="2"/>
      <c r="L5" t="str">
        <f t="shared" si="0"/>
        <v>Pending</v>
      </c>
      <c r="M5" t="str">
        <f>IF(OR(I5="",J5=""),"",IF(I5&gt;J5,Settings!$B$2,IF(I5&lt;J5,Settings!$B$5,IF(K5=G5,Settings!$B$3,IF(K5=H5,Settings!$B$4,"")))))</f>
        <v/>
      </c>
      <c r="N5" t="str">
        <f>IF(OR(I5="",J5=""),"",IF(J5&gt;I5,Settings!$B$2,IF(J5&lt;I5,Settings!$B$5,IF(K5=H5,Settings!$B$3,IF(K5=G5,Settings!$B$4,"")))))</f>
        <v/>
      </c>
      <c r="O5" t="str">
        <f t="shared" si="1"/>
        <v/>
      </c>
      <c r="P5" t="str">
        <f t="shared" si="2"/>
        <v/>
      </c>
    </row>
    <row r="6" spans="1:26" x14ac:dyDescent="0.3">
      <c r="A6" t="s">
        <v>539</v>
      </c>
      <c r="B6" t="s">
        <v>30</v>
      </c>
      <c r="C6" t="s">
        <v>52</v>
      </c>
      <c r="D6">
        <v>1</v>
      </c>
      <c r="E6" t="s">
        <v>534</v>
      </c>
      <c r="F6" t="s">
        <v>538</v>
      </c>
      <c r="G6" t="s">
        <v>57</v>
      </c>
      <c r="H6" t="s">
        <v>59</v>
      </c>
      <c r="I6" s="2"/>
      <c r="J6" s="2"/>
      <c r="K6" s="2"/>
      <c r="L6" t="str">
        <f t="shared" si="0"/>
        <v>Pending</v>
      </c>
      <c r="M6" t="str">
        <f>IF(OR(I6="",J6=""),"",IF(I6&gt;J6,Settings!$B$2,IF(I6&lt;J6,Settings!$B$5,IF(K6=G6,Settings!$B$3,IF(K6=H6,Settings!$B$4,"")))))</f>
        <v/>
      </c>
      <c r="N6" t="str">
        <f>IF(OR(I6="",J6=""),"",IF(J6&gt;I6,Settings!$B$2,IF(J6&lt;I6,Settings!$B$5,IF(K6=H6,Settings!$B$3,IF(K6=G6,Settings!$B$4,"")))))</f>
        <v/>
      </c>
      <c r="O6" t="str">
        <f t="shared" si="1"/>
        <v/>
      </c>
      <c r="P6" t="str">
        <f t="shared" si="2"/>
        <v/>
      </c>
    </row>
    <row r="7" spans="1:26" x14ac:dyDescent="0.3">
      <c r="A7" t="s">
        <v>540</v>
      </c>
      <c r="B7" t="s">
        <v>30</v>
      </c>
      <c r="C7" t="s">
        <v>43</v>
      </c>
      <c r="D7">
        <v>1</v>
      </c>
      <c r="E7" t="s">
        <v>536</v>
      </c>
      <c r="F7" t="s">
        <v>538</v>
      </c>
      <c r="G7" t="s">
        <v>48</v>
      </c>
      <c r="H7" t="s">
        <v>50</v>
      </c>
      <c r="I7" s="2"/>
      <c r="J7" s="2"/>
      <c r="K7" s="2"/>
      <c r="L7" t="str">
        <f t="shared" si="0"/>
        <v>Pending</v>
      </c>
      <c r="M7" t="str">
        <f>IF(OR(I7="",J7=""),"",IF(I7&gt;J7,Settings!$B$2,IF(I7&lt;J7,Settings!$B$5,IF(K7=G7,Settings!$B$3,IF(K7=H7,Settings!$B$4,"")))))</f>
        <v/>
      </c>
      <c r="N7" t="str">
        <f>IF(OR(I7="",J7=""),"",IF(J7&gt;I7,Settings!$B$2,IF(J7&lt;I7,Settings!$B$5,IF(K7=H7,Settings!$B$3,IF(K7=G7,Settings!$B$4,"")))))</f>
        <v/>
      </c>
      <c r="O7" t="str">
        <f t="shared" si="1"/>
        <v/>
      </c>
      <c r="P7" t="str">
        <f t="shared" si="2"/>
        <v/>
      </c>
    </row>
    <row r="8" spans="1:26" x14ac:dyDescent="0.3">
      <c r="A8" t="s">
        <v>541</v>
      </c>
      <c r="B8" t="s">
        <v>30</v>
      </c>
      <c r="C8" t="s">
        <v>34</v>
      </c>
      <c r="D8">
        <v>1</v>
      </c>
      <c r="E8" t="s">
        <v>531</v>
      </c>
      <c r="F8" t="s">
        <v>542</v>
      </c>
      <c r="G8" t="s">
        <v>35</v>
      </c>
      <c r="H8" t="s">
        <v>37</v>
      </c>
      <c r="I8" s="2"/>
      <c r="J8" s="2"/>
      <c r="K8" s="2"/>
      <c r="L8" t="str">
        <f t="shared" si="0"/>
        <v>Pending</v>
      </c>
      <c r="M8" t="str">
        <f>IF(OR(I8="",J8=""),"",IF(I8&gt;J8,Settings!$B$2,IF(I8&lt;J8,Settings!$B$5,IF(K8=G8,Settings!$B$3,IF(K8=H8,Settings!$B$4,"")))))</f>
        <v/>
      </c>
      <c r="N8" t="str">
        <f>IF(OR(I8="",J8=""),"",IF(J8&gt;I8,Settings!$B$2,IF(J8&lt;I8,Settings!$B$5,IF(K8=H8,Settings!$B$3,IF(K8=G8,Settings!$B$4,"")))))</f>
        <v/>
      </c>
      <c r="O8" t="str">
        <f t="shared" si="1"/>
        <v/>
      </c>
      <c r="P8" t="str">
        <f t="shared" si="2"/>
        <v/>
      </c>
    </row>
    <row r="9" spans="1:26" x14ac:dyDescent="0.3">
      <c r="A9" t="s">
        <v>543</v>
      </c>
      <c r="B9" t="s">
        <v>30</v>
      </c>
      <c r="C9" t="s">
        <v>34</v>
      </c>
      <c r="D9">
        <v>1</v>
      </c>
      <c r="E9" t="s">
        <v>534</v>
      </c>
      <c r="F9" t="s">
        <v>542</v>
      </c>
      <c r="G9" t="s">
        <v>39</v>
      </c>
      <c r="H9" t="s">
        <v>41</v>
      </c>
      <c r="I9" s="2"/>
      <c r="J9" s="2"/>
      <c r="K9" s="2"/>
      <c r="L9" t="str">
        <f t="shared" si="0"/>
        <v>Pending</v>
      </c>
      <c r="M9" t="str">
        <f>IF(OR(I9="",J9=""),"",IF(I9&gt;J9,Settings!$B$2,IF(I9&lt;J9,Settings!$B$5,IF(K9=G9,Settings!$B$3,IF(K9=H9,Settings!$B$4,"")))))</f>
        <v/>
      </c>
      <c r="N9" t="str">
        <f>IF(OR(I9="",J9=""),"",IF(J9&gt;I9,Settings!$B$2,IF(J9&lt;I9,Settings!$B$5,IF(K9=H9,Settings!$B$3,IF(K9=G9,Settings!$B$4,"")))))</f>
        <v/>
      </c>
      <c r="O9" t="str">
        <f t="shared" si="1"/>
        <v/>
      </c>
      <c r="P9" t="str">
        <f t="shared" si="2"/>
        <v/>
      </c>
    </row>
    <row r="10" spans="1:26" x14ac:dyDescent="0.3">
      <c r="A10" t="s">
        <v>544</v>
      </c>
      <c r="B10" t="s">
        <v>30</v>
      </c>
      <c r="C10" t="s">
        <v>61</v>
      </c>
      <c r="D10">
        <v>2</v>
      </c>
      <c r="E10" t="s">
        <v>536</v>
      </c>
      <c r="F10" t="s">
        <v>542</v>
      </c>
      <c r="G10" t="s">
        <v>62</v>
      </c>
      <c r="H10" t="s">
        <v>66</v>
      </c>
      <c r="I10" s="2"/>
      <c r="J10" s="2"/>
      <c r="K10" s="2"/>
      <c r="L10" t="str">
        <f t="shared" si="0"/>
        <v>Pending</v>
      </c>
      <c r="M10" t="str">
        <f>IF(OR(I10="",J10=""),"",IF(I10&gt;J10,Settings!$B$2,IF(I10&lt;J10,Settings!$B$5,IF(K10=G10,Settings!$B$3,IF(K10=H10,Settings!$B$4,"")))))</f>
        <v/>
      </c>
      <c r="N10" t="str">
        <f>IF(OR(I10="",J10=""),"",IF(J10&gt;I10,Settings!$B$2,IF(J10&lt;I10,Settings!$B$5,IF(K10=H10,Settings!$B$3,IF(K10=G10,Settings!$B$4,"")))))</f>
        <v/>
      </c>
      <c r="O10" t="str">
        <f t="shared" si="1"/>
        <v/>
      </c>
      <c r="P10" t="str">
        <f t="shared" si="2"/>
        <v/>
      </c>
    </row>
    <row r="11" spans="1:26" x14ac:dyDescent="0.3">
      <c r="A11" t="s">
        <v>545</v>
      </c>
      <c r="B11" t="s">
        <v>30</v>
      </c>
      <c r="C11" t="s">
        <v>43</v>
      </c>
      <c r="D11">
        <v>2</v>
      </c>
      <c r="E11" t="s">
        <v>531</v>
      </c>
      <c r="F11" t="s">
        <v>546</v>
      </c>
      <c r="G11" t="s">
        <v>44</v>
      </c>
      <c r="H11" t="s">
        <v>48</v>
      </c>
      <c r="I11" s="2"/>
      <c r="J11" s="2"/>
      <c r="K11" s="2"/>
      <c r="L11" t="str">
        <f t="shared" si="0"/>
        <v>Pending</v>
      </c>
      <c r="M11" t="str">
        <f>IF(OR(I11="",J11=""),"",IF(I11&gt;J11,Settings!$B$2,IF(I11&lt;J11,Settings!$B$5,IF(K11=G11,Settings!$B$3,IF(K11=H11,Settings!$B$4,"")))))</f>
        <v/>
      </c>
      <c r="N11" t="str">
        <f>IF(OR(I11="",J11=""),"",IF(J11&gt;I11,Settings!$B$2,IF(J11&lt;I11,Settings!$B$5,IF(K11=H11,Settings!$B$3,IF(K11=G11,Settings!$B$4,"")))))</f>
        <v/>
      </c>
      <c r="O11" t="str">
        <f t="shared" si="1"/>
        <v/>
      </c>
      <c r="P11" t="str">
        <f t="shared" si="2"/>
        <v/>
      </c>
    </row>
    <row r="12" spans="1:26" x14ac:dyDescent="0.3">
      <c r="A12" t="s">
        <v>547</v>
      </c>
      <c r="B12" t="s">
        <v>30</v>
      </c>
      <c r="C12" t="s">
        <v>43</v>
      </c>
      <c r="D12">
        <v>2</v>
      </c>
      <c r="E12" t="s">
        <v>534</v>
      </c>
      <c r="F12" t="s">
        <v>546</v>
      </c>
      <c r="G12" t="s">
        <v>46</v>
      </c>
      <c r="H12" t="s">
        <v>50</v>
      </c>
      <c r="I12" s="2"/>
      <c r="J12" s="2"/>
      <c r="K12" s="2"/>
      <c r="L12" t="str">
        <f t="shared" si="0"/>
        <v>Pending</v>
      </c>
      <c r="M12" t="str">
        <f>IF(OR(I12="",J12=""),"",IF(I12&gt;J12,Settings!$B$2,IF(I12&lt;J12,Settings!$B$5,IF(K12=G12,Settings!$B$3,IF(K12=H12,Settings!$B$4,"")))))</f>
        <v/>
      </c>
      <c r="N12" t="str">
        <f>IF(OR(I12="",J12=""),"",IF(J12&gt;I12,Settings!$B$2,IF(J12&lt;I12,Settings!$B$5,IF(K12=H12,Settings!$B$3,IF(K12=G12,Settings!$B$4,"")))))</f>
        <v/>
      </c>
      <c r="O12" t="str">
        <f t="shared" si="1"/>
        <v/>
      </c>
      <c r="P12" t="str">
        <f t="shared" si="2"/>
        <v/>
      </c>
    </row>
    <row r="13" spans="1:26" x14ac:dyDescent="0.3">
      <c r="A13" t="s">
        <v>548</v>
      </c>
      <c r="B13" t="s">
        <v>30</v>
      </c>
      <c r="C13" t="s">
        <v>61</v>
      </c>
      <c r="D13">
        <v>2</v>
      </c>
      <c r="E13" t="s">
        <v>536</v>
      </c>
      <c r="F13" t="s">
        <v>546</v>
      </c>
      <c r="G13" t="s">
        <v>64</v>
      </c>
      <c r="H13" t="s">
        <v>68</v>
      </c>
      <c r="I13" s="2"/>
      <c r="J13" s="2"/>
      <c r="K13" s="2"/>
      <c r="L13" t="str">
        <f t="shared" si="0"/>
        <v>Pending</v>
      </c>
      <c r="M13" t="str">
        <f>IF(OR(I13="",J13=""),"",IF(I13&gt;J13,Settings!$B$2,IF(I13&lt;J13,Settings!$B$5,IF(K13=G13,Settings!$B$3,IF(K13=H13,Settings!$B$4,"")))))</f>
        <v/>
      </c>
      <c r="N13" t="str">
        <f>IF(OR(I13="",J13=""),"",IF(J13&gt;I13,Settings!$B$2,IF(J13&lt;I13,Settings!$B$5,IF(K13=H13,Settings!$B$3,IF(K13=G13,Settings!$B$4,"")))))</f>
        <v/>
      </c>
      <c r="O13" t="str">
        <f t="shared" si="1"/>
        <v/>
      </c>
      <c r="P13" t="str">
        <f t="shared" si="2"/>
        <v/>
      </c>
    </row>
    <row r="14" spans="1:26" x14ac:dyDescent="0.3">
      <c r="A14" t="s">
        <v>549</v>
      </c>
      <c r="B14" t="s">
        <v>30</v>
      </c>
      <c r="C14" t="s">
        <v>52</v>
      </c>
      <c r="D14">
        <v>2</v>
      </c>
      <c r="E14" t="s">
        <v>531</v>
      </c>
      <c r="F14" t="s">
        <v>550</v>
      </c>
      <c r="G14" t="s">
        <v>53</v>
      </c>
      <c r="H14" t="s">
        <v>57</v>
      </c>
      <c r="I14" s="2"/>
      <c r="J14" s="2"/>
      <c r="K14" s="2"/>
      <c r="L14" t="str">
        <f t="shared" si="0"/>
        <v>Pending</v>
      </c>
      <c r="M14" t="str">
        <f>IF(OR(I14="",J14=""),"",IF(I14&gt;J14,Settings!$B$2,IF(I14&lt;J14,Settings!$B$5,IF(K14=G14,Settings!$B$3,IF(K14=H14,Settings!$B$4,"")))))</f>
        <v/>
      </c>
      <c r="N14" t="str">
        <f>IF(OR(I14="",J14=""),"",IF(J14&gt;I14,Settings!$B$2,IF(J14&lt;I14,Settings!$B$5,IF(K14=H14,Settings!$B$3,IF(K14=G14,Settings!$B$4,"")))))</f>
        <v/>
      </c>
      <c r="O14" t="str">
        <f t="shared" si="1"/>
        <v/>
      </c>
      <c r="P14" t="str">
        <f t="shared" si="2"/>
        <v/>
      </c>
    </row>
    <row r="15" spans="1:26" x14ac:dyDescent="0.3">
      <c r="A15" t="s">
        <v>551</v>
      </c>
      <c r="B15" t="s">
        <v>30</v>
      </c>
      <c r="C15" t="s">
        <v>52</v>
      </c>
      <c r="D15">
        <v>2</v>
      </c>
      <c r="E15" t="s">
        <v>534</v>
      </c>
      <c r="F15" t="s">
        <v>550</v>
      </c>
      <c r="G15" t="s">
        <v>55</v>
      </c>
      <c r="H15" t="s">
        <v>59</v>
      </c>
      <c r="I15" s="2"/>
      <c r="J15" s="2"/>
      <c r="K15" s="2"/>
      <c r="L15" t="str">
        <f t="shared" si="0"/>
        <v>Pending</v>
      </c>
      <c r="M15" t="str">
        <f>IF(OR(I15="",J15=""),"",IF(I15&gt;J15,Settings!$B$2,IF(I15&lt;J15,Settings!$B$5,IF(K15=G15,Settings!$B$3,IF(K15=H15,Settings!$B$4,"")))))</f>
        <v/>
      </c>
      <c r="N15" t="str">
        <f>IF(OR(I15="",J15=""),"",IF(J15&gt;I15,Settings!$B$2,IF(J15&lt;I15,Settings!$B$5,IF(K15=H15,Settings!$B$3,IF(K15=G15,Settings!$B$4,"")))))</f>
        <v/>
      </c>
      <c r="O15" t="str">
        <f t="shared" si="1"/>
        <v/>
      </c>
      <c r="P15" t="str">
        <f t="shared" si="2"/>
        <v/>
      </c>
    </row>
    <row r="16" spans="1:26" x14ac:dyDescent="0.3">
      <c r="A16" t="s">
        <v>552</v>
      </c>
      <c r="B16" t="s">
        <v>30</v>
      </c>
      <c r="C16" t="s">
        <v>34</v>
      </c>
      <c r="D16">
        <v>2</v>
      </c>
      <c r="E16" t="s">
        <v>536</v>
      </c>
      <c r="F16" t="s">
        <v>550</v>
      </c>
      <c r="G16" t="s">
        <v>35</v>
      </c>
      <c r="H16" t="s">
        <v>39</v>
      </c>
      <c r="I16" s="2"/>
      <c r="J16" s="2"/>
      <c r="K16" s="2"/>
      <c r="L16" t="str">
        <f t="shared" si="0"/>
        <v>Pending</v>
      </c>
      <c r="M16" t="str">
        <f>IF(OR(I16="",J16=""),"",IF(I16&gt;J16,Settings!$B$2,IF(I16&lt;J16,Settings!$B$5,IF(K16=G16,Settings!$B$3,IF(K16=H16,Settings!$B$4,"")))))</f>
        <v/>
      </c>
      <c r="N16" t="str">
        <f>IF(OR(I16="",J16=""),"",IF(J16&gt;I16,Settings!$B$2,IF(J16&lt;I16,Settings!$B$5,IF(K16=H16,Settings!$B$3,IF(K16=G16,Settings!$B$4,"")))))</f>
        <v/>
      </c>
      <c r="O16" t="str">
        <f t="shared" si="1"/>
        <v/>
      </c>
      <c r="P16" t="str">
        <f t="shared" si="2"/>
        <v/>
      </c>
    </row>
    <row r="17" spans="1:16" x14ac:dyDescent="0.3">
      <c r="A17" t="s">
        <v>553</v>
      </c>
      <c r="B17" t="s">
        <v>30</v>
      </c>
      <c r="C17" t="s">
        <v>61</v>
      </c>
      <c r="D17">
        <v>3</v>
      </c>
      <c r="E17" t="s">
        <v>531</v>
      </c>
      <c r="F17" t="s">
        <v>554</v>
      </c>
      <c r="G17" t="s">
        <v>62</v>
      </c>
      <c r="H17" t="s">
        <v>68</v>
      </c>
      <c r="I17" s="2"/>
      <c r="J17" s="2"/>
      <c r="K17" s="2"/>
      <c r="L17" t="str">
        <f t="shared" si="0"/>
        <v>Pending</v>
      </c>
      <c r="M17" t="str">
        <f>IF(OR(I17="",J17=""),"",IF(I17&gt;J17,Settings!$B$2,IF(I17&lt;J17,Settings!$B$5,IF(K17=G17,Settings!$B$3,IF(K17=H17,Settings!$B$4,"")))))</f>
        <v/>
      </c>
      <c r="N17" t="str">
        <f>IF(OR(I17="",J17=""),"",IF(J17&gt;I17,Settings!$B$2,IF(J17&lt;I17,Settings!$B$5,IF(K17=H17,Settings!$B$3,IF(K17=G17,Settings!$B$4,"")))))</f>
        <v/>
      </c>
      <c r="O17" t="str">
        <f t="shared" si="1"/>
        <v/>
      </c>
      <c r="P17" t="str">
        <f t="shared" si="2"/>
        <v/>
      </c>
    </row>
    <row r="18" spans="1:16" x14ac:dyDescent="0.3">
      <c r="A18" t="s">
        <v>555</v>
      </c>
      <c r="B18" t="s">
        <v>30</v>
      </c>
      <c r="C18" t="s">
        <v>61</v>
      </c>
      <c r="D18">
        <v>3</v>
      </c>
      <c r="E18" t="s">
        <v>534</v>
      </c>
      <c r="F18" t="s">
        <v>554</v>
      </c>
      <c r="G18" t="s">
        <v>64</v>
      </c>
      <c r="H18" t="s">
        <v>66</v>
      </c>
      <c r="I18" s="2"/>
      <c r="J18" s="2"/>
      <c r="K18" s="2"/>
      <c r="L18" t="str">
        <f t="shared" si="0"/>
        <v>Pending</v>
      </c>
      <c r="M18" t="str">
        <f>IF(OR(I18="",J18=""),"",IF(I18&gt;J18,Settings!$B$2,IF(I18&lt;J18,Settings!$B$5,IF(K18=G18,Settings!$B$3,IF(K18=H18,Settings!$B$4,"")))))</f>
        <v/>
      </c>
      <c r="N18" t="str">
        <f>IF(OR(I18="",J18=""),"",IF(J18&gt;I18,Settings!$B$2,IF(J18&lt;I18,Settings!$B$5,IF(K18=H18,Settings!$B$3,IF(K18=G18,Settings!$B$4,"")))))</f>
        <v/>
      </c>
      <c r="O18" t="str">
        <f t="shared" si="1"/>
        <v/>
      </c>
      <c r="P18" t="str">
        <f t="shared" si="2"/>
        <v/>
      </c>
    </row>
    <row r="19" spans="1:16" x14ac:dyDescent="0.3">
      <c r="A19" t="s">
        <v>556</v>
      </c>
      <c r="B19" t="s">
        <v>30</v>
      </c>
      <c r="C19" t="s">
        <v>34</v>
      </c>
      <c r="D19">
        <v>2</v>
      </c>
      <c r="E19" t="s">
        <v>536</v>
      </c>
      <c r="F19" t="s">
        <v>554</v>
      </c>
      <c r="G19" t="s">
        <v>37</v>
      </c>
      <c r="H19" t="s">
        <v>41</v>
      </c>
      <c r="I19" s="2"/>
      <c r="J19" s="2"/>
      <c r="K19" s="2"/>
      <c r="L19" t="str">
        <f t="shared" si="0"/>
        <v>Pending</v>
      </c>
      <c r="M19" t="str">
        <f>IF(OR(I19="",J19=""),"",IF(I19&gt;J19,Settings!$B$2,IF(I19&lt;J19,Settings!$B$5,IF(K19=G19,Settings!$B$3,IF(K19=H19,Settings!$B$4,"")))))</f>
        <v/>
      </c>
      <c r="N19" t="str">
        <f>IF(OR(I19="",J19=""),"",IF(J19&gt;I19,Settings!$B$2,IF(J19&lt;I19,Settings!$B$5,IF(K19=H19,Settings!$B$3,IF(K19=G19,Settings!$B$4,"")))))</f>
        <v/>
      </c>
      <c r="O19" t="str">
        <f t="shared" si="1"/>
        <v/>
      </c>
      <c r="P19" t="str">
        <f t="shared" si="2"/>
        <v/>
      </c>
    </row>
    <row r="20" spans="1:16" x14ac:dyDescent="0.3">
      <c r="A20" t="s">
        <v>557</v>
      </c>
      <c r="B20" t="s">
        <v>30</v>
      </c>
      <c r="C20" t="s">
        <v>43</v>
      </c>
      <c r="D20">
        <v>3</v>
      </c>
      <c r="E20" t="s">
        <v>531</v>
      </c>
      <c r="F20" t="s">
        <v>558</v>
      </c>
      <c r="G20" t="s">
        <v>44</v>
      </c>
      <c r="H20" t="s">
        <v>50</v>
      </c>
      <c r="I20" s="2"/>
      <c r="J20" s="2"/>
      <c r="K20" s="2"/>
      <c r="L20" t="str">
        <f t="shared" si="0"/>
        <v>Pending</v>
      </c>
      <c r="M20" t="str">
        <f>IF(OR(I20="",J20=""),"",IF(I20&gt;J20,Settings!$B$2,IF(I20&lt;J20,Settings!$B$5,IF(K20=G20,Settings!$B$3,IF(K20=H20,Settings!$B$4,"")))))</f>
        <v/>
      </c>
      <c r="N20" t="str">
        <f>IF(OR(I20="",J20=""),"",IF(J20&gt;I20,Settings!$B$2,IF(J20&lt;I20,Settings!$B$5,IF(K20=H20,Settings!$B$3,IF(K20=G20,Settings!$B$4,"")))))</f>
        <v/>
      </c>
      <c r="O20" t="str">
        <f t="shared" si="1"/>
        <v/>
      </c>
      <c r="P20" t="str">
        <f t="shared" si="2"/>
        <v/>
      </c>
    </row>
    <row r="21" spans="1:16" x14ac:dyDescent="0.3">
      <c r="A21" t="s">
        <v>559</v>
      </c>
      <c r="B21" t="s">
        <v>30</v>
      </c>
      <c r="C21" t="s">
        <v>43</v>
      </c>
      <c r="D21">
        <v>3</v>
      </c>
      <c r="E21" t="s">
        <v>534</v>
      </c>
      <c r="F21" t="s">
        <v>558</v>
      </c>
      <c r="G21" t="s">
        <v>46</v>
      </c>
      <c r="H21" t="s">
        <v>48</v>
      </c>
      <c r="I21" s="2"/>
      <c r="J21" s="2"/>
      <c r="K21" s="2"/>
      <c r="L21" t="str">
        <f t="shared" si="0"/>
        <v>Pending</v>
      </c>
      <c r="M21" t="str">
        <f>IF(OR(I21="",J21=""),"",IF(I21&gt;J21,Settings!$B$2,IF(I21&lt;J21,Settings!$B$5,IF(K21=G21,Settings!$B$3,IF(K21=H21,Settings!$B$4,"")))))</f>
        <v/>
      </c>
      <c r="N21" t="str">
        <f>IF(OR(I21="",J21=""),"",IF(J21&gt;I21,Settings!$B$2,IF(J21&lt;I21,Settings!$B$5,IF(K21=H21,Settings!$B$3,IF(K21=G21,Settings!$B$4,"")))))</f>
        <v/>
      </c>
      <c r="O21" t="str">
        <f t="shared" si="1"/>
        <v/>
      </c>
      <c r="P21" t="str">
        <f t="shared" si="2"/>
        <v/>
      </c>
    </row>
    <row r="22" spans="1:16" x14ac:dyDescent="0.3">
      <c r="A22" t="s">
        <v>560</v>
      </c>
      <c r="B22" t="s">
        <v>30</v>
      </c>
      <c r="C22" t="s">
        <v>52</v>
      </c>
      <c r="D22">
        <v>3</v>
      </c>
      <c r="E22" t="s">
        <v>536</v>
      </c>
      <c r="F22" t="s">
        <v>558</v>
      </c>
      <c r="G22" t="s">
        <v>53</v>
      </c>
      <c r="H22" t="s">
        <v>59</v>
      </c>
      <c r="I22" s="2"/>
      <c r="J22" s="2"/>
      <c r="K22" s="2"/>
      <c r="L22" t="str">
        <f t="shared" si="0"/>
        <v>Pending</v>
      </c>
      <c r="M22" t="str">
        <f>IF(OR(I22="",J22=""),"",IF(I22&gt;J22,Settings!$B$2,IF(I22&lt;J22,Settings!$B$5,IF(K22=G22,Settings!$B$3,IF(K22=H22,Settings!$B$4,"")))))</f>
        <v/>
      </c>
      <c r="N22" t="str">
        <f>IF(OR(I22="",J22=""),"",IF(J22&gt;I22,Settings!$B$2,IF(J22&lt;I22,Settings!$B$5,IF(K22=H22,Settings!$B$3,IF(K22=G22,Settings!$B$4,"")))))</f>
        <v/>
      </c>
      <c r="O22" t="str">
        <f t="shared" si="1"/>
        <v/>
      </c>
      <c r="P22" t="str">
        <f t="shared" si="2"/>
        <v/>
      </c>
    </row>
    <row r="23" spans="1:16" x14ac:dyDescent="0.3">
      <c r="A23" t="s">
        <v>561</v>
      </c>
      <c r="B23" t="s">
        <v>30</v>
      </c>
      <c r="C23" t="s">
        <v>34</v>
      </c>
      <c r="D23">
        <v>3</v>
      </c>
      <c r="E23" t="s">
        <v>531</v>
      </c>
      <c r="F23" t="s">
        <v>562</v>
      </c>
      <c r="G23" t="s">
        <v>35</v>
      </c>
      <c r="H23" t="s">
        <v>41</v>
      </c>
      <c r="I23" s="2"/>
      <c r="J23" s="2"/>
      <c r="K23" s="2"/>
      <c r="L23" t="str">
        <f t="shared" si="0"/>
        <v>Pending</v>
      </c>
      <c r="M23" t="str">
        <f>IF(OR(I23="",J23=""),"",IF(I23&gt;J23,Settings!$B$2,IF(I23&lt;J23,Settings!$B$5,IF(K23=G23,Settings!$B$3,IF(K23=H23,Settings!$B$4,"")))))</f>
        <v/>
      </c>
      <c r="N23" t="str">
        <f>IF(OR(I23="",J23=""),"",IF(J23&gt;I23,Settings!$B$2,IF(J23&lt;I23,Settings!$B$5,IF(K23=H23,Settings!$B$3,IF(K23=G23,Settings!$B$4,"")))))</f>
        <v/>
      </c>
      <c r="O23" t="str">
        <f t="shared" si="1"/>
        <v/>
      </c>
      <c r="P23" t="str">
        <f t="shared" si="2"/>
        <v/>
      </c>
    </row>
    <row r="24" spans="1:16" x14ac:dyDescent="0.3">
      <c r="A24" t="s">
        <v>563</v>
      </c>
      <c r="B24" t="s">
        <v>30</v>
      </c>
      <c r="C24" t="s">
        <v>34</v>
      </c>
      <c r="D24">
        <v>3</v>
      </c>
      <c r="E24" t="s">
        <v>534</v>
      </c>
      <c r="F24" t="s">
        <v>562</v>
      </c>
      <c r="G24" t="s">
        <v>37</v>
      </c>
      <c r="H24" t="s">
        <v>39</v>
      </c>
      <c r="I24" s="2"/>
      <c r="J24" s="2"/>
      <c r="K24" s="2"/>
      <c r="L24" t="str">
        <f t="shared" si="0"/>
        <v>Pending</v>
      </c>
      <c r="M24" t="str">
        <f>IF(OR(I24="",J24=""),"",IF(I24&gt;J24,Settings!$B$2,IF(I24&lt;J24,Settings!$B$5,IF(K24=G24,Settings!$B$3,IF(K24=H24,Settings!$B$4,"")))))</f>
        <v/>
      </c>
      <c r="N24" t="str">
        <f>IF(OR(I24="",J24=""),"",IF(J24&gt;I24,Settings!$B$2,IF(J24&lt;I24,Settings!$B$5,IF(K24=H24,Settings!$B$3,IF(K24=G24,Settings!$B$4,"")))))</f>
        <v/>
      </c>
      <c r="O24" t="str">
        <f t="shared" si="1"/>
        <v/>
      </c>
      <c r="P24" t="str">
        <f t="shared" si="2"/>
        <v/>
      </c>
    </row>
    <row r="25" spans="1:16" x14ac:dyDescent="0.3">
      <c r="A25" t="s">
        <v>564</v>
      </c>
      <c r="B25" t="s">
        <v>30</v>
      </c>
      <c r="C25" t="s">
        <v>52</v>
      </c>
      <c r="D25">
        <v>3</v>
      </c>
      <c r="E25" t="s">
        <v>536</v>
      </c>
      <c r="F25" t="s">
        <v>562</v>
      </c>
      <c r="G25" t="s">
        <v>55</v>
      </c>
      <c r="H25" t="s">
        <v>57</v>
      </c>
      <c r="I25" s="2"/>
      <c r="J25" s="2"/>
      <c r="K25" s="2"/>
      <c r="L25" t="str">
        <f t="shared" si="0"/>
        <v>Pending</v>
      </c>
      <c r="M25" t="str">
        <f>IF(OR(I25="",J25=""),"",IF(I25&gt;J25,Settings!$B$2,IF(I25&lt;J25,Settings!$B$5,IF(K25=G25,Settings!$B$3,IF(K25=H25,Settings!$B$4,"")))))</f>
        <v/>
      </c>
      <c r="N25" t="str">
        <f>IF(OR(I25="",J25=""),"",IF(J25&gt;I25,Settings!$B$2,IF(J25&lt;I25,Settings!$B$5,IF(K25=H25,Settings!$B$3,IF(K25=G25,Settings!$B$4,"")))))</f>
        <v/>
      </c>
      <c r="O25" t="str">
        <f t="shared" si="1"/>
        <v/>
      </c>
      <c r="P25" t="str">
        <f t="shared" si="2"/>
        <v/>
      </c>
    </row>
  </sheetData>
  <dataValidations count="1">
    <dataValidation type="list" sqref="K2:K25" xr:uid="{00000000-0002-0000-0400-000000000000}">
      <formula1>$G2:$H2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61"/>
  <sheetViews>
    <sheetView workbookViewId="0">
      <selection activeCell="E3" sqref="E3"/>
    </sheetView>
  </sheetViews>
  <sheetFormatPr defaultRowHeight="14.4" x14ac:dyDescent="0.3"/>
  <cols>
    <col min="1" max="4" width="18" customWidth="1"/>
    <col min="5" max="5" width="34" customWidth="1"/>
    <col min="6" max="10" width="18" customWidth="1"/>
    <col min="11" max="11" width="42" customWidth="1"/>
  </cols>
  <sheetData>
    <row r="1" spans="1:26" x14ac:dyDescent="0.3">
      <c r="A1" s="5" t="s">
        <v>516</v>
      </c>
      <c r="B1" s="5" t="s">
        <v>565</v>
      </c>
      <c r="C1" s="5" t="s">
        <v>566</v>
      </c>
      <c r="D1" s="5" t="s">
        <v>18</v>
      </c>
      <c r="E1" s="5" t="s">
        <v>567</v>
      </c>
      <c r="F1" s="5" t="s">
        <v>568</v>
      </c>
      <c r="G1" s="5" t="s">
        <v>525</v>
      </c>
      <c r="H1" s="5" t="s">
        <v>569</v>
      </c>
      <c r="I1" s="5" t="s">
        <v>570</v>
      </c>
      <c r="J1" s="5" t="s">
        <v>571</v>
      </c>
      <c r="K1" s="5" t="s">
        <v>572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tr">
        <f>IF(OR(INDEX(Matches!$I$2:$I$25,I2-1)="",INDEX(Matches!$J$2:$J$25,I2-1)=""),"",IF(J2&lt;=INDEX(Matches!$I$2:$I$25,I2-1)+INDEX(Matches!$J$2:$J$25,I2-1),INDEX(Matches!$A$2:$A$25,I2-1),""))</f>
        <v>M01</v>
      </c>
      <c r="B2" t="str">
        <f>IF(A2="","",IF(J2&lt;=INDEX(Matches!$I$2:$I$25,I2-1),INDEX(Matches!$G$2:$G$25,I2-1),INDEX(Matches!$H$2:$H$25,I2-1)))</f>
        <v>All Blacks</v>
      </c>
      <c r="C2">
        <f>IF(A2="","",COUNTIFS($A$2:A2,A2,$B$2:B2,B2))</f>
        <v>1</v>
      </c>
      <c r="D2" s="2" t="s">
        <v>666</v>
      </c>
      <c r="E2" s="2" t="s">
        <v>402</v>
      </c>
      <c r="F2" t="str">
        <f t="shared" ref="F2:F65" si="0">IF(A2="","",IF(D2="Autogol","",IF(D2="Goal",B2,"")))</f>
        <v>All Blacks</v>
      </c>
      <c r="G2" t="str">
        <f t="shared" ref="G2:G65" si="1">IF(A2="","",IF(D2="","Manca tipo",IF(D2="Goal",IF(E2="","Manca giocatore","OK"),IF(D2="Autogol",IF(E2&lt;&gt;"","Autogol: svuota Player","OK"),"Tipo non valido"))))</f>
        <v>OK</v>
      </c>
      <c r="H2" t="str">
        <f>IF(F2="","",VLOOKUP(F2,Validation!$A$2:$B$17,2,FALSE))</f>
        <v>Validation!$O$2:$O$12</v>
      </c>
      <c r="I2">
        <f>INT((ROW()-2)/Settings!$B$6)+2</f>
        <v>2</v>
      </c>
      <c r="J2">
        <f>MOD(ROW()-2,Settings!$B$6)+1</f>
        <v>1</v>
      </c>
      <c r="K2" t="s">
        <v>573</v>
      </c>
    </row>
    <row r="3" spans="1:26" x14ac:dyDescent="0.3">
      <c r="A3" t="str">
        <f>IF(OR(INDEX(Matches!$I$2:$I$25,I3-1)="",INDEX(Matches!$J$2:$J$25,I3-1)=""),"",IF(J3&lt;=INDEX(Matches!$I$2:$I$25,I3-1)+INDEX(Matches!$J$2:$J$25,I3-1),INDEX(Matches!$A$2:$A$25,I3-1),""))</f>
        <v/>
      </c>
      <c r="B3" t="str">
        <f>IF(A3="","",IF(J3&lt;=INDEX(Matches!$I$2:$I$25,I3-1),INDEX(Matches!$G$2:$G$25,I3-1),INDEX(Matches!$H$2:$H$25,I3-1)))</f>
        <v/>
      </c>
      <c r="C3" t="str">
        <f>IF(A3="","",COUNTIFS($A$2:A3,A3,$B$2:B3,B3))</f>
        <v/>
      </c>
      <c r="D3" s="2"/>
      <c r="E3" s="2"/>
      <c r="F3" t="str">
        <f t="shared" si="0"/>
        <v/>
      </c>
      <c r="G3" t="str">
        <f t="shared" si="1"/>
        <v/>
      </c>
      <c r="H3" t="str">
        <f>IF(F3="","",VLOOKUP(F3,Validation!$A$2:$B$17,2,FALSE))</f>
        <v/>
      </c>
      <c r="I3">
        <f>INT((ROW()-2)/Settings!$B$6)+2</f>
        <v>2</v>
      </c>
      <c r="J3">
        <f>MOD(ROW()-2,Settings!$B$6)+1</f>
        <v>2</v>
      </c>
    </row>
    <row r="4" spans="1:26" x14ac:dyDescent="0.3">
      <c r="A4" t="str">
        <f>IF(OR(INDEX(Matches!$I$2:$I$25,I4-1)="",INDEX(Matches!$J$2:$J$25,I4-1)=""),"",IF(J4&lt;=INDEX(Matches!$I$2:$I$25,I4-1)+INDEX(Matches!$J$2:$J$25,I4-1),INDEX(Matches!$A$2:$A$25,I4-1),""))</f>
        <v/>
      </c>
      <c r="B4" t="str">
        <f>IF(A4="","",IF(J4&lt;=INDEX(Matches!$I$2:$I$25,I4-1),INDEX(Matches!$G$2:$G$25,I4-1),INDEX(Matches!$H$2:$H$25,I4-1)))</f>
        <v/>
      </c>
      <c r="C4" t="str">
        <f>IF(A4="","",COUNTIFS($A$2:A4,A4,$B$2:B4,B4))</f>
        <v/>
      </c>
      <c r="D4" s="2"/>
      <c r="E4" s="2"/>
      <c r="F4" t="str">
        <f t="shared" si="0"/>
        <v/>
      </c>
      <c r="G4" t="str">
        <f t="shared" si="1"/>
        <v/>
      </c>
      <c r="H4" t="str">
        <f>IF(F4="","",VLOOKUP(F4,Validation!$A$2:$B$17,2,FALSE))</f>
        <v/>
      </c>
      <c r="I4">
        <f>INT((ROW()-2)/Settings!$B$6)+2</f>
        <v>2</v>
      </c>
      <c r="J4">
        <f>MOD(ROW()-2,Settings!$B$6)+1</f>
        <v>3</v>
      </c>
    </row>
    <row r="5" spans="1:26" x14ac:dyDescent="0.3">
      <c r="A5" t="str">
        <f>IF(OR(INDEX(Matches!$I$2:$I$25,I5-1)="",INDEX(Matches!$J$2:$J$25,I5-1)=""),"",IF(J5&lt;=INDEX(Matches!$I$2:$I$25,I5-1)+INDEX(Matches!$J$2:$J$25,I5-1),INDEX(Matches!$A$2:$A$25,I5-1),""))</f>
        <v/>
      </c>
      <c r="B5" t="str">
        <f>IF(A5="","",IF(J5&lt;=INDEX(Matches!$I$2:$I$25,I5-1),INDEX(Matches!$G$2:$G$25,I5-1),INDEX(Matches!$H$2:$H$25,I5-1)))</f>
        <v/>
      </c>
      <c r="C5" t="str">
        <f>IF(A5="","",COUNTIFS($A$2:A5,A5,$B$2:B5,B5))</f>
        <v/>
      </c>
      <c r="D5" s="2"/>
      <c r="E5" s="2"/>
      <c r="F5" t="str">
        <f t="shared" si="0"/>
        <v/>
      </c>
      <c r="G5" t="str">
        <f t="shared" si="1"/>
        <v/>
      </c>
      <c r="H5" t="str">
        <f>IF(F5="","",VLOOKUP(F5,Validation!$A$2:$B$17,2,FALSE))</f>
        <v/>
      </c>
      <c r="I5">
        <f>INT((ROW()-2)/Settings!$B$6)+2</f>
        <v>2</v>
      </c>
      <c r="J5">
        <f>MOD(ROW()-2,Settings!$B$6)+1</f>
        <v>4</v>
      </c>
    </row>
    <row r="6" spans="1:26" x14ac:dyDescent="0.3">
      <c r="A6" t="str">
        <f>IF(OR(INDEX(Matches!$I$2:$I$25,I6-1)="",INDEX(Matches!$J$2:$J$25,I6-1)=""),"",IF(J6&lt;=INDEX(Matches!$I$2:$I$25,I6-1)+INDEX(Matches!$J$2:$J$25,I6-1),INDEX(Matches!$A$2:$A$25,I6-1),""))</f>
        <v/>
      </c>
      <c r="B6" t="str">
        <f>IF(A6="","",IF(J6&lt;=INDEX(Matches!$I$2:$I$25,I6-1),INDEX(Matches!$G$2:$G$25,I6-1),INDEX(Matches!$H$2:$H$25,I6-1)))</f>
        <v/>
      </c>
      <c r="C6" t="str">
        <f>IF(A6="","",COUNTIFS($A$2:A6,A6,$B$2:B6,B6))</f>
        <v/>
      </c>
      <c r="D6" s="2"/>
      <c r="E6" s="2"/>
      <c r="F6" t="str">
        <f t="shared" si="0"/>
        <v/>
      </c>
      <c r="G6" t="str">
        <f t="shared" si="1"/>
        <v/>
      </c>
      <c r="H6" t="str">
        <f>IF(F6="","",VLOOKUP(F6,Validation!$A$2:$B$17,2,FALSE))</f>
        <v/>
      </c>
      <c r="I6">
        <f>INT((ROW()-2)/Settings!$B$6)+2</f>
        <v>2</v>
      </c>
      <c r="J6">
        <f>MOD(ROW()-2,Settings!$B$6)+1</f>
        <v>5</v>
      </c>
    </row>
    <row r="7" spans="1:26" x14ac:dyDescent="0.3">
      <c r="A7" t="str">
        <f>IF(OR(INDEX(Matches!$I$2:$I$25,I7-1)="",INDEX(Matches!$J$2:$J$25,I7-1)=""),"",IF(J7&lt;=INDEX(Matches!$I$2:$I$25,I7-1)+INDEX(Matches!$J$2:$J$25,I7-1),INDEX(Matches!$A$2:$A$25,I7-1),""))</f>
        <v/>
      </c>
      <c r="B7" t="str">
        <f>IF(A7="","",IF(J7&lt;=INDEX(Matches!$I$2:$I$25,I7-1),INDEX(Matches!$G$2:$G$25,I7-1),INDEX(Matches!$H$2:$H$25,I7-1)))</f>
        <v/>
      </c>
      <c r="C7" t="str">
        <f>IF(A7="","",COUNTIFS($A$2:A7,A7,$B$2:B7,B7))</f>
        <v/>
      </c>
      <c r="D7" s="2"/>
      <c r="E7" s="2"/>
      <c r="F7" t="str">
        <f t="shared" si="0"/>
        <v/>
      </c>
      <c r="G7" t="str">
        <f t="shared" si="1"/>
        <v/>
      </c>
      <c r="H7" t="str">
        <f>IF(F7="","",VLOOKUP(F7,Validation!$A$2:$B$17,2,FALSE))</f>
        <v/>
      </c>
      <c r="I7">
        <f>INT((ROW()-2)/Settings!$B$6)+2</f>
        <v>2</v>
      </c>
      <c r="J7">
        <f>MOD(ROW()-2,Settings!$B$6)+1</f>
        <v>6</v>
      </c>
    </row>
    <row r="8" spans="1:26" x14ac:dyDescent="0.3">
      <c r="A8" t="str">
        <f>IF(OR(INDEX(Matches!$I$2:$I$25,I8-1)="",INDEX(Matches!$J$2:$J$25,I8-1)=""),"",IF(J8&lt;=INDEX(Matches!$I$2:$I$25,I8-1)+INDEX(Matches!$J$2:$J$25,I8-1),INDEX(Matches!$A$2:$A$25,I8-1),""))</f>
        <v/>
      </c>
      <c r="B8" t="str">
        <f>IF(A8="","",IF(J8&lt;=INDEX(Matches!$I$2:$I$25,I8-1),INDEX(Matches!$G$2:$G$25,I8-1),INDEX(Matches!$H$2:$H$25,I8-1)))</f>
        <v/>
      </c>
      <c r="C8" t="str">
        <f>IF(A8="","",COUNTIFS($A$2:A8,A8,$B$2:B8,B8))</f>
        <v/>
      </c>
      <c r="D8" s="2"/>
      <c r="E8" s="2"/>
      <c r="F8" t="str">
        <f t="shared" si="0"/>
        <v/>
      </c>
      <c r="G8" t="str">
        <f t="shared" si="1"/>
        <v/>
      </c>
      <c r="H8" t="str">
        <f>IF(F8="","",VLOOKUP(F8,Validation!$A$2:$B$17,2,FALSE))</f>
        <v/>
      </c>
      <c r="I8">
        <f>INT((ROW()-2)/Settings!$B$6)+2</f>
        <v>2</v>
      </c>
      <c r="J8">
        <f>MOD(ROW()-2,Settings!$B$6)+1</f>
        <v>7</v>
      </c>
    </row>
    <row r="9" spans="1:26" x14ac:dyDescent="0.3">
      <c r="A9" t="str">
        <f>IF(OR(INDEX(Matches!$I$2:$I$25,I9-1)="",INDEX(Matches!$J$2:$J$25,I9-1)=""),"",IF(J9&lt;=INDEX(Matches!$I$2:$I$25,I9-1)+INDEX(Matches!$J$2:$J$25,I9-1),INDEX(Matches!$A$2:$A$25,I9-1),""))</f>
        <v/>
      </c>
      <c r="B9" t="str">
        <f>IF(A9="","",IF(J9&lt;=INDEX(Matches!$I$2:$I$25,I9-1),INDEX(Matches!$G$2:$G$25,I9-1),INDEX(Matches!$H$2:$H$25,I9-1)))</f>
        <v/>
      </c>
      <c r="C9" t="str">
        <f>IF(A9="","",COUNTIFS($A$2:A9,A9,$B$2:B9,B9))</f>
        <v/>
      </c>
      <c r="D9" s="2"/>
      <c r="E9" s="2"/>
      <c r="F9" t="str">
        <f t="shared" si="0"/>
        <v/>
      </c>
      <c r="G9" t="str">
        <f t="shared" si="1"/>
        <v/>
      </c>
      <c r="H9" t="str">
        <f>IF(F9="","",VLOOKUP(F9,Validation!$A$2:$B$17,2,FALSE))</f>
        <v/>
      </c>
      <c r="I9">
        <f>INT((ROW()-2)/Settings!$B$6)+2</f>
        <v>2</v>
      </c>
      <c r="J9">
        <f>MOD(ROW()-2,Settings!$B$6)+1</f>
        <v>8</v>
      </c>
    </row>
    <row r="10" spans="1:26" x14ac:dyDescent="0.3">
      <c r="A10" t="str">
        <f>IF(OR(INDEX(Matches!$I$2:$I$25,I10-1)="",INDEX(Matches!$J$2:$J$25,I10-1)=""),"",IF(J10&lt;=INDEX(Matches!$I$2:$I$25,I10-1)+INDEX(Matches!$J$2:$J$25,I10-1),INDEX(Matches!$A$2:$A$25,I10-1),""))</f>
        <v/>
      </c>
      <c r="B10" t="str">
        <f>IF(A10="","",IF(J10&lt;=INDEX(Matches!$I$2:$I$25,I10-1),INDEX(Matches!$G$2:$G$25,I10-1),INDEX(Matches!$H$2:$H$25,I10-1)))</f>
        <v/>
      </c>
      <c r="C10" t="str">
        <f>IF(A10="","",COUNTIFS($A$2:A10,A10,$B$2:B10,B10))</f>
        <v/>
      </c>
      <c r="D10" s="2"/>
      <c r="E10" s="2"/>
      <c r="F10" t="str">
        <f t="shared" si="0"/>
        <v/>
      </c>
      <c r="G10" t="str">
        <f t="shared" si="1"/>
        <v/>
      </c>
      <c r="H10" t="str">
        <f>IF(F10="","",VLOOKUP(F10,Validation!$A$2:$B$17,2,FALSE))</f>
        <v/>
      </c>
      <c r="I10">
        <f>INT((ROW()-2)/Settings!$B$6)+2</f>
        <v>2</v>
      </c>
      <c r="J10">
        <f>MOD(ROW()-2,Settings!$B$6)+1</f>
        <v>9</v>
      </c>
    </row>
    <row r="11" spans="1:26" x14ac:dyDescent="0.3">
      <c r="A11" t="str">
        <f>IF(OR(INDEX(Matches!$I$2:$I$25,I11-1)="",INDEX(Matches!$J$2:$J$25,I11-1)=""),"",IF(J11&lt;=INDEX(Matches!$I$2:$I$25,I11-1)+INDEX(Matches!$J$2:$J$25,I11-1),INDEX(Matches!$A$2:$A$25,I11-1),""))</f>
        <v/>
      </c>
      <c r="B11" t="str">
        <f>IF(A11="","",IF(J11&lt;=INDEX(Matches!$I$2:$I$25,I11-1),INDEX(Matches!$G$2:$G$25,I11-1),INDEX(Matches!$H$2:$H$25,I11-1)))</f>
        <v/>
      </c>
      <c r="C11" t="str">
        <f>IF(A11="","",COUNTIFS($A$2:A11,A11,$B$2:B11,B11))</f>
        <v/>
      </c>
      <c r="D11" s="2"/>
      <c r="E11" s="2"/>
      <c r="F11" t="str">
        <f t="shared" si="0"/>
        <v/>
      </c>
      <c r="G11" t="str">
        <f t="shared" si="1"/>
        <v/>
      </c>
      <c r="H11" t="str">
        <f>IF(F11="","",VLOOKUP(F11,Validation!$A$2:$B$17,2,FALSE))</f>
        <v/>
      </c>
      <c r="I11">
        <f>INT((ROW()-2)/Settings!$B$6)+2</f>
        <v>2</v>
      </c>
      <c r="J11">
        <f>MOD(ROW()-2,Settings!$B$6)+1</f>
        <v>10</v>
      </c>
    </row>
    <row r="12" spans="1:26" x14ac:dyDescent="0.3">
      <c r="A12" t="str">
        <f>IF(OR(INDEX(Matches!$I$2:$I$25,I12-1)="",INDEX(Matches!$J$2:$J$25,I12-1)=""),"",IF(J12&lt;=INDEX(Matches!$I$2:$I$25,I12-1)+INDEX(Matches!$J$2:$J$25,I12-1),INDEX(Matches!$A$2:$A$25,I12-1),""))</f>
        <v/>
      </c>
      <c r="B12" t="str">
        <f>IF(A12="","",IF(J12&lt;=INDEX(Matches!$I$2:$I$25,I12-1),INDEX(Matches!$G$2:$G$25,I12-1),INDEX(Matches!$H$2:$H$25,I12-1)))</f>
        <v/>
      </c>
      <c r="C12" t="str">
        <f>IF(A12="","",COUNTIFS($A$2:A12,A12,$B$2:B12,B12))</f>
        <v/>
      </c>
      <c r="D12" s="2"/>
      <c r="E12" s="2"/>
      <c r="F12" t="str">
        <f t="shared" si="0"/>
        <v/>
      </c>
      <c r="G12" t="str">
        <f t="shared" si="1"/>
        <v/>
      </c>
      <c r="H12" t="str">
        <f>IF(F12="","",VLOOKUP(F12,Validation!$A$2:$B$17,2,FALSE))</f>
        <v/>
      </c>
      <c r="I12">
        <f>INT((ROW()-2)/Settings!$B$6)+2</f>
        <v>2</v>
      </c>
      <c r="J12">
        <f>MOD(ROW()-2,Settings!$B$6)+1</f>
        <v>11</v>
      </c>
    </row>
    <row r="13" spans="1:26" x14ac:dyDescent="0.3">
      <c r="A13" t="str">
        <f>IF(OR(INDEX(Matches!$I$2:$I$25,I13-1)="",INDEX(Matches!$J$2:$J$25,I13-1)=""),"",IF(J13&lt;=INDEX(Matches!$I$2:$I$25,I13-1)+INDEX(Matches!$J$2:$J$25,I13-1),INDEX(Matches!$A$2:$A$25,I13-1),""))</f>
        <v/>
      </c>
      <c r="B13" t="str">
        <f>IF(A13="","",IF(J13&lt;=INDEX(Matches!$I$2:$I$25,I13-1),INDEX(Matches!$G$2:$G$25,I13-1),INDEX(Matches!$H$2:$H$25,I13-1)))</f>
        <v/>
      </c>
      <c r="C13" t="str">
        <f>IF(A13="","",COUNTIFS($A$2:A13,A13,$B$2:B13,B13))</f>
        <v/>
      </c>
      <c r="D13" s="2"/>
      <c r="E13" s="2"/>
      <c r="F13" t="str">
        <f t="shared" si="0"/>
        <v/>
      </c>
      <c r="G13" t="str">
        <f t="shared" si="1"/>
        <v/>
      </c>
      <c r="H13" t="str">
        <f>IF(F13="","",VLOOKUP(F13,Validation!$A$2:$B$17,2,FALSE))</f>
        <v/>
      </c>
      <c r="I13">
        <f>INT((ROW()-2)/Settings!$B$6)+2</f>
        <v>2</v>
      </c>
      <c r="J13">
        <f>MOD(ROW()-2,Settings!$B$6)+1</f>
        <v>12</v>
      </c>
    </row>
    <row r="14" spans="1:26" x14ac:dyDescent="0.3">
      <c r="A14" t="str">
        <f>IF(OR(INDEX(Matches!$I$2:$I$25,I14-1)="",INDEX(Matches!$J$2:$J$25,I14-1)=""),"",IF(J14&lt;=INDEX(Matches!$I$2:$I$25,I14-1)+INDEX(Matches!$J$2:$J$25,I14-1),INDEX(Matches!$A$2:$A$25,I14-1),""))</f>
        <v/>
      </c>
      <c r="B14" t="str">
        <f>IF(A14="","",IF(J14&lt;=INDEX(Matches!$I$2:$I$25,I14-1),INDEX(Matches!$G$2:$G$25,I14-1),INDEX(Matches!$H$2:$H$25,I14-1)))</f>
        <v/>
      </c>
      <c r="C14" t="str">
        <f>IF(A14="","",COUNTIFS($A$2:A14,A14,$B$2:B14,B14))</f>
        <v/>
      </c>
      <c r="D14" s="2"/>
      <c r="E14" s="2"/>
      <c r="F14" t="str">
        <f t="shared" si="0"/>
        <v/>
      </c>
      <c r="G14" t="str">
        <f t="shared" si="1"/>
        <v/>
      </c>
      <c r="H14" t="str">
        <f>IF(F14="","",VLOOKUP(F14,Validation!$A$2:$B$17,2,FALSE))</f>
        <v/>
      </c>
      <c r="I14">
        <f>INT((ROW()-2)/Settings!$B$6)+2</f>
        <v>3</v>
      </c>
      <c r="J14">
        <f>MOD(ROW()-2,Settings!$B$6)+1</f>
        <v>1</v>
      </c>
    </row>
    <row r="15" spans="1:26" x14ac:dyDescent="0.3">
      <c r="A15" t="str">
        <f>IF(OR(INDEX(Matches!$I$2:$I$25,I15-1)="",INDEX(Matches!$J$2:$J$25,I15-1)=""),"",IF(J15&lt;=INDEX(Matches!$I$2:$I$25,I15-1)+INDEX(Matches!$J$2:$J$25,I15-1),INDEX(Matches!$A$2:$A$25,I15-1),""))</f>
        <v/>
      </c>
      <c r="B15" t="str">
        <f>IF(A15="","",IF(J15&lt;=INDEX(Matches!$I$2:$I$25,I15-1),INDEX(Matches!$G$2:$G$25,I15-1),INDEX(Matches!$H$2:$H$25,I15-1)))</f>
        <v/>
      </c>
      <c r="C15" t="str">
        <f>IF(A15="","",COUNTIFS($A$2:A15,A15,$B$2:B15,B15))</f>
        <v/>
      </c>
      <c r="D15" s="2"/>
      <c r="E15" s="2"/>
      <c r="F15" t="str">
        <f t="shared" si="0"/>
        <v/>
      </c>
      <c r="G15" t="str">
        <f t="shared" si="1"/>
        <v/>
      </c>
      <c r="H15" t="str">
        <f>IF(F15="","",VLOOKUP(F15,Validation!$A$2:$B$17,2,FALSE))</f>
        <v/>
      </c>
      <c r="I15">
        <f>INT((ROW()-2)/Settings!$B$6)+2</f>
        <v>3</v>
      </c>
      <c r="J15">
        <f>MOD(ROW()-2,Settings!$B$6)+1</f>
        <v>2</v>
      </c>
    </row>
    <row r="16" spans="1:26" x14ac:dyDescent="0.3">
      <c r="A16" t="str">
        <f>IF(OR(INDEX(Matches!$I$2:$I$25,I16-1)="",INDEX(Matches!$J$2:$J$25,I16-1)=""),"",IF(J16&lt;=INDEX(Matches!$I$2:$I$25,I16-1)+INDEX(Matches!$J$2:$J$25,I16-1),INDEX(Matches!$A$2:$A$25,I16-1),""))</f>
        <v/>
      </c>
      <c r="B16" t="str">
        <f>IF(A16="","",IF(J16&lt;=INDEX(Matches!$I$2:$I$25,I16-1),INDEX(Matches!$G$2:$G$25,I16-1),INDEX(Matches!$H$2:$H$25,I16-1)))</f>
        <v/>
      </c>
      <c r="C16" t="str">
        <f>IF(A16="","",COUNTIFS($A$2:A16,A16,$B$2:B16,B16))</f>
        <v/>
      </c>
      <c r="D16" s="2"/>
      <c r="E16" s="2"/>
      <c r="F16" t="str">
        <f t="shared" si="0"/>
        <v/>
      </c>
      <c r="G16" t="str">
        <f t="shared" si="1"/>
        <v/>
      </c>
      <c r="H16" t="str">
        <f>IF(F16="","",VLOOKUP(F16,Validation!$A$2:$B$17,2,FALSE))</f>
        <v/>
      </c>
      <c r="I16">
        <f>INT((ROW()-2)/Settings!$B$6)+2</f>
        <v>3</v>
      </c>
      <c r="J16">
        <f>MOD(ROW()-2,Settings!$B$6)+1</f>
        <v>3</v>
      </c>
    </row>
    <row r="17" spans="1:10" x14ac:dyDescent="0.3">
      <c r="A17" t="str">
        <f>IF(OR(INDEX(Matches!$I$2:$I$25,I17-1)="",INDEX(Matches!$J$2:$J$25,I17-1)=""),"",IF(J17&lt;=INDEX(Matches!$I$2:$I$25,I17-1)+INDEX(Matches!$J$2:$J$25,I17-1),INDEX(Matches!$A$2:$A$25,I17-1),""))</f>
        <v/>
      </c>
      <c r="B17" t="str">
        <f>IF(A17="","",IF(J17&lt;=INDEX(Matches!$I$2:$I$25,I17-1),INDEX(Matches!$G$2:$G$25,I17-1),INDEX(Matches!$H$2:$H$25,I17-1)))</f>
        <v/>
      </c>
      <c r="C17" t="str">
        <f>IF(A17="","",COUNTIFS($A$2:A17,A17,$B$2:B17,B17))</f>
        <v/>
      </c>
      <c r="D17" s="2"/>
      <c r="E17" s="2"/>
      <c r="F17" t="str">
        <f t="shared" si="0"/>
        <v/>
      </c>
      <c r="G17" t="str">
        <f t="shared" si="1"/>
        <v/>
      </c>
      <c r="H17" t="str">
        <f>IF(F17="","",VLOOKUP(F17,Validation!$A$2:$B$17,2,FALSE))</f>
        <v/>
      </c>
      <c r="I17">
        <f>INT((ROW()-2)/Settings!$B$6)+2</f>
        <v>3</v>
      </c>
      <c r="J17">
        <f>MOD(ROW()-2,Settings!$B$6)+1</f>
        <v>4</v>
      </c>
    </row>
    <row r="18" spans="1:10" x14ac:dyDescent="0.3">
      <c r="A18" t="str">
        <f>IF(OR(INDEX(Matches!$I$2:$I$25,I18-1)="",INDEX(Matches!$J$2:$J$25,I18-1)=""),"",IF(J18&lt;=INDEX(Matches!$I$2:$I$25,I18-1)+INDEX(Matches!$J$2:$J$25,I18-1),INDEX(Matches!$A$2:$A$25,I18-1),""))</f>
        <v/>
      </c>
      <c r="B18" t="str">
        <f>IF(A18="","",IF(J18&lt;=INDEX(Matches!$I$2:$I$25,I18-1),INDEX(Matches!$G$2:$G$25,I18-1),INDEX(Matches!$H$2:$H$25,I18-1)))</f>
        <v/>
      </c>
      <c r="C18" t="str">
        <f>IF(A18="","",COUNTIFS($A$2:A18,A18,$B$2:B18,B18))</f>
        <v/>
      </c>
      <c r="D18" s="2"/>
      <c r="E18" s="2"/>
      <c r="F18" t="str">
        <f t="shared" si="0"/>
        <v/>
      </c>
      <c r="G18" t="str">
        <f t="shared" si="1"/>
        <v/>
      </c>
      <c r="H18" t="str">
        <f>IF(F18="","",VLOOKUP(F18,Validation!$A$2:$B$17,2,FALSE))</f>
        <v/>
      </c>
      <c r="I18">
        <f>INT((ROW()-2)/Settings!$B$6)+2</f>
        <v>3</v>
      </c>
      <c r="J18">
        <f>MOD(ROW()-2,Settings!$B$6)+1</f>
        <v>5</v>
      </c>
    </row>
    <row r="19" spans="1:10" x14ac:dyDescent="0.3">
      <c r="A19" t="str">
        <f>IF(OR(INDEX(Matches!$I$2:$I$25,I19-1)="",INDEX(Matches!$J$2:$J$25,I19-1)=""),"",IF(J19&lt;=INDEX(Matches!$I$2:$I$25,I19-1)+INDEX(Matches!$J$2:$J$25,I19-1),INDEX(Matches!$A$2:$A$25,I19-1),""))</f>
        <v/>
      </c>
      <c r="B19" t="str">
        <f>IF(A19="","",IF(J19&lt;=INDEX(Matches!$I$2:$I$25,I19-1),INDEX(Matches!$G$2:$G$25,I19-1),INDEX(Matches!$H$2:$H$25,I19-1)))</f>
        <v/>
      </c>
      <c r="C19" t="str">
        <f>IF(A19="","",COUNTIFS($A$2:A19,A19,$B$2:B19,B19))</f>
        <v/>
      </c>
      <c r="D19" s="2"/>
      <c r="E19" s="2"/>
      <c r="F19" t="str">
        <f t="shared" si="0"/>
        <v/>
      </c>
      <c r="G19" t="str">
        <f t="shared" si="1"/>
        <v/>
      </c>
      <c r="H19" t="str">
        <f>IF(F19="","",VLOOKUP(F19,Validation!$A$2:$B$17,2,FALSE))</f>
        <v/>
      </c>
      <c r="I19">
        <f>INT((ROW()-2)/Settings!$B$6)+2</f>
        <v>3</v>
      </c>
      <c r="J19">
        <f>MOD(ROW()-2,Settings!$B$6)+1</f>
        <v>6</v>
      </c>
    </row>
    <row r="20" spans="1:10" x14ac:dyDescent="0.3">
      <c r="A20" t="str">
        <f>IF(OR(INDEX(Matches!$I$2:$I$25,I20-1)="",INDEX(Matches!$J$2:$J$25,I20-1)=""),"",IF(J20&lt;=INDEX(Matches!$I$2:$I$25,I20-1)+INDEX(Matches!$J$2:$J$25,I20-1),INDEX(Matches!$A$2:$A$25,I20-1),""))</f>
        <v/>
      </c>
      <c r="B20" t="str">
        <f>IF(A20="","",IF(J20&lt;=INDEX(Matches!$I$2:$I$25,I20-1),INDEX(Matches!$G$2:$G$25,I20-1),INDEX(Matches!$H$2:$H$25,I20-1)))</f>
        <v/>
      </c>
      <c r="C20" t="str">
        <f>IF(A20="","",COUNTIFS($A$2:A20,A20,$B$2:B20,B20))</f>
        <v/>
      </c>
      <c r="D20" s="2" t="str">
        <f t="shared" ref="D2:D65" si="2">IF(A20="","","Goal")</f>
        <v/>
      </c>
      <c r="E20" s="2"/>
      <c r="F20" t="str">
        <f t="shared" si="0"/>
        <v/>
      </c>
      <c r="G20" t="str">
        <f t="shared" si="1"/>
        <v/>
      </c>
      <c r="H20" t="str">
        <f>IF(F20="","",VLOOKUP(F20,Validation!$A$2:$B$17,2,FALSE))</f>
        <v/>
      </c>
      <c r="I20">
        <f>INT((ROW()-2)/Settings!$B$6)+2</f>
        <v>3</v>
      </c>
      <c r="J20">
        <f>MOD(ROW()-2,Settings!$B$6)+1</f>
        <v>7</v>
      </c>
    </row>
    <row r="21" spans="1:10" x14ac:dyDescent="0.3">
      <c r="A21" t="str">
        <f>IF(OR(INDEX(Matches!$I$2:$I$25,I21-1)="",INDEX(Matches!$J$2:$J$25,I21-1)=""),"",IF(J21&lt;=INDEX(Matches!$I$2:$I$25,I21-1)+INDEX(Matches!$J$2:$J$25,I21-1),INDEX(Matches!$A$2:$A$25,I21-1),""))</f>
        <v/>
      </c>
      <c r="B21" t="str">
        <f>IF(A21="","",IF(J21&lt;=INDEX(Matches!$I$2:$I$25,I21-1),INDEX(Matches!$G$2:$G$25,I21-1),INDEX(Matches!$H$2:$H$25,I21-1)))</f>
        <v/>
      </c>
      <c r="C21" t="str">
        <f>IF(A21="","",COUNTIFS($A$2:A21,A21,$B$2:B21,B21))</f>
        <v/>
      </c>
      <c r="D21" s="2" t="str">
        <f t="shared" si="2"/>
        <v/>
      </c>
      <c r="E21" s="2"/>
      <c r="F21" t="str">
        <f t="shared" si="0"/>
        <v/>
      </c>
      <c r="G21" t="str">
        <f t="shared" si="1"/>
        <v/>
      </c>
      <c r="H21" t="str">
        <f>IF(F21="","",VLOOKUP(F21,Validation!$A$2:$B$17,2,FALSE))</f>
        <v/>
      </c>
      <c r="I21">
        <f>INT((ROW()-2)/Settings!$B$6)+2</f>
        <v>3</v>
      </c>
      <c r="J21">
        <f>MOD(ROW()-2,Settings!$B$6)+1</f>
        <v>8</v>
      </c>
    </row>
    <row r="22" spans="1:10" x14ac:dyDescent="0.3">
      <c r="A22" t="str">
        <f>IF(OR(INDEX(Matches!$I$2:$I$25,I22-1)="",INDEX(Matches!$J$2:$J$25,I22-1)=""),"",IF(J22&lt;=INDEX(Matches!$I$2:$I$25,I22-1)+INDEX(Matches!$J$2:$J$25,I22-1),INDEX(Matches!$A$2:$A$25,I22-1),""))</f>
        <v/>
      </c>
      <c r="B22" t="str">
        <f>IF(A22="","",IF(J22&lt;=INDEX(Matches!$I$2:$I$25,I22-1),INDEX(Matches!$G$2:$G$25,I22-1),INDEX(Matches!$H$2:$H$25,I22-1)))</f>
        <v/>
      </c>
      <c r="C22" t="str">
        <f>IF(A22="","",COUNTIFS($A$2:A22,A22,$B$2:B22,B22))</f>
        <v/>
      </c>
      <c r="D22" s="2" t="str">
        <f t="shared" si="2"/>
        <v/>
      </c>
      <c r="E22" s="2"/>
      <c r="F22" t="str">
        <f t="shared" si="0"/>
        <v/>
      </c>
      <c r="G22" t="str">
        <f t="shared" si="1"/>
        <v/>
      </c>
      <c r="H22" t="str">
        <f>IF(F22="","",VLOOKUP(F22,Validation!$A$2:$B$17,2,FALSE))</f>
        <v/>
      </c>
      <c r="I22">
        <f>INT((ROW()-2)/Settings!$B$6)+2</f>
        <v>3</v>
      </c>
      <c r="J22">
        <f>MOD(ROW()-2,Settings!$B$6)+1</f>
        <v>9</v>
      </c>
    </row>
    <row r="23" spans="1:10" x14ac:dyDescent="0.3">
      <c r="A23" t="str">
        <f>IF(OR(INDEX(Matches!$I$2:$I$25,I23-1)="",INDEX(Matches!$J$2:$J$25,I23-1)=""),"",IF(J23&lt;=INDEX(Matches!$I$2:$I$25,I23-1)+INDEX(Matches!$J$2:$J$25,I23-1),INDEX(Matches!$A$2:$A$25,I23-1),""))</f>
        <v/>
      </c>
      <c r="B23" t="str">
        <f>IF(A23="","",IF(J23&lt;=INDEX(Matches!$I$2:$I$25,I23-1),INDEX(Matches!$G$2:$G$25,I23-1),INDEX(Matches!$H$2:$H$25,I23-1)))</f>
        <v/>
      </c>
      <c r="C23" t="str">
        <f>IF(A23="","",COUNTIFS($A$2:A23,A23,$B$2:B23,B23))</f>
        <v/>
      </c>
      <c r="D23" s="2" t="str">
        <f t="shared" si="2"/>
        <v/>
      </c>
      <c r="E23" s="2"/>
      <c r="F23" t="str">
        <f t="shared" si="0"/>
        <v/>
      </c>
      <c r="G23" t="str">
        <f t="shared" si="1"/>
        <v/>
      </c>
      <c r="H23" t="str">
        <f>IF(F23="","",VLOOKUP(F23,Validation!$A$2:$B$17,2,FALSE))</f>
        <v/>
      </c>
      <c r="I23">
        <f>INT((ROW()-2)/Settings!$B$6)+2</f>
        <v>3</v>
      </c>
      <c r="J23">
        <f>MOD(ROW()-2,Settings!$B$6)+1</f>
        <v>10</v>
      </c>
    </row>
    <row r="24" spans="1:10" x14ac:dyDescent="0.3">
      <c r="A24" t="str">
        <f>IF(OR(INDEX(Matches!$I$2:$I$25,I24-1)="",INDEX(Matches!$J$2:$J$25,I24-1)=""),"",IF(J24&lt;=INDEX(Matches!$I$2:$I$25,I24-1)+INDEX(Matches!$J$2:$J$25,I24-1),INDEX(Matches!$A$2:$A$25,I24-1),""))</f>
        <v/>
      </c>
      <c r="B24" t="str">
        <f>IF(A24="","",IF(J24&lt;=INDEX(Matches!$I$2:$I$25,I24-1),INDEX(Matches!$G$2:$G$25,I24-1),INDEX(Matches!$H$2:$H$25,I24-1)))</f>
        <v/>
      </c>
      <c r="C24" t="str">
        <f>IF(A24="","",COUNTIFS($A$2:A24,A24,$B$2:B24,B24))</f>
        <v/>
      </c>
      <c r="D24" s="2" t="str">
        <f t="shared" si="2"/>
        <v/>
      </c>
      <c r="E24" s="2"/>
      <c r="F24" t="str">
        <f t="shared" si="0"/>
        <v/>
      </c>
      <c r="G24" t="str">
        <f t="shared" si="1"/>
        <v/>
      </c>
      <c r="H24" t="str">
        <f>IF(F24="","",VLOOKUP(F24,Validation!$A$2:$B$17,2,FALSE))</f>
        <v/>
      </c>
      <c r="I24">
        <f>INT((ROW()-2)/Settings!$B$6)+2</f>
        <v>3</v>
      </c>
      <c r="J24">
        <f>MOD(ROW()-2,Settings!$B$6)+1</f>
        <v>11</v>
      </c>
    </row>
    <row r="25" spans="1:10" x14ac:dyDescent="0.3">
      <c r="A25" t="str">
        <f>IF(OR(INDEX(Matches!$I$2:$I$25,I25-1)="",INDEX(Matches!$J$2:$J$25,I25-1)=""),"",IF(J25&lt;=INDEX(Matches!$I$2:$I$25,I25-1)+INDEX(Matches!$J$2:$J$25,I25-1),INDEX(Matches!$A$2:$A$25,I25-1),""))</f>
        <v/>
      </c>
      <c r="B25" t="str">
        <f>IF(A25="","",IF(J25&lt;=INDEX(Matches!$I$2:$I$25,I25-1),INDEX(Matches!$G$2:$G$25,I25-1),INDEX(Matches!$H$2:$H$25,I25-1)))</f>
        <v/>
      </c>
      <c r="C25" t="str">
        <f>IF(A25="","",COUNTIFS($A$2:A25,A25,$B$2:B25,B25))</f>
        <v/>
      </c>
      <c r="D25" s="2" t="str">
        <f t="shared" si="2"/>
        <v/>
      </c>
      <c r="E25" s="2"/>
      <c r="F25" t="str">
        <f t="shared" si="0"/>
        <v/>
      </c>
      <c r="G25" t="str">
        <f t="shared" si="1"/>
        <v/>
      </c>
      <c r="H25" t="str">
        <f>IF(F25="","",VLOOKUP(F25,Validation!$A$2:$B$17,2,FALSE))</f>
        <v/>
      </c>
      <c r="I25">
        <f>INT((ROW()-2)/Settings!$B$6)+2</f>
        <v>3</v>
      </c>
      <c r="J25">
        <f>MOD(ROW()-2,Settings!$B$6)+1</f>
        <v>12</v>
      </c>
    </row>
    <row r="26" spans="1:10" x14ac:dyDescent="0.3">
      <c r="A26" t="str">
        <f>IF(OR(INDEX(Matches!$I$2:$I$25,I26-1)="",INDEX(Matches!$J$2:$J$25,I26-1)=""),"",IF(J26&lt;=INDEX(Matches!$I$2:$I$25,I26-1)+INDEX(Matches!$J$2:$J$25,I26-1),INDEX(Matches!$A$2:$A$25,I26-1),""))</f>
        <v/>
      </c>
      <c r="B26" t="str">
        <f>IF(A26="","",IF(J26&lt;=INDEX(Matches!$I$2:$I$25,I26-1),INDEX(Matches!$G$2:$G$25,I26-1),INDEX(Matches!$H$2:$H$25,I26-1)))</f>
        <v/>
      </c>
      <c r="C26" t="str">
        <f>IF(A26="","",COUNTIFS($A$2:A26,A26,$B$2:B26,B26))</f>
        <v/>
      </c>
      <c r="D26" s="2"/>
      <c r="E26" s="2"/>
      <c r="F26" t="str">
        <f t="shared" si="0"/>
        <v/>
      </c>
      <c r="G26" t="str">
        <f t="shared" si="1"/>
        <v/>
      </c>
      <c r="H26" t="str">
        <f>IF(F26="","",VLOOKUP(F26,Validation!$A$2:$B$17,2,FALSE))</f>
        <v/>
      </c>
      <c r="I26">
        <f>INT((ROW()-2)/Settings!$B$6)+2</f>
        <v>4</v>
      </c>
      <c r="J26">
        <f>MOD(ROW()-2,Settings!$B$6)+1</f>
        <v>1</v>
      </c>
    </row>
    <row r="27" spans="1:10" x14ac:dyDescent="0.3">
      <c r="A27" t="str">
        <f>IF(OR(INDEX(Matches!$I$2:$I$25,I27-1)="",INDEX(Matches!$J$2:$J$25,I27-1)=""),"",IF(J27&lt;=INDEX(Matches!$I$2:$I$25,I27-1)+INDEX(Matches!$J$2:$J$25,I27-1),INDEX(Matches!$A$2:$A$25,I27-1),""))</f>
        <v/>
      </c>
      <c r="B27" t="str">
        <f>IF(A27="","",IF(J27&lt;=INDEX(Matches!$I$2:$I$25,I27-1),INDEX(Matches!$G$2:$G$25,I27-1),INDEX(Matches!$H$2:$H$25,I27-1)))</f>
        <v/>
      </c>
      <c r="C27" t="str">
        <f>IF(A27="","",COUNTIFS($A$2:A27,A27,$B$2:B27,B27))</f>
        <v/>
      </c>
      <c r="D27" s="2" t="str">
        <f t="shared" si="2"/>
        <v/>
      </c>
      <c r="E27" s="2"/>
      <c r="F27" t="str">
        <f t="shared" si="0"/>
        <v/>
      </c>
      <c r="G27" t="str">
        <f t="shared" si="1"/>
        <v/>
      </c>
      <c r="H27" t="str">
        <f>IF(F27="","",VLOOKUP(F27,Validation!$A$2:$B$17,2,FALSE))</f>
        <v/>
      </c>
      <c r="I27">
        <f>INT((ROW()-2)/Settings!$B$6)+2</f>
        <v>4</v>
      </c>
      <c r="J27">
        <f>MOD(ROW()-2,Settings!$B$6)+1</f>
        <v>2</v>
      </c>
    </row>
    <row r="28" spans="1:10" x14ac:dyDescent="0.3">
      <c r="A28" t="str">
        <f>IF(OR(INDEX(Matches!$I$2:$I$25,I28-1)="",INDEX(Matches!$J$2:$J$25,I28-1)=""),"",IF(J28&lt;=INDEX(Matches!$I$2:$I$25,I28-1)+INDEX(Matches!$J$2:$J$25,I28-1),INDEX(Matches!$A$2:$A$25,I28-1),""))</f>
        <v/>
      </c>
      <c r="B28" t="str">
        <f>IF(A28="","",IF(J28&lt;=INDEX(Matches!$I$2:$I$25,I28-1),INDEX(Matches!$G$2:$G$25,I28-1),INDEX(Matches!$H$2:$H$25,I28-1)))</f>
        <v/>
      </c>
      <c r="C28" t="str">
        <f>IF(A28="","",COUNTIFS($A$2:A28,A28,$B$2:B28,B28))</f>
        <v/>
      </c>
      <c r="D28" s="2" t="str">
        <f t="shared" si="2"/>
        <v/>
      </c>
      <c r="E28" s="2"/>
      <c r="F28" t="str">
        <f t="shared" si="0"/>
        <v/>
      </c>
      <c r="G28" t="str">
        <f t="shared" si="1"/>
        <v/>
      </c>
      <c r="H28" t="str">
        <f>IF(F28="","",VLOOKUP(F28,Validation!$A$2:$B$17,2,FALSE))</f>
        <v/>
      </c>
      <c r="I28">
        <f>INT((ROW()-2)/Settings!$B$6)+2</f>
        <v>4</v>
      </c>
      <c r="J28">
        <f>MOD(ROW()-2,Settings!$B$6)+1</f>
        <v>3</v>
      </c>
    </row>
    <row r="29" spans="1:10" x14ac:dyDescent="0.3">
      <c r="A29" t="str">
        <f>IF(OR(INDEX(Matches!$I$2:$I$25,I29-1)="",INDEX(Matches!$J$2:$J$25,I29-1)=""),"",IF(J29&lt;=INDEX(Matches!$I$2:$I$25,I29-1)+INDEX(Matches!$J$2:$J$25,I29-1),INDEX(Matches!$A$2:$A$25,I29-1),""))</f>
        <v/>
      </c>
      <c r="B29" t="str">
        <f>IF(A29="","",IF(J29&lt;=INDEX(Matches!$I$2:$I$25,I29-1),INDEX(Matches!$G$2:$G$25,I29-1),INDEX(Matches!$H$2:$H$25,I29-1)))</f>
        <v/>
      </c>
      <c r="C29" t="str">
        <f>IF(A29="","",COUNTIFS($A$2:A29,A29,$B$2:B29,B29))</f>
        <v/>
      </c>
      <c r="D29" s="2" t="str">
        <f t="shared" si="2"/>
        <v/>
      </c>
      <c r="E29" s="2"/>
      <c r="F29" t="str">
        <f t="shared" si="0"/>
        <v/>
      </c>
      <c r="G29" t="str">
        <f t="shared" si="1"/>
        <v/>
      </c>
      <c r="H29" t="str">
        <f>IF(F29="","",VLOOKUP(F29,Validation!$A$2:$B$17,2,FALSE))</f>
        <v/>
      </c>
      <c r="I29">
        <f>INT((ROW()-2)/Settings!$B$6)+2</f>
        <v>4</v>
      </c>
      <c r="J29">
        <f>MOD(ROW()-2,Settings!$B$6)+1</f>
        <v>4</v>
      </c>
    </row>
    <row r="30" spans="1:10" x14ac:dyDescent="0.3">
      <c r="A30" t="str">
        <f>IF(OR(INDEX(Matches!$I$2:$I$25,I30-1)="",INDEX(Matches!$J$2:$J$25,I30-1)=""),"",IF(J30&lt;=INDEX(Matches!$I$2:$I$25,I30-1)+INDEX(Matches!$J$2:$J$25,I30-1),INDEX(Matches!$A$2:$A$25,I30-1),""))</f>
        <v/>
      </c>
      <c r="B30" t="str">
        <f>IF(A30="","",IF(J30&lt;=INDEX(Matches!$I$2:$I$25,I30-1),INDEX(Matches!$G$2:$G$25,I30-1),INDEX(Matches!$H$2:$H$25,I30-1)))</f>
        <v/>
      </c>
      <c r="C30" t="str">
        <f>IF(A30="","",COUNTIFS($A$2:A30,A30,$B$2:B30,B30))</f>
        <v/>
      </c>
      <c r="D30" s="2" t="str">
        <f t="shared" si="2"/>
        <v/>
      </c>
      <c r="E30" s="2"/>
      <c r="F30" t="str">
        <f t="shared" si="0"/>
        <v/>
      </c>
      <c r="G30" t="str">
        <f t="shared" si="1"/>
        <v/>
      </c>
      <c r="H30" t="str">
        <f>IF(F30="","",VLOOKUP(F30,Validation!$A$2:$B$17,2,FALSE))</f>
        <v/>
      </c>
      <c r="I30">
        <f>INT((ROW()-2)/Settings!$B$6)+2</f>
        <v>4</v>
      </c>
      <c r="J30">
        <f>MOD(ROW()-2,Settings!$B$6)+1</f>
        <v>5</v>
      </c>
    </row>
    <row r="31" spans="1:10" x14ac:dyDescent="0.3">
      <c r="A31" t="str">
        <f>IF(OR(INDEX(Matches!$I$2:$I$25,I31-1)="",INDEX(Matches!$J$2:$J$25,I31-1)=""),"",IF(J31&lt;=INDEX(Matches!$I$2:$I$25,I31-1)+INDEX(Matches!$J$2:$J$25,I31-1),INDEX(Matches!$A$2:$A$25,I31-1),""))</f>
        <v/>
      </c>
      <c r="B31" t="str">
        <f>IF(A31="","",IF(J31&lt;=INDEX(Matches!$I$2:$I$25,I31-1),INDEX(Matches!$G$2:$G$25,I31-1),INDEX(Matches!$H$2:$H$25,I31-1)))</f>
        <v/>
      </c>
      <c r="C31" t="str">
        <f>IF(A31="","",COUNTIFS($A$2:A31,A31,$B$2:B31,B31))</f>
        <v/>
      </c>
      <c r="D31" s="2" t="str">
        <f t="shared" si="2"/>
        <v/>
      </c>
      <c r="E31" s="2"/>
      <c r="F31" t="str">
        <f t="shared" si="0"/>
        <v/>
      </c>
      <c r="G31" t="str">
        <f t="shared" si="1"/>
        <v/>
      </c>
      <c r="H31" t="str">
        <f>IF(F31="","",VLOOKUP(F31,Validation!$A$2:$B$17,2,FALSE))</f>
        <v/>
      </c>
      <c r="I31">
        <f>INT((ROW()-2)/Settings!$B$6)+2</f>
        <v>4</v>
      </c>
      <c r="J31">
        <f>MOD(ROW()-2,Settings!$B$6)+1</f>
        <v>6</v>
      </c>
    </row>
    <row r="32" spans="1:10" x14ac:dyDescent="0.3">
      <c r="A32" t="str">
        <f>IF(OR(INDEX(Matches!$I$2:$I$25,I32-1)="",INDEX(Matches!$J$2:$J$25,I32-1)=""),"",IF(J32&lt;=INDEX(Matches!$I$2:$I$25,I32-1)+INDEX(Matches!$J$2:$J$25,I32-1),INDEX(Matches!$A$2:$A$25,I32-1),""))</f>
        <v/>
      </c>
      <c r="B32" t="str">
        <f>IF(A32="","",IF(J32&lt;=INDEX(Matches!$I$2:$I$25,I32-1),INDEX(Matches!$G$2:$G$25,I32-1),INDEX(Matches!$H$2:$H$25,I32-1)))</f>
        <v/>
      </c>
      <c r="C32" t="str">
        <f>IF(A32="","",COUNTIFS($A$2:A32,A32,$B$2:B32,B32))</f>
        <v/>
      </c>
      <c r="D32" s="2" t="str">
        <f t="shared" si="2"/>
        <v/>
      </c>
      <c r="E32" s="2"/>
      <c r="F32" t="str">
        <f t="shared" si="0"/>
        <v/>
      </c>
      <c r="G32" t="str">
        <f t="shared" si="1"/>
        <v/>
      </c>
      <c r="H32" t="str">
        <f>IF(F32="","",VLOOKUP(F32,Validation!$A$2:$B$17,2,FALSE))</f>
        <v/>
      </c>
      <c r="I32">
        <f>INT((ROW()-2)/Settings!$B$6)+2</f>
        <v>4</v>
      </c>
      <c r="J32">
        <f>MOD(ROW()-2,Settings!$B$6)+1</f>
        <v>7</v>
      </c>
    </row>
    <row r="33" spans="1:10" x14ac:dyDescent="0.3">
      <c r="A33" t="str">
        <f>IF(OR(INDEX(Matches!$I$2:$I$25,I33-1)="",INDEX(Matches!$J$2:$J$25,I33-1)=""),"",IF(J33&lt;=INDEX(Matches!$I$2:$I$25,I33-1)+INDEX(Matches!$J$2:$J$25,I33-1),INDEX(Matches!$A$2:$A$25,I33-1),""))</f>
        <v/>
      </c>
      <c r="B33" t="str">
        <f>IF(A33="","",IF(J33&lt;=INDEX(Matches!$I$2:$I$25,I33-1),INDEX(Matches!$G$2:$G$25,I33-1),INDEX(Matches!$H$2:$H$25,I33-1)))</f>
        <v/>
      </c>
      <c r="C33" t="str">
        <f>IF(A33="","",COUNTIFS($A$2:A33,A33,$B$2:B33,B33))</f>
        <v/>
      </c>
      <c r="D33" s="2" t="str">
        <f t="shared" si="2"/>
        <v/>
      </c>
      <c r="E33" s="2"/>
      <c r="F33" t="str">
        <f t="shared" si="0"/>
        <v/>
      </c>
      <c r="G33" t="str">
        <f t="shared" si="1"/>
        <v/>
      </c>
      <c r="H33" t="str">
        <f>IF(F33="","",VLOOKUP(F33,Validation!$A$2:$B$17,2,FALSE))</f>
        <v/>
      </c>
      <c r="I33">
        <f>INT((ROW()-2)/Settings!$B$6)+2</f>
        <v>4</v>
      </c>
      <c r="J33">
        <f>MOD(ROW()-2,Settings!$B$6)+1</f>
        <v>8</v>
      </c>
    </row>
    <row r="34" spans="1:10" x14ac:dyDescent="0.3">
      <c r="A34" t="str">
        <f>IF(OR(INDEX(Matches!$I$2:$I$25,I34-1)="",INDEX(Matches!$J$2:$J$25,I34-1)=""),"",IF(J34&lt;=INDEX(Matches!$I$2:$I$25,I34-1)+INDEX(Matches!$J$2:$J$25,I34-1),INDEX(Matches!$A$2:$A$25,I34-1),""))</f>
        <v/>
      </c>
      <c r="B34" t="str">
        <f>IF(A34="","",IF(J34&lt;=INDEX(Matches!$I$2:$I$25,I34-1),INDEX(Matches!$G$2:$G$25,I34-1),INDEX(Matches!$H$2:$H$25,I34-1)))</f>
        <v/>
      </c>
      <c r="C34" t="str">
        <f>IF(A34="","",COUNTIFS($A$2:A34,A34,$B$2:B34,B34))</f>
        <v/>
      </c>
      <c r="D34" s="2" t="str">
        <f t="shared" si="2"/>
        <v/>
      </c>
      <c r="E34" s="2"/>
      <c r="F34" t="str">
        <f t="shared" si="0"/>
        <v/>
      </c>
      <c r="G34" t="str">
        <f t="shared" si="1"/>
        <v/>
      </c>
      <c r="H34" t="str">
        <f>IF(F34="","",VLOOKUP(F34,Validation!$A$2:$B$17,2,FALSE))</f>
        <v/>
      </c>
      <c r="I34">
        <f>INT((ROW()-2)/Settings!$B$6)+2</f>
        <v>4</v>
      </c>
      <c r="J34">
        <f>MOD(ROW()-2,Settings!$B$6)+1</f>
        <v>9</v>
      </c>
    </row>
    <row r="35" spans="1:10" x14ac:dyDescent="0.3">
      <c r="A35" t="str">
        <f>IF(OR(INDEX(Matches!$I$2:$I$25,I35-1)="",INDEX(Matches!$J$2:$J$25,I35-1)=""),"",IF(J35&lt;=INDEX(Matches!$I$2:$I$25,I35-1)+INDEX(Matches!$J$2:$J$25,I35-1),INDEX(Matches!$A$2:$A$25,I35-1),""))</f>
        <v/>
      </c>
      <c r="B35" t="str">
        <f>IF(A35="","",IF(J35&lt;=INDEX(Matches!$I$2:$I$25,I35-1),INDEX(Matches!$G$2:$G$25,I35-1),INDEX(Matches!$H$2:$H$25,I35-1)))</f>
        <v/>
      </c>
      <c r="C35" t="str">
        <f>IF(A35="","",COUNTIFS($A$2:A35,A35,$B$2:B35,B35))</f>
        <v/>
      </c>
      <c r="D35" s="2" t="str">
        <f t="shared" si="2"/>
        <v/>
      </c>
      <c r="E35" s="2"/>
      <c r="F35" t="str">
        <f t="shared" si="0"/>
        <v/>
      </c>
      <c r="G35" t="str">
        <f t="shared" si="1"/>
        <v/>
      </c>
      <c r="H35" t="str">
        <f>IF(F35="","",VLOOKUP(F35,Validation!$A$2:$B$17,2,FALSE))</f>
        <v/>
      </c>
      <c r="I35">
        <f>INT((ROW()-2)/Settings!$B$6)+2</f>
        <v>4</v>
      </c>
      <c r="J35">
        <f>MOD(ROW()-2,Settings!$B$6)+1</f>
        <v>10</v>
      </c>
    </row>
    <row r="36" spans="1:10" x14ac:dyDescent="0.3">
      <c r="A36" t="str">
        <f>IF(OR(INDEX(Matches!$I$2:$I$25,I36-1)="",INDEX(Matches!$J$2:$J$25,I36-1)=""),"",IF(J36&lt;=INDEX(Matches!$I$2:$I$25,I36-1)+INDEX(Matches!$J$2:$J$25,I36-1),INDEX(Matches!$A$2:$A$25,I36-1),""))</f>
        <v/>
      </c>
      <c r="B36" t="str">
        <f>IF(A36="","",IF(J36&lt;=INDEX(Matches!$I$2:$I$25,I36-1),INDEX(Matches!$G$2:$G$25,I36-1),INDEX(Matches!$H$2:$H$25,I36-1)))</f>
        <v/>
      </c>
      <c r="C36" t="str">
        <f>IF(A36="","",COUNTIFS($A$2:A36,A36,$B$2:B36,B36))</f>
        <v/>
      </c>
      <c r="D36" s="2" t="str">
        <f t="shared" si="2"/>
        <v/>
      </c>
      <c r="E36" s="2"/>
      <c r="F36" t="str">
        <f t="shared" si="0"/>
        <v/>
      </c>
      <c r="G36" t="str">
        <f t="shared" si="1"/>
        <v/>
      </c>
      <c r="H36" t="str">
        <f>IF(F36="","",VLOOKUP(F36,Validation!$A$2:$B$17,2,FALSE))</f>
        <v/>
      </c>
      <c r="I36">
        <f>INT((ROW()-2)/Settings!$B$6)+2</f>
        <v>4</v>
      </c>
      <c r="J36">
        <f>MOD(ROW()-2,Settings!$B$6)+1</f>
        <v>11</v>
      </c>
    </row>
    <row r="37" spans="1:10" x14ac:dyDescent="0.3">
      <c r="A37" t="str">
        <f>IF(OR(INDEX(Matches!$I$2:$I$25,I37-1)="",INDEX(Matches!$J$2:$J$25,I37-1)=""),"",IF(J37&lt;=INDEX(Matches!$I$2:$I$25,I37-1)+INDEX(Matches!$J$2:$J$25,I37-1),INDEX(Matches!$A$2:$A$25,I37-1),""))</f>
        <v/>
      </c>
      <c r="B37" t="str">
        <f>IF(A37="","",IF(J37&lt;=INDEX(Matches!$I$2:$I$25,I37-1),INDEX(Matches!$G$2:$G$25,I37-1),INDEX(Matches!$H$2:$H$25,I37-1)))</f>
        <v/>
      </c>
      <c r="C37" t="str">
        <f>IF(A37="","",COUNTIFS($A$2:A37,A37,$B$2:B37,B37))</f>
        <v/>
      </c>
      <c r="D37" s="2" t="str">
        <f t="shared" si="2"/>
        <v/>
      </c>
      <c r="E37" s="2"/>
      <c r="F37" t="str">
        <f t="shared" si="0"/>
        <v/>
      </c>
      <c r="G37" t="str">
        <f t="shared" si="1"/>
        <v/>
      </c>
      <c r="H37" t="str">
        <f>IF(F37="","",VLOOKUP(F37,Validation!$A$2:$B$17,2,FALSE))</f>
        <v/>
      </c>
      <c r="I37">
        <f>INT((ROW()-2)/Settings!$B$6)+2</f>
        <v>4</v>
      </c>
      <c r="J37">
        <f>MOD(ROW()-2,Settings!$B$6)+1</f>
        <v>12</v>
      </c>
    </row>
    <row r="38" spans="1:10" x14ac:dyDescent="0.3">
      <c r="A38" t="str">
        <f>IF(OR(INDEX(Matches!$I$2:$I$25,I38-1)="",INDEX(Matches!$J$2:$J$25,I38-1)=""),"",IF(J38&lt;=INDEX(Matches!$I$2:$I$25,I38-1)+INDEX(Matches!$J$2:$J$25,I38-1),INDEX(Matches!$A$2:$A$25,I38-1),""))</f>
        <v/>
      </c>
      <c r="B38" t="str">
        <f>IF(A38="","",IF(J38&lt;=INDEX(Matches!$I$2:$I$25,I38-1),INDEX(Matches!$G$2:$G$25,I38-1),INDEX(Matches!$H$2:$H$25,I38-1)))</f>
        <v/>
      </c>
      <c r="C38" t="str">
        <f>IF(A38="","",COUNTIFS($A$2:A38,A38,$B$2:B38,B38))</f>
        <v/>
      </c>
      <c r="D38" s="2" t="str">
        <f t="shared" si="2"/>
        <v/>
      </c>
      <c r="E38" s="2"/>
      <c r="F38" t="str">
        <f t="shared" si="0"/>
        <v/>
      </c>
      <c r="G38" t="str">
        <f t="shared" si="1"/>
        <v/>
      </c>
      <c r="H38" t="str">
        <f>IF(F38="","",VLOOKUP(F38,Validation!$A$2:$B$17,2,FALSE))</f>
        <v/>
      </c>
      <c r="I38">
        <f>INT((ROW()-2)/Settings!$B$6)+2</f>
        <v>5</v>
      </c>
      <c r="J38">
        <f>MOD(ROW()-2,Settings!$B$6)+1</f>
        <v>1</v>
      </c>
    </row>
    <row r="39" spans="1:10" x14ac:dyDescent="0.3">
      <c r="A39" t="str">
        <f>IF(OR(INDEX(Matches!$I$2:$I$25,I39-1)="",INDEX(Matches!$J$2:$J$25,I39-1)=""),"",IF(J39&lt;=INDEX(Matches!$I$2:$I$25,I39-1)+INDEX(Matches!$J$2:$J$25,I39-1),INDEX(Matches!$A$2:$A$25,I39-1),""))</f>
        <v/>
      </c>
      <c r="B39" t="str">
        <f>IF(A39="","",IF(J39&lt;=INDEX(Matches!$I$2:$I$25,I39-1),INDEX(Matches!$G$2:$G$25,I39-1),INDEX(Matches!$H$2:$H$25,I39-1)))</f>
        <v/>
      </c>
      <c r="C39" t="str">
        <f>IF(A39="","",COUNTIFS($A$2:A39,A39,$B$2:B39,B39))</f>
        <v/>
      </c>
      <c r="D39" s="2" t="str">
        <f t="shared" si="2"/>
        <v/>
      </c>
      <c r="E39" s="2"/>
      <c r="F39" t="str">
        <f t="shared" si="0"/>
        <v/>
      </c>
      <c r="G39" t="str">
        <f t="shared" si="1"/>
        <v/>
      </c>
      <c r="H39" t="str">
        <f>IF(F39="","",VLOOKUP(F39,Validation!$A$2:$B$17,2,FALSE))</f>
        <v/>
      </c>
      <c r="I39">
        <f>INT((ROW()-2)/Settings!$B$6)+2</f>
        <v>5</v>
      </c>
      <c r="J39">
        <f>MOD(ROW()-2,Settings!$B$6)+1</f>
        <v>2</v>
      </c>
    </row>
    <row r="40" spans="1:10" x14ac:dyDescent="0.3">
      <c r="A40" t="str">
        <f>IF(OR(INDEX(Matches!$I$2:$I$25,I40-1)="",INDEX(Matches!$J$2:$J$25,I40-1)=""),"",IF(J40&lt;=INDEX(Matches!$I$2:$I$25,I40-1)+INDEX(Matches!$J$2:$J$25,I40-1),INDEX(Matches!$A$2:$A$25,I40-1),""))</f>
        <v/>
      </c>
      <c r="B40" t="str">
        <f>IF(A40="","",IF(J40&lt;=INDEX(Matches!$I$2:$I$25,I40-1),INDEX(Matches!$G$2:$G$25,I40-1),INDEX(Matches!$H$2:$H$25,I40-1)))</f>
        <v/>
      </c>
      <c r="C40" t="str">
        <f>IF(A40="","",COUNTIFS($A$2:A40,A40,$B$2:B40,B40))</f>
        <v/>
      </c>
      <c r="D40" s="2" t="str">
        <f t="shared" si="2"/>
        <v/>
      </c>
      <c r="E40" s="2"/>
      <c r="F40" t="str">
        <f t="shared" si="0"/>
        <v/>
      </c>
      <c r="G40" t="str">
        <f t="shared" si="1"/>
        <v/>
      </c>
      <c r="H40" t="str">
        <f>IF(F40="","",VLOOKUP(F40,Validation!$A$2:$B$17,2,FALSE))</f>
        <v/>
      </c>
      <c r="I40">
        <f>INT((ROW()-2)/Settings!$B$6)+2</f>
        <v>5</v>
      </c>
      <c r="J40">
        <f>MOD(ROW()-2,Settings!$B$6)+1</f>
        <v>3</v>
      </c>
    </row>
    <row r="41" spans="1:10" x14ac:dyDescent="0.3">
      <c r="A41" t="str">
        <f>IF(OR(INDEX(Matches!$I$2:$I$25,I41-1)="",INDEX(Matches!$J$2:$J$25,I41-1)=""),"",IF(J41&lt;=INDEX(Matches!$I$2:$I$25,I41-1)+INDEX(Matches!$J$2:$J$25,I41-1),INDEX(Matches!$A$2:$A$25,I41-1),""))</f>
        <v/>
      </c>
      <c r="B41" t="str">
        <f>IF(A41="","",IF(J41&lt;=INDEX(Matches!$I$2:$I$25,I41-1),INDEX(Matches!$G$2:$G$25,I41-1),INDEX(Matches!$H$2:$H$25,I41-1)))</f>
        <v/>
      </c>
      <c r="C41" t="str">
        <f>IF(A41="","",COUNTIFS($A$2:A41,A41,$B$2:B41,B41))</f>
        <v/>
      </c>
      <c r="D41" s="2" t="str">
        <f t="shared" si="2"/>
        <v/>
      </c>
      <c r="E41" s="2"/>
      <c r="F41" t="str">
        <f t="shared" si="0"/>
        <v/>
      </c>
      <c r="G41" t="str">
        <f t="shared" si="1"/>
        <v/>
      </c>
      <c r="H41" t="str">
        <f>IF(F41="","",VLOOKUP(F41,Validation!$A$2:$B$17,2,FALSE))</f>
        <v/>
      </c>
      <c r="I41">
        <f>INT((ROW()-2)/Settings!$B$6)+2</f>
        <v>5</v>
      </c>
      <c r="J41">
        <f>MOD(ROW()-2,Settings!$B$6)+1</f>
        <v>4</v>
      </c>
    </row>
    <row r="42" spans="1:10" x14ac:dyDescent="0.3">
      <c r="A42" t="str">
        <f>IF(OR(INDEX(Matches!$I$2:$I$25,I42-1)="",INDEX(Matches!$J$2:$J$25,I42-1)=""),"",IF(J42&lt;=INDEX(Matches!$I$2:$I$25,I42-1)+INDEX(Matches!$J$2:$J$25,I42-1),INDEX(Matches!$A$2:$A$25,I42-1),""))</f>
        <v/>
      </c>
      <c r="B42" t="str">
        <f>IF(A42="","",IF(J42&lt;=INDEX(Matches!$I$2:$I$25,I42-1),INDEX(Matches!$G$2:$G$25,I42-1),INDEX(Matches!$H$2:$H$25,I42-1)))</f>
        <v/>
      </c>
      <c r="C42" t="str">
        <f>IF(A42="","",COUNTIFS($A$2:A42,A42,$B$2:B42,B42))</f>
        <v/>
      </c>
      <c r="D42" s="2" t="str">
        <f t="shared" si="2"/>
        <v/>
      </c>
      <c r="E42" s="2"/>
      <c r="F42" t="str">
        <f t="shared" si="0"/>
        <v/>
      </c>
      <c r="G42" t="str">
        <f t="shared" si="1"/>
        <v/>
      </c>
      <c r="H42" t="str">
        <f>IF(F42="","",VLOOKUP(F42,Validation!$A$2:$B$17,2,FALSE))</f>
        <v/>
      </c>
      <c r="I42">
        <f>INT((ROW()-2)/Settings!$B$6)+2</f>
        <v>5</v>
      </c>
      <c r="J42">
        <f>MOD(ROW()-2,Settings!$B$6)+1</f>
        <v>5</v>
      </c>
    </row>
    <row r="43" spans="1:10" x14ac:dyDescent="0.3">
      <c r="A43" t="str">
        <f>IF(OR(INDEX(Matches!$I$2:$I$25,I43-1)="",INDEX(Matches!$J$2:$J$25,I43-1)=""),"",IF(J43&lt;=INDEX(Matches!$I$2:$I$25,I43-1)+INDEX(Matches!$J$2:$J$25,I43-1),INDEX(Matches!$A$2:$A$25,I43-1),""))</f>
        <v/>
      </c>
      <c r="B43" t="str">
        <f>IF(A43="","",IF(J43&lt;=INDEX(Matches!$I$2:$I$25,I43-1),INDEX(Matches!$G$2:$G$25,I43-1),INDEX(Matches!$H$2:$H$25,I43-1)))</f>
        <v/>
      </c>
      <c r="C43" t="str">
        <f>IF(A43="","",COUNTIFS($A$2:A43,A43,$B$2:B43,B43))</f>
        <v/>
      </c>
      <c r="D43" s="2" t="str">
        <f t="shared" si="2"/>
        <v/>
      </c>
      <c r="E43" s="2"/>
      <c r="F43" t="str">
        <f t="shared" si="0"/>
        <v/>
      </c>
      <c r="G43" t="str">
        <f t="shared" si="1"/>
        <v/>
      </c>
      <c r="H43" t="str">
        <f>IF(F43="","",VLOOKUP(F43,Validation!$A$2:$B$17,2,FALSE))</f>
        <v/>
      </c>
      <c r="I43">
        <f>INT((ROW()-2)/Settings!$B$6)+2</f>
        <v>5</v>
      </c>
      <c r="J43">
        <f>MOD(ROW()-2,Settings!$B$6)+1</f>
        <v>6</v>
      </c>
    </row>
    <row r="44" spans="1:10" x14ac:dyDescent="0.3">
      <c r="A44" t="str">
        <f>IF(OR(INDEX(Matches!$I$2:$I$25,I44-1)="",INDEX(Matches!$J$2:$J$25,I44-1)=""),"",IF(J44&lt;=INDEX(Matches!$I$2:$I$25,I44-1)+INDEX(Matches!$J$2:$J$25,I44-1),INDEX(Matches!$A$2:$A$25,I44-1),""))</f>
        <v/>
      </c>
      <c r="B44" t="str">
        <f>IF(A44="","",IF(J44&lt;=INDEX(Matches!$I$2:$I$25,I44-1),INDEX(Matches!$G$2:$G$25,I44-1),INDEX(Matches!$H$2:$H$25,I44-1)))</f>
        <v/>
      </c>
      <c r="C44" t="str">
        <f>IF(A44="","",COUNTIFS($A$2:A44,A44,$B$2:B44,B44))</f>
        <v/>
      </c>
      <c r="D44" s="2" t="str">
        <f t="shared" si="2"/>
        <v/>
      </c>
      <c r="E44" s="2"/>
      <c r="F44" t="str">
        <f t="shared" si="0"/>
        <v/>
      </c>
      <c r="G44" t="str">
        <f t="shared" si="1"/>
        <v/>
      </c>
      <c r="H44" t="str">
        <f>IF(F44="","",VLOOKUP(F44,Validation!$A$2:$B$17,2,FALSE))</f>
        <v/>
      </c>
      <c r="I44">
        <f>INT((ROW()-2)/Settings!$B$6)+2</f>
        <v>5</v>
      </c>
      <c r="J44">
        <f>MOD(ROW()-2,Settings!$B$6)+1</f>
        <v>7</v>
      </c>
    </row>
    <row r="45" spans="1:10" x14ac:dyDescent="0.3">
      <c r="A45" t="str">
        <f>IF(OR(INDEX(Matches!$I$2:$I$25,I45-1)="",INDEX(Matches!$J$2:$J$25,I45-1)=""),"",IF(J45&lt;=INDEX(Matches!$I$2:$I$25,I45-1)+INDEX(Matches!$J$2:$J$25,I45-1),INDEX(Matches!$A$2:$A$25,I45-1),""))</f>
        <v/>
      </c>
      <c r="B45" t="str">
        <f>IF(A45="","",IF(J45&lt;=INDEX(Matches!$I$2:$I$25,I45-1),INDEX(Matches!$G$2:$G$25,I45-1),INDEX(Matches!$H$2:$H$25,I45-1)))</f>
        <v/>
      </c>
      <c r="C45" t="str">
        <f>IF(A45="","",COUNTIFS($A$2:A45,A45,$B$2:B45,B45))</f>
        <v/>
      </c>
      <c r="D45" s="2" t="str">
        <f t="shared" si="2"/>
        <v/>
      </c>
      <c r="E45" s="2"/>
      <c r="F45" t="str">
        <f t="shared" si="0"/>
        <v/>
      </c>
      <c r="G45" t="str">
        <f t="shared" si="1"/>
        <v/>
      </c>
      <c r="H45" t="str">
        <f>IF(F45="","",VLOOKUP(F45,Validation!$A$2:$B$17,2,FALSE))</f>
        <v/>
      </c>
      <c r="I45">
        <f>INT((ROW()-2)/Settings!$B$6)+2</f>
        <v>5</v>
      </c>
      <c r="J45">
        <f>MOD(ROW()-2,Settings!$B$6)+1</f>
        <v>8</v>
      </c>
    </row>
    <row r="46" spans="1:10" x14ac:dyDescent="0.3">
      <c r="A46" t="str">
        <f>IF(OR(INDEX(Matches!$I$2:$I$25,I46-1)="",INDEX(Matches!$J$2:$J$25,I46-1)=""),"",IF(J46&lt;=INDEX(Matches!$I$2:$I$25,I46-1)+INDEX(Matches!$J$2:$J$25,I46-1),INDEX(Matches!$A$2:$A$25,I46-1),""))</f>
        <v/>
      </c>
      <c r="B46" t="str">
        <f>IF(A46="","",IF(J46&lt;=INDEX(Matches!$I$2:$I$25,I46-1),INDEX(Matches!$G$2:$G$25,I46-1),INDEX(Matches!$H$2:$H$25,I46-1)))</f>
        <v/>
      </c>
      <c r="C46" t="str">
        <f>IF(A46="","",COUNTIFS($A$2:A46,A46,$B$2:B46,B46))</f>
        <v/>
      </c>
      <c r="D46" s="2" t="str">
        <f t="shared" si="2"/>
        <v/>
      </c>
      <c r="E46" s="2"/>
      <c r="F46" t="str">
        <f t="shared" si="0"/>
        <v/>
      </c>
      <c r="G46" t="str">
        <f t="shared" si="1"/>
        <v/>
      </c>
      <c r="H46" t="str">
        <f>IF(F46="","",VLOOKUP(F46,Validation!$A$2:$B$17,2,FALSE))</f>
        <v/>
      </c>
      <c r="I46">
        <f>INT((ROW()-2)/Settings!$B$6)+2</f>
        <v>5</v>
      </c>
      <c r="J46">
        <f>MOD(ROW()-2,Settings!$B$6)+1</f>
        <v>9</v>
      </c>
    </row>
    <row r="47" spans="1:10" x14ac:dyDescent="0.3">
      <c r="A47" t="str">
        <f>IF(OR(INDEX(Matches!$I$2:$I$25,I47-1)="",INDEX(Matches!$J$2:$J$25,I47-1)=""),"",IF(J47&lt;=INDEX(Matches!$I$2:$I$25,I47-1)+INDEX(Matches!$J$2:$J$25,I47-1),INDEX(Matches!$A$2:$A$25,I47-1),""))</f>
        <v/>
      </c>
      <c r="B47" t="str">
        <f>IF(A47="","",IF(J47&lt;=INDEX(Matches!$I$2:$I$25,I47-1),INDEX(Matches!$G$2:$G$25,I47-1),INDEX(Matches!$H$2:$H$25,I47-1)))</f>
        <v/>
      </c>
      <c r="C47" t="str">
        <f>IF(A47="","",COUNTIFS($A$2:A47,A47,$B$2:B47,B47))</f>
        <v/>
      </c>
      <c r="D47" s="2" t="str">
        <f t="shared" si="2"/>
        <v/>
      </c>
      <c r="E47" s="2"/>
      <c r="F47" t="str">
        <f t="shared" si="0"/>
        <v/>
      </c>
      <c r="G47" t="str">
        <f t="shared" si="1"/>
        <v/>
      </c>
      <c r="H47" t="str">
        <f>IF(F47="","",VLOOKUP(F47,Validation!$A$2:$B$17,2,FALSE))</f>
        <v/>
      </c>
      <c r="I47">
        <f>INT((ROW()-2)/Settings!$B$6)+2</f>
        <v>5</v>
      </c>
      <c r="J47">
        <f>MOD(ROW()-2,Settings!$B$6)+1</f>
        <v>10</v>
      </c>
    </row>
    <row r="48" spans="1:10" x14ac:dyDescent="0.3">
      <c r="A48" t="str">
        <f>IF(OR(INDEX(Matches!$I$2:$I$25,I48-1)="",INDEX(Matches!$J$2:$J$25,I48-1)=""),"",IF(J48&lt;=INDEX(Matches!$I$2:$I$25,I48-1)+INDEX(Matches!$J$2:$J$25,I48-1),INDEX(Matches!$A$2:$A$25,I48-1),""))</f>
        <v/>
      </c>
      <c r="B48" t="str">
        <f>IF(A48="","",IF(J48&lt;=INDEX(Matches!$I$2:$I$25,I48-1),INDEX(Matches!$G$2:$G$25,I48-1),INDEX(Matches!$H$2:$H$25,I48-1)))</f>
        <v/>
      </c>
      <c r="C48" t="str">
        <f>IF(A48="","",COUNTIFS($A$2:A48,A48,$B$2:B48,B48))</f>
        <v/>
      </c>
      <c r="D48" s="2" t="str">
        <f t="shared" si="2"/>
        <v/>
      </c>
      <c r="E48" s="2"/>
      <c r="F48" t="str">
        <f t="shared" si="0"/>
        <v/>
      </c>
      <c r="G48" t="str">
        <f t="shared" si="1"/>
        <v/>
      </c>
      <c r="H48" t="str">
        <f>IF(F48="","",VLOOKUP(F48,Validation!$A$2:$B$17,2,FALSE))</f>
        <v/>
      </c>
      <c r="I48">
        <f>INT((ROW()-2)/Settings!$B$6)+2</f>
        <v>5</v>
      </c>
      <c r="J48">
        <f>MOD(ROW()-2,Settings!$B$6)+1</f>
        <v>11</v>
      </c>
    </row>
    <row r="49" spans="1:10" x14ac:dyDescent="0.3">
      <c r="A49" t="str">
        <f>IF(OR(INDEX(Matches!$I$2:$I$25,I49-1)="",INDEX(Matches!$J$2:$J$25,I49-1)=""),"",IF(J49&lt;=INDEX(Matches!$I$2:$I$25,I49-1)+INDEX(Matches!$J$2:$J$25,I49-1),INDEX(Matches!$A$2:$A$25,I49-1),""))</f>
        <v/>
      </c>
      <c r="B49" t="str">
        <f>IF(A49="","",IF(J49&lt;=INDEX(Matches!$I$2:$I$25,I49-1),INDEX(Matches!$G$2:$G$25,I49-1),INDEX(Matches!$H$2:$H$25,I49-1)))</f>
        <v/>
      </c>
      <c r="C49" t="str">
        <f>IF(A49="","",COUNTIFS($A$2:A49,A49,$B$2:B49,B49))</f>
        <v/>
      </c>
      <c r="D49" s="2" t="str">
        <f t="shared" si="2"/>
        <v/>
      </c>
      <c r="E49" s="2"/>
      <c r="F49" t="str">
        <f t="shared" si="0"/>
        <v/>
      </c>
      <c r="G49" t="str">
        <f t="shared" si="1"/>
        <v/>
      </c>
      <c r="H49" t="str">
        <f>IF(F49="","",VLOOKUP(F49,Validation!$A$2:$B$17,2,FALSE))</f>
        <v/>
      </c>
      <c r="I49">
        <f>INT((ROW()-2)/Settings!$B$6)+2</f>
        <v>5</v>
      </c>
      <c r="J49">
        <f>MOD(ROW()-2,Settings!$B$6)+1</f>
        <v>12</v>
      </c>
    </row>
    <row r="50" spans="1:10" x14ac:dyDescent="0.3">
      <c r="A50" t="str">
        <f>IF(OR(INDEX(Matches!$I$2:$I$25,I50-1)="",INDEX(Matches!$J$2:$J$25,I50-1)=""),"",IF(J50&lt;=INDEX(Matches!$I$2:$I$25,I50-1)+INDEX(Matches!$J$2:$J$25,I50-1),INDEX(Matches!$A$2:$A$25,I50-1),""))</f>
        <v/>
      </c>
      <c r="B50" t="str">
        <f>IF(A50="","",IF(J50&lt;=INDEX(Matches!$I$2:$I$25,I50-1),INDEX(Matches!$G$2:$G$25,I50-1),INDEX(Matches!$H$2:$H$25,I50-1)))</f>
        <v/>
      </c>
      <c r="C50" t="str">
        <f>IF(A50="","",COUNTIFS($A$2:A50,A50,$B$2:B50,B50))</f>
        <v/>
      </c>
      <c r="D50" s="2" t="str">
        <f t="shared" si="2"/>
        <v/>
      </c>
      <c r="E50" s="2"/>
      <c r="F50" t="str">
        <f t="shared" si="0"/>
        <v/>
      </c>
      <c r="G50" t="str">
        <f t="shared" si="1"/>
        <v/>
      </c>
      <c r="H50" t="str">
        <f>IF(F50="","",VLOOKUP(F50,Validation!$A$2:$B$17,2,FALSE))</f>
        <v/>
      </c>
      <c r="I50">
        <f>INT((ROW()-2)/Settings!$B$6)+2</f>
        <v>6</v>
      </c>
      <c r="J50">
        <f>MOD(ROW()-2,Settings!$B$6)+1</f>
        <v>1</v>
      </c>
    </row>
    <row r="51" spans="1:10" x14ac:dyDescent="0.3">
      <c r="A51" t="str">
        <f>IF(OR(INDEX(Matches!$I$2:$I$25,I51-1)="",INDEX(Matches!$J$2:$J$25,I51-1)=""),"",IF(J51&lt;=INDEX(Matches!$I$2:$I$25,I51-1)+INDEX(Matches!$J$2:$J$25,I51-1),INDEX(Matches!$A$2:$A$25,I51-1),""))</f>
        <v/>
      </c>
      <c r="B51" t="str">
        <f>IF(A51="","",IF(J51&lt;=INDEX(Matches!$I$2:$I$25,I51-1),INDEX(Matches!$G$2:$G$25,I51-1),INDEX(Matches!$H$2:$H$25,I51-1)))</f>
        <v/>
      </c>
      <c r="C51" t="str">
        <f>IF(A51="","",COUNTIFS($A$2:A51,A51,$B$2:B51,B51))</f>
        <v/>
      </c>
      <c r="D51" s="2" t="str">
        <f t="shared" si="2"/>
        <v/>
      </c>
      <c r="E51" s="2"/>
      <c r="F51" t="str">
        <f t="shared" si="0"/>
        <v/>
      </c>
      <c r="G51" t="str">
        <f t="shared" si="1"/>
        <v/>
      </c>
      <c r="H51" t="str">
        <f>IF(F51="","",VLOOKUP(F51,Validation!$A$2:$B$17,2,FALSE))</f>
        <v/>
      </c>
      <c r="I51">
        <f>INT((ROW()-2)/Settings!$B$6)+2</f>
        <v>6</v>
      </c>
      <c r="J51">
        <f>MOD(ROW()-2,Settings!$B$6)+1</f>
        <v>2</v>
      </c>
    </row>
    <row r="52" spans="1:10" x14ac:dyDescent="0.3">
      <c r="A52" t="str">
        <f>IF(OR(INDEX(Matches!$I$2:$I$25,I52-1)="",INDEX(Matches!$J$2:$J$25,I52-1)=""),"",IF(J52&lt;=INDEX(Matches!$I$2:$I$25,I52-1)+INDEX(Matches!$J$2:$J$25,I52-1),INDEX(Matches!$A$2:$A$25,I52-1),""))</f>
        <v/>
      </c>
      <c r="B52" t="str">
        <f>IF(A52="","",IF(J52&lt;=INDEX(Matches!$I$2:$I$25,I52-1),INDEX(Matches!$G$2:$G$25,I52-1),INDEX(Matches!$H$2:$H$25,I52-1)))</f>
        <v/>
      </c>
      <c r="C52" t="str">
        <f>IF(A52="","",COUNTIFS($A$2:A52,A52,$B$2:B52,B52))</f>
        <v/>
      </c>
      <c r="D52" s="2" t="str">
        <f t="shared" si="2"/>
        <v/>
      </c>
      <c r="E52" s="2"/>
      <c r="F52" t="str">
        <f t="shared" si="0"/>
        <v/>
      </c>
      <c r="G52" t="str">
        <f t="shared" si="1"/>
        <v/>
      </c>
      <c r="H52" t="str">
        <f>IF(F52="","",VLOOKUP(F52,Validation!$A$2:$B$17,2,FALSE))</f>
        <v/>
      </c>
      <c r="I52">
        <f>INT((ROW()-2)/Settings!$B$6)+2</f>
        <v>6</v>
      </c>
      <c r="J52">
        <f>MOD(ROW()-2,Settings!$B$6)+1</f>
        <v>3</v>
      </c>
    </row>
    <row r="53" spans="1:10" x14ac:dyDescent="0.3">
      <c r="A53" t="str">
        <f>IF(OR(INDEX(Matches!$I$2:$I$25,I53-1)="",INDEX(Matches!$J$2:$J$25,I53-1)=""),"",IF(J53&lt;=INDEX(Matches!$I$2:$I$25,I53-1)+INDEX(Matches!$J$2:$J$25,I53-1),INDEX(Matches!$A$2:$A$25,I53-1),""))</f>
        <v/>
      </c>
      <c r="B53" t="str">
        <f>IF(A53="","",IF(J53&lt;=INDEX(Matches!$I$2:$I$25,I53-1),INDEX(Matches!$G$2:$G$25,I53-1),INDEX(Matches!$H$2:$H$25,I53-1)))</f>
        <v/>
      </c>
      <c r="C53" t="str">
        <f>IF(A53="","",COUNTIFS($A$2:A53,A53,$B$2:B53,B53))</f>
        <v/>
      </c>
      <c r="D53" s="2" t="str">
        <f t="shared" si="2"/>
        <v/>
      </c>
      <c r="E53" s="2"/>
      <c r="F53" t="str">
        <f t="shared" si="0"/>
        <v/>
      </c>
      <c r="G53" t="str">
        <f t="shared" si="1"/>
        <v/>
      </c>
      <c r="H53" t="str">
        <f>IF(F53="","",VLOOKUP(F53,Validation!$A$2:$B$17,2,FALSE))</f>
        <v/>
      </c>
      <c r="I53">
        <f>INT((ROW()-2)/Settings!$B$6)+2</f>
        <v>6</v>
      </c>
      <c r="J53">
        <f>MOD(ROW()-2,Settings!$B$6)+1</f>
        <v>4</v>
      </c>
    </row>
    <row r="54" spans="1:10" x14ac:dyDescent="0.3">
      <c r="A54" t="str">
        <f>IF(OR(INDEX(Matches!$I$2:$I$25,I54-1)="",INDEX(Matches!$J$2:$J$25,I54-1)=""),"",IF(J54&lt;=INDEX(Matches!$I$2:$I$25,I54-1)+INDEX(Matches!$J$2:$J$25,I54-1),INDEX(Matches!$A$2:$A$25,I54-1),""))</f>
        <v/>
      </c>
      <c r="B54" t="str">
        <f>IF(A54="","",IF(J54&lt;=INDEX(Matches!$I$2:$I$25,I54-1),INDEX(Matches!$G$2:$G$25,I54-1),INDEX(Matches!$H$2:$H$25,I54-1)))</f>
        <v/>
      </c>
      <c r="C54" t="str">
        <f>IF(A54="","",COUNTIFS($A$2:A54,A54,$B$2:B54,B54))</f>
        <v/>
      </c>
      <c r="D54" s="2" t="str">
        <f t="shared" si="2"/>
        <v/>
      </c>
      <c r="E54" s="2"/>
      <c r="F54" t="str">
        <f t="shared" si="0"/>
        <v/>
      </c>
      <c r="G54" t="str">
        <f t="shared" si="1"/>
        <v/>
      </c>
      <c r="H54" t="str">
        <f>IF(F54="","",VLOOKUP(F54,Validation!$A$2:$B$17,2,FALSE))</f>
        <v/>
      </c>
      <c r="I54">
        <f>INT((ROW()-2)/Settings!$B$6)+2</f>
        <v>6</v>
      </c>
      <c r="J54">
        <f>MOD(ROW()-2,Settings!$B$6)+1</f>
        <v>5</v>
      </c>
    </row>
    <row r="55" spans="1:10" x14ac:dyDescent="0.3">
      <c r="A55" t="str">
        <f>IF(OR(INDEX(Matches!$I$2:$I$25,I55-1)="",INDEX(Matches!$J$2:$J$25,I55-1)=""),"",IF(J55&lt;=INDEX(Matches!$I$2:$I$25,I55-1)+INDEX(Matches!$J$2:$J$25,I55-1),INDEX(Matches!$A$2:$A$25,I55-1),""))</f>
        <v/>
      </c>
      <c r="B55" t="str">
        <f>IF(A55="","",IF(J55&lt;=INDEX(Matches!$I$2:$I$25,I55-1),INDEX(Matches!$G$2:$G$25,I55-1),INDEX(Matches!$H$2:$H$25,I55-1)))</f>
        <v/>
      </c>
      <c r="C55" t="str">
        <f>IF(A55="","",COUNTIFS($A$2:A55,A55,$B$2:B55,B55))</f>
        <v/>
      </c>
      <c r="D55" s="2" t="str">
        <f t="shared" si="2"/>
        <v/>
      </c>
      <c r="E55" s="2"/>
      <c r="F55" t="str">
        <f t="shared" si="0"/>
        <v/>
      </c>
      <c r="G55" t="str">
        <f t="shared" si="1"/>
        <v/>
      </c>
      <c r="H55" t="str">
        <f>IF(F55="","",VLOOKUP(F55,Validation!$A$2:$B$17,2,FALSE))</f>
        <v/>
      </c>
      <c r="I55">
        <f>INT((ROW()-2)/Settings!$B$6)+2</f>
        <v>6</v>
      </c>
      <c r="J55">
        <f>MOD(ROW()-2,Settings!$B$6)+1</f>
        <v>6</v>
      </c>
    </row>
    <row r="56" spans="1:10" x14ac:dyDescent="0.3">
      <c r="A56" t="str">
        <f>IF(OR(INDEX(Matches!$I$2:$I$25,I56-1)="",INDEX(Matches!$J$2:$J$25,I56-1)=""),"",IF(J56&lt;=INDEX(Matches!$I$2:$I$25,I56-1)+INDEX(Matches!$J$2:$J$25,I56-1),INDEX(Matches!$A$2:$A$25,I56-1),""))</f>
        <v/>
      </c>
      <c r="B56" t="str">
        <f>IF(A56="","",IF(J56&lt;=INDEX(Matches!$I$2:$I$25,I56-1),INDEX(Matches!$G$2:$G$25,I56-1),INDEX(Matches!$H$2:$H$25,I56-1)))</f>
        <v/>
      </c>
      <c r="C56" t="str">
        <f>IF(A56="","",COUNTIFS($A$2:A56,A56,$B$2:B56,B56))</f>
        <v/>
      </c>
      <c r="D56" s="2" t="str">
        <f t="shared" si="2"/>
        <v/>
      </c>
      <c r="E56" s="2"/>
      <c r="F56" t="str">
        <f t="shared" si="0"/>
        <v/>
      </c>
      <c r="G56" t="str">
        <f t="shared" si="1"/>
        <v/>
      </c>
      <c r="H56" t="str">
        <f>IF(F56="","",VLOOKUP(F56,Validation!$A$2:$B$17,2,FALSE))</f>
        <v/>
      </c>
      <c r="I56">
        <f>INT((ROW()-2)/Settings!$B$6)+2</f>
        <v>6</v>
      </c>
      <c r="J56">
        <f>MOD(ROW()-2,Settings!$B$6)+1</f>
        <v>7</v>
      </c>
    </row>
    <row r="57" spans="1:10" x14ac:dyDescent="0.3">
      <c r="A57" t="str">
        <f>IF(OR(INDEX(Matches!$I$2:$I$25,I57-1)="",INDEX(Matches!$J$2:$J$25,I57-1)=""),"",IF(J57&lt;=INDEX(Matches!$I$2:$I$25,I57-1)+INDEX(Matches!$J$2:$J$25,I57-1),INDEX(Matches!$A$2:$A$25,I57-1),""))</f>
        <v/>
      </c>
      <c r="B57" t="str">
        <f>IF(A57="","",IF(J57&lt;=INDEX(Matches!$I$2:$I$25,I57-1),INDEX(Matches!$G$2:$G$25,I57-1),INDEX(Matches!$H$2:$H$25,I57-1)))</f>
        <v/>
      </c>
      <c r="C57" t="str">
        <f>IF(A57="","",COUNTIFS($A$2:A57,A57,$B$2:B57,B57))</f>
        <v/>
      </c>
      <c r="D57" s="2" t="str">
        <f t="shared" si="2"/>
        <v/>
      </c>
      <c r="E57" s="2"/>
      <c r="F57" t="str">
        <f t="shared" si="0"/>
        <v/>
      </c>
      <c r="G57" t="str">
        <f t="shared" si="1"/>
        <v/>
      </c>
      <c r="H57" t="str">
        <f>IF(F57="","",VLOOKUP(F57,Validation!$A$2:$B$17,2,FALSE))</f>
        <v/>
      </c>
      <c r="I57">
        <f>INT((ROW()-2)/Settings!$B$6)+2</f>
        <v>6</v>
      </c>
      <c r="J57">
        <f>MOD(ROW()-2,Settings!$B$6)+1</f>
        <v>8</v>
      </c>
    </row>
    <row r="58" spans="1:10" x14ac:dyDescent="0.3">
      <c r="A58" t="str">
        <f>IF(OR(INDEX(Matches!$I$2:$I$25,I58-1)="",INDEX(Matches!$J$2:$J$25,I58-1)=""),"",IF(J58&lt;=INDEX(Matches!$I$2:$I$25,I58-1)+INDEX(Matches!$J$2:$J$25,I58-1),INDEX(Matches!$A$2:$A$25,I58-1),""))</f>
        <v/>
      </c>
      <c r="B58" t="str">
        <f>IF(A58="","",IF(J58&lt;=INDEX(Matches!$I$2:$I$25,I58-1),INDEX(Matches!$G$2:$G$25,I58-1),INDEX(Matches!$H$2:$H$25,I58-1)))</f>
        <v/>
      </c>
      <c r="C58" t="str">
        <f>IF(A58="","",COUNTIFS($A$2:A58,A58,$B$2:B58,B58))</f>
        <v/>
      </c>
      <c r="D58" s="2" t="str">
        <f t="shared" si="2"/>
        <v/>
      </c>
      <c r="E58" s="2"/>
      <c r="F58" t="str">
        <f t="shared" si="0"/>
        <v/>
      </c>
      <c r="G58" t="str">
        <f t="shared" si="1"/>
        <v/>
      </c>
      <c r="H58" t="str">
        <f>IF(F58="","",VLOOKUP(F58,Validation!$A$2:$B$17,2,FALSE))</f>
        <v/>
      </c>
      <c r="I58">
        <f>INT((ROW()-2)/Settings!$B$6)+2</f>
        <v>6</v>
      </c>
      <c r="J58">
        <f>MOD(ROW()-2,Settings!$B$6)+1</f>
        <v>9</v>
      </c>
    </row>
    <row r="59" spans="1:10" x14ac:dyDescent="0.3">
      <c r="A59" t="str">
        <f>IF(OR(INDEX(Matches!$I$2:$I$25,I59-1)="",INDEX(Matches!$J$2:$J$25,I59-1)=""),"",IF(J59&lt;=INDEX(Matches!$I$2:$I$25,I59-1)+INDEX(Matches!$J$2:$J$25,I59-1),INDEX(Matches!$A$2:$A$25,I59-1),""))</f>
        <v/>
      </c>
      <c r="B59" t="str">
        <f>IF(A59="","",IF(J59&lt;=INDEX(Matches!$I$2:$I$25,I59-1),INDEX(Matches!$G$2:$G$25,I59-1),INDEX(Matches!$H$2:$H$25,I59-1)))</f>
        <v/>
      </c>
      <c r="C59" t="str">
        <f>IF(A59="","",COUNTIFS($A$2:A59,A59,$B$2:B59,B59))</f>
        <v/>
      </c>
      <c r="D59" s="2" t="str">
        <f t="shared" si="2"/>
        <v/>
      </c>
      <c r="E59" s="2"/>
      <c r="F59" t="str">
        <f t="shared" si="0"/>
        <v/>
      </c>
      <c r="G59" t="str">
        <f t="shared" si="1"/>
        <v/>
      </c>
      <c r="H59" t="str">
        <f>IF(F59="","",VLOOKUP(F59,Validation!$A$2:$B$17,2,FALSE))</f>
        <v/>
      </c>
      <c r="I59">
        <f>INT((ROW()-2)/Settings!$B$6)+2</f>
        <v>6</v>
      </c>
      <c r="J59">
        <f>MOD(ROW()-2,Settings!$B$6)+1</f>
        <v>10</v>
      </c>
    </row>
    <row r="60" spans="1:10" x14ac:dyDescent="0.3">
      <c r="A60" t="str">
        <f>IF(OR(INDEX(Matches!$I$2:$I$25,I60-1)="",INDEX(Matches!$J$2:$J$25,I60-1)=""),"",IF(J60&lt;=INDEX(Matches!$I$2:$I$25,I60-1)+INDEX(Matches!$J$2:$J$25,I60-1),INDEX(Matches!$A$2:$A$25,I60-1),""))</f>
        <v/>
      </c>
      <c r="B60" t="str">
        <f>IF(A60="","",IF(J60&lt;=INDEX(Matches!$I$2:$I$25,I60-1),INDEX(Matches!$G$2:$G$25,I60-1),INDEX(Matches!$H$2:$H$25,I60-1)))</f>
        <v/>
      </c>
      <c r="C60" t="str">
        <f>IF(A60="","",COUNTIFS($A$2:A60,A60,$B$2:B60,B60))</f>
        <v/>
      </c>
      <c r="D60" s="2" t="str">
        <f t="shared" si="2"/>
        <v/>
      </c>
      <c r="E60" s="2"/>
      <c r="F60" t="str">
        <f t="shared" si="0"/>
        <v/>
      </c>
      <c r="G60" t="str">
        <f t="shared" si="1"/>
        <v/>
      </c>
      <c r="H60" t="str">
        <f>IF(F60="","",VLOOKUP(F60,Validation!$A$2:$B$17,2,FALSE))</f>
        <v/>
      </c>
      <c r="I60">
        <f>INT((ROW()-2)/Settings!$B$6)+2</f>
        <v>6</v>
      </c>
      <c r="J60">
        <f>MOD(ROW()-2,Settings!$B$6)+1</f>
        <v>11</v>
      </c>
    </row>
    <row r="61" spans="1:10" x14ac:dyDescent="0.3">
      <c r="A61" t="str">
        <f>IF(OR(INDEX(Matches!$I$2:$I$25,I61-1)="",INDEX(Matches!$J$2:$J$25,I61-1)=""),"",IF(J61&lt;=INDEX(Matches!$I$2:$I$25,I61-1)+INDEX(Matches!$J$2:$J$25,I61-1),INDEX(Matches!$A$2:$A$25,I61-1),""))</f>
        <v/>
      </c>
      <c r="B61" t="str">
        <f>IF(A61="","",IF(J61&lt;=INDEX(Matches!$I$2:$I$25,I61-1),INDEX(Matches!$G$2:$G$25,I61-1),INDEX(Matches!$H$2:$H$25,I61-1)))</f>
        <v/>
      </c>
      <c r="C61" t="str">
        <f>IF(A61="","",COUNTIFS($A$2:A61,A61,$B$2:B61,B61))</f>
        <v/>
      </c>
      <c r="D61" s="2" t="str">
        <f t="shared" si="2"/>
        <v/>
      </c>
      <c r="E61" s="2"/>
      <c r="F61" t="str">
        <f t="shared" si="0"/>
        <v/>
      </c>
      <c r="G61" t="str">
        <f t="shared" si="1"/>
        <v/>
      </c>
      <c r="H61" t="str">
        <f>IF(F61="","",VLOOKUP(F61,Validation!$A$2:$B$17,2,FALSE))</f>
        <v/>
      </c>
      <c r="I61">
        <f>INT((ROW()-2)/Settings!$B$6)+2</f>
        <v>6</v>
      </c>
      <c r="J61">
        <f>MOD(ROW()-2,Settings!$B$6)+1</f>
        <v>12</v>
      </c>
    </row>
    <row r="62" spans="1:10" x14ac:dyDescent="0.3">
      <c r="A62" t="str">
        <f>IF(OR(INDEX(Matches!$I$2:$I$25,I62-1)="",INDEX(Matches!$J$2:$J$25,I62-1)=""),"",IF(J62&lt;=INDEX(Matches!$I$2:$I$25,I62-1)+INDEX(Matches!$J$2:$J$25,I62-1),INDEX(Matches!$A$2:$A$25,I62-1),""))</f>
        <v/>
      </c>
      <c r="B62" t="str">
        <f>IF(A62="","",IF(J62&lt;=INDEX(Matches!$I$2:$I$25,I62-1),INDEX(Matches!$G$2:$G$25,I62-1),INDEX(Matches!$H$2:$H$25,I62-1)))</f>
        <v/>
      </c>
      <c r="C62" t="str">
        <f>IF(A62="","",COUNTIFS($A$2:A62,A62,$B$2:B62,B62))</f>
        <v/>
      </c>
      <c r="D62" s="2" t="str">
        <f t="shared" si="2"/>
        <v/>
      </c>
      <c r="E62" s="2"/>
      <c r="F62" t="str">
        <f t="shared" si="0"/>
        <v/>
      </c>
      <c r="G62" t="str">
        <f t="shared" si="1"/>
        <v/>
      </c>
      <c r="H62" t="str">
        <f>IF(F62="","",VLOOKUP(F62,Validation!$A$2:$B$17,2,FALSE))</f>
        <v/>
      </c>
      <c r="I62">
        <f>INT((ROW()-2)/Settings!$B$6)+2</f>
        <v>7</v>
      </c>
      <c r="J62">
        <f>MOD(ROW()-2,Settings!$B$6)+1</f>
        <v>1</v>
      </c>
    </row>
    <row r="63" spans="1:10" x14ac:dyDescent="0.3">
      <c r="A63" t="str">
        <f>IF(OR(INDEX(Matches!$I$2:$I$25,I63-1)="",INDEX(Matches!$J$2:$J$25,I63-1)=""),"",IF(J63&lt;=INDEX(Matches!$I$2:$I$25,I63-1)+INDEX(Matches!$J$2:$J$25,I63-1),INDEX(Matches!$A$2:$A$25,I63-1),""))</f>
        <v/>
      </c>
      <c r="B63" t="str">
        <f>IF(A63="","",IF(J63&lt;=INDEX(Matches!$I$2:$I$25,I63-1),INDEX(Matches!$G$2:$G$25,I63-1),INDEX(Matches!$H$2:$H$25,I63-1)))</f>
        <v/>
      </c>
      <c r="C63" t="str">
        <f>IF(A63="","",COUNTIFS($A$2:A63,A63,$B$2:B63,B63))</f>
        <v/>
      </c>
      <c r="D63" s="2" t="str">
        <f t="shared" si="2"/>
        <v/>
      </c>
      <c r="E63" s="2"/>
      <c r="F63" t="str">
        <f t="shared" si="0"/>
        <v/>
      </c>
      <c r="G63" t="str">
        <f t="shared" si="1"/>
        <v/>
      </c>
      <c r="H63" t="str">
        <f>IF(F63="","",VLOOKUP(F63,Validation!$A$2:$B$17,2,FALSE))</f>
        <v/>
      </c>
      <c r="I63">
        <f>INT((ROW()-2)/Settings!$B$6)+2</f>
        <v>7</v>
      </c>
      <c r="J63">
        <f>MOD(ROW()-2,Settings!$B$6)+1</f>
        <v>2</v>
      </c>
    </row>
    <row r="64" spans="1:10" x14ac:dyDescent="0.3">
      <c r="A64" t="str">
        <f>IF(OR(INDEX(Matches!$I$2:$I$25,I64-1)="",INDEX(Matches!$J$2:$J$25,I64-1)=""),"",IF(J64&lt;=INDEX(Matches!$I$2:$I$25,I64-1)+INDEX(Matches!$J$2:$J$25,I64-1),INDEX(Matches!$A$2:$A$25,I64-1),""))</f>
        <v/>
      </c>
      <c r="B64" t="str">
        <f>IF(A64="","",IF(J64&lt;=INDEX(Matches!$I$2:$I$25,I64-1),INDEX(Matches!$G$2:$G$25,I64-1),INDEX(Matches!$H$2:$H$25,I64-1)))</f>
        <v/>
      </c>
      <c r="C64" t="str">
        <f>IF(A64="","",COUNTIFS($A$2:A64,A64,$B$2:B64,B64))</f>
        <v/>
      </c>
      <c r="D64" s="2" t="str">
        <f t="shared" si="2"/>
        <v/>
      </c>
      <c r="E64" s="2"/>
      <c r="F64" t="str">
        <f t="shared" si="0"/>
        <v/>
      </c>
      <c r="G64" t="str">
        <f t="shared" si="1"/>
        <v/>
      </c>
      <c r="H64" t="str">
        <f>IF(F64="","",VLOOKUP(F64,Validation!$A$2:$B$17,2,FALSE))</f>
        <v/>
      </c>
      <c r="I64">
        <f>INT((ROW()-2)/Settings!$B$6)+2</f>
        <v>7</v>
      </c>
      <c r="J64">
        <f>MOD(ROW()-2,Settings!$B$6)+1</f>
        <v>3</v>
      </c>
    </row>
    <row r="65" spans="1:10" x14ac:dyDescent="0.3">
      <c r="A65" t="str">
        <f>IF(OR(INDEX(Matches!$I$2:$I$25,I65-1)="",INDEX(Matches!$J$2:$J$25,I65-1)=""),"",IF(J65&lt;=INDEX(Matches!$I$2:$I$25,I65-1)+INDEX(Matches!$J$2:$J$25,I65-1),INDEX(Matches!$A$2:$A$25,I65-1),""))</f>
        <v/>
      </c>
      <c r="B65" t="str">
        <f>IF(A65="","",IF(J65&lt;=INDEX(Matches!$I$2:$I$25,I65-1),INDEX(Matches!$G$2:$G$25,I65-1),INDEX(Matches!$H$2:$H$25,I65-1)))</f>
        <v/>
      </c>
      <c r="C65" t="str">
        <f>IF(A65="","",COUNTIFS($A$2:A65,A65,$B$2:B65,B65))</f>
        <v/>
      </c>
      <c r="D65" s="2" t="str">
        <f t="shared" si="2"/>
        <v/>
      </c>
      <c r="E65" s="2"/>
      <c r="F65" t="str">
        <f t="shared" si="0"/>
        <v/>
      </c>
      <c r="G65" t="str">
        <f t="shared" si="1"/>
        <v/>
      </c>
      <c r="H65" t="str">
        <f>IF(F65="","",VLOOKUP(F65,Validation!$A$2:$B$17,2,FALSE))</f>
        <v/>
      </c>
      <c r="I65">
        <f>INT((ROW()-2)/Settings!$B$6)+2</f>
        <v>7</v>
      </c>
      <c r="J65">
        <f>MOD(ROW()-2,Settings!$B$6)+1</f>
        <v>4</v>
      </c>
    </row>
    <row r="66" spans="1:10" x14ac:dyDescent="0.3">
      <c r="A66" t="str">
        <f>IF(OR(INDEX(Matches!$I$2:$I$25,I66-1)="",INDEX(Matches!$J$2:$J$25,I66-1)=""),"",IF(J66&lt;=INDEX(Matches!$I$2:$I$25,I66-1)+INDEX(Matches!$J$2:$J$25,I66-1),INDEX(Matches!$A$2:$A$25,I66-1),""))</f>
        <v/>
      </c>
      <c r="B66" t="str">
        <f>IF(A66="","",IF(J66&lt;=INDEX(Matches!$I$2:$I$25,I66-1),INDEX(Matches!$G$2:$G$25,I66-1),INDEX(Matches!$H$2:$H$25,I66-1)))</f>
        <v/>
      </c>
      <c r="C66" t="str">
        <f>IF(A66="","",COUNTIFS($A$2:A66,A66,$B$2:B66,B66))</f>
        <v/>
      </c>
      <c r="D66" s="2" t="str">
        <f t="shared" ref="D66:D129" si="3">IF(A66="","","Goal")</f>
        <v/>
      </c>
      <c r="E66" s="2"/>
      <c r="F66" t="str">
        <f t="shared" ref="F66:F129" si="4">IF(A66="","",IF(D66="Autogol","",IF(D66="Goal",B66,"")))</f>
        <v/>
      </c>
      <c r="G66" t="str">
        <f t="shared" ref="G66:G129" si="5">IF(A66="","",IF(D66="","Manca tipo",IF(D66="Goal",IF(E66="","Manca giocatore","OK"),IF(D66="Autogol",IF(E66&lt;&gt;"","Autogol: svuota Player","OK"),"Tipo non valido"))))</f>
        <v/>
      </c>
      <c r="H66" t="str">
        <f>IF(F66="","",VLOOKUP(F66,Validation!$A$2:$B$17,2,FALSE))</f>
        <v/>
      </c>
      <c r="I66">
        <f>INT((ROW()-2)/Settings!$B$6)+2</f>
        <v>7</v>
      </c>
      <c r="J66">
        <f>MOD(ROW()-2,Settings!$B$6)+1</f>
        <v>5</v>
      </c>
    </row>
    <row r="67" spans="1:10" x14ac:dyDescent="0.3">
      <c r="A67" t="str">
        <f>IF(OR(INDEX(Matches!$I$2:$I$25,I67-1)="",INDEX(Matches!$J$2:$J$25,I67-1)=""),"",IF(J67&lt;=INDEX(Matches!$I$2:$I$25,I67-1)+INDEX(Matches!$J$2:$J$25,I67-1),INDEX(Matches!$A$2:$A$25,I67-1),""))</f>
        <v/>
      </c>
      <c r="B67" t="str">
        <f>IF(A67="","",IF(J67&lt;=INDEX(Matches!$I$2:$I$25,I67-1),INDEX(Matches!$G$2:$G$25,I67-1),INDEX(Matches!$H$2:$H$25,I67-1)))</f>
        <v/>
      </c>
      <c r="C67" t="str">
        <f>IF(A67="","",COUNTIFS($A$2:A67,A67,$B$2:B67,B67))</f>
        <v/>
      </c>
      <c r="D67" s="2" t="str">
        <f t="shared" si="3"/>
        <v/>
      </c>
      <c r="E67" s="2"/>
      <c r="F67" t="str">
        <f t="shared" si="4"/>
        <v/>
      </c>
      <c r="G67" t="str">
        <f t="shared" si="5"/>
        <v/>
      </c>
      <c r="H67" t="str">
        <f>IF(F67="","",VLOOKUP(F67,Validation!$A$2:$B$17,2,FALSE))</f>
        <v/>
      </c>
      <c r="I67">
        <f>INT((ROW()-2)/Settings!$B$6)+2</f>
        <v>7</v>
      </c>
      <c r="J67">
        <f>MOD(ROW()-2,Settings!$B$6)+1</f>
        <v>6</v>
      </c>
    </row>
    <row r="68" spans="1:10" x14ac:dyDescent="0.3">
      <c r="A68" t="str">
        <f>IF(OR(INDEX(Matches!$I$2:$I$25,I68-1)="",INDEX(Matches!$J$2:$J$25,I68-1)=""),"",IF(J68&lt;=INDEX(Matches!$I$2:$I$25,I68-1)+INDEX(Matches!$J$2:$J$25,I68-1),INDEX(Matches!$A$2:$A$25,I68-1),""))</f>
        <v/>
      </c>
      <c r="B68" t="str">
        <f>IF(A68="","",IF(J68&lt;=INDEX(Matches!$I$2:$I$25,I68-1),INDEX(Matches!$G$2:$G$25,I68-1),INDEX(Matches!$H$2:$H$25,I68-1)))</f>
        <v/>
      </c>
      <c r="C68" t="str">
        <f>IF(A68="","",COUNTIFS($A$2:A68,A68,$B$2:B68,B68))</f>
        <v/>
      </c>
      <c r="D68" s="2" t="str">
        <f t="shared" si="3"/>
        <v/>
      </c>
      <c r="E68" s="2"/>
      <c r="F68" t="str">
        <f t="shared" si="4"/>
        <v/>
      </c>
      <c r="G68" t="str">
        <f t="shared" si="5"/>
        <v/>
      </c>
      <c r="H68" t="str">
        <f>IF(F68="","",VLOOKUP(F68,Validation!$A$2:$B$17,2,FALSE))</f>
        <v/>
      </c>
      <c r="I68">
        <f>INT((ROW()-2)/Settings!$B$6)+2</f>
        <v>7</v>
      </c>
      <c r="J68">
        <f>MOD(ROW()-2,Settings!$B$6)+1</f>
        <v>7</v>
      </c>
    </row>
    <row r="69" spans="1:10" x14ac:dyDescent="0.3">
      <c r="A69" t="str">
        <f>IF(OR(INDEX(Matches!$I$2:$I$25,I69-1)="",INDEX(Matches!$J$2:$J$25,I69-1)=""),"",IF(J69&lt;=INDEX(Matches!$I$2:$I$25,I69-1)+INDEX(Matches!$J$2:$J$25,I69-1),INDEX(Matches!$A$2:$A$25,I69-1),""))</f>
        <v/>
      </c>
      <c r="B69" t="str">
        <f>IF(A69="","",IF(J69&lt;=INDEX(Matches!$I$2:$I$25,I69-1),INDEX(Matches!$G$2:$G$25,I69-1),INDEX(Matches!$H$2:$H$25,I69-1)))</f>
        <v/>
      </c>
      <c r="C69" t="str">
        <f>IF(A69="","",COUNTIFS($A$2:A69,A69,$B$2:B69,B69))</f>
        <v/>
      </c>
      <c r="D69" s="2" t="str">
        <f t="shared" si="3"/>
        <v/>
      </c>
      <c r="E69" s="2"/>
      <c r="F69" t="str">
        <f t="shared" si="4"/>
        <v/>
      </c>
      <c r="G69" t="str">
        <f t="shared" si="5"/>
        <v/>
      </c>
      <c r="H69" t="str">
        <f>IF(F69="","",VLOOKUP(F69,Validation!$A$2:$B$17,2,FALSE))</f>
        <v/>
      </c>
      <c r="I69">
        <f>INT((ROW()-2)/Settings!$B$6)+2</f>
        <v>7</v>
      </c>
      <c r="J69">
        <f>MOD(ROW()-2,Settings!$B$6)+1</f>
        <v>8</v>
      </c>
    </row>
    <row r="70" spans="1:10" x14ac:dyDescent="0.3">
      <c r="A70" t="str">
        <f>IF(OR(INDEX(Matches!$I$2:$I$25,I70-1)="",INDEX(Matches!$J$2:$J$25,I70-1)=""),"",IF(J70&lt;=INDEX(Matches!$I$2:$I$25,I70-1)+INDEX(Matches!$J$2:$J$25,I70-1),INDEX(Matches!$A$2:$A$25,I70-1),""))</f>
        <v/>
      </c>
      <c r="B70" t="str">
        <f>IF(A70="","",IF(J70&lt;=INDEX(Matches!$I$2:$I$25,I70-1),INDEX(Matches!$G$2:$G$25,I70-1),INDEX(Matches!$H$2:$H$25,I70-1)))</f>
        <v/>
      </c>
      <c r="C70" t="str">
        <f>IF(A70="","",COUNTIFS($A$2:A70,A70,$B$2:B70,B70))</f>
        <v/>
      </c>
      <c r="D70" s="2" t="str">
        <f t="shared" si="3"/>
        <v/>
      </c>
      <c r="E70" s="2"/>
      <c r="F70" t="str">
        <f t="shared" si="4"/>
        <v/>
      </c>
      <c r="G70" t="str">
        <f t="shared" si="5"/>
        <v/>
      </c>
      <c r="H70" t="str">
        <f>IF(F70="","",VLOOKUP(F70,Validation!$A$2:$B$17,2,FALSE))</f>
        <v/>
      </c>
      <c r="I70">
        <f>INT((ROW()-2)/Settings!$B$6)+2</f>
        <v>7</v>
      </c>
      <c r="J70">
        <f>MOD(ROW()-2,Settings!$B$6)+1</f>
        <v>9</v>
      </c>
    </row>
    <row r="71" spans="1:10" x14ac:dyDescent="0.3">
      <c r="A71" t="str">
        <f>IF(OR(INDEX(Matches!$I$2:$I$25,I71-1)="",INDEX(Matches!$J$2:$J$25,I71-1)=""),"",IF(J71&lt;=INDEX(Matches!$I$2:$I$25,I71-1)+INDEX(Matches!$J$2:$J$25,I71-1),INDEX(Matches!$A$2:$A$25,I71-1),""))</f>
        <v/>
      </c>
      <c r="B71" t="str">
        <f>IF(A71="","",IF(J71&lt;=INDEX(Matches!$I$2:$I$25,I71-1),INDEX(Matches!$G$2:$G$25,I71-1),INDEX(Matches!$H$2:$H$25,I71-1)))</f>
        <v/>
      </c>
      <c r="C71" t="str">
        <f>IF(A71="","",COUNTIFS($A$2:A71,A71,$B$2:B71,B71))</f>
        <v/>
      </c>
      <c r="D71" s="2" t="str">
        <f t="shared" si="3"/>
        <v/>
      </c>
      <c r="E71" s="2"/>
      <c r="F71" t="str">
        <f t="shared" si="4"/>
        <v/>
      </c>
      <c r="G71" t="str">
        <f t="shared" si="5"/>
        <v/>
      </c>
      <c r="H71" t="str">
        <f>IF(F71="","",VLOOKUP(F71,Validation!$A$2:$B$17,2,FALSE))</f>
        <v/>
      </c>
      <c r="I71">
        <f>INT((ROW()-2)/Settings!$B$6)+2</f>
        <v>7</v>
      </c>
      <c r="J71">
        <f>MOD(ROW()-2,Settings!$B$6)+1</f>
        <v>10</v>
      </c>
    </row>
    <row r="72" spans="1:10" x14ac:dyDescent="0.3">
      <c r="A72" t="str">
        <f>IF(OR(INDEX(Matches!$I$2:$I$25,I72-1)="",INDEX(Matches!$J$2:$J$25,I72-1)=""),"",IF(J72&lt;=INDEX(Matches!$I$2:$I$25,I72-1)+INDEX(Matches!$J$2:$J$25,I72-1),INDEX(Matches!$A$2:$A$25,I72-1),""))</f>
        <v/>
      </c>
      <c r="B72" t="str">
        <f>IF(A72="","",IF(J72&lt;=INDEX(Matches!$I$2:$I$25,I72-1),INDEX(Matches!$G$2:$G$25,I72-1),INDEX(Matches!$H$2:$H$25,I72-1)))</f>
        <v/>
      </c>
      <c r="C72" t="str">
        <f>IF(A72="","",COUNTIFS($A$2:A72,A72,$B$2:B72,B72))</f>
        <v/>
      </c>
      <c r="D72" s="2" t="str">
        <f t="shared" si="3"/>
        <v/>
      </c>
      <c r="E72" s="2"/>
      <c r="F72" t="str">
        <f t="shared" si="4"/>
        <v/>
      </c>
      <c r="G72" t="str">
        <f t="shared" si="5"/>
        <v/>
      </c>
      <c r="H72" t="str">
        <f>IF(F72="","",VLOOKUP(F72,Validation!$A$2:$B$17,2,FALSE))</f>
        <v/>
      </c>
      <c r="I72">
        <f>INT((ROW()-2)/Settings!$B$6)+2</f>
        <v>7</v>
      </c>
      <c r="J72">
        <f>MOD(ROW()-2,Settings!$B$6)+1</f>
        <v>11</v>
      </c>
    </row>
    <row r="73" spans="1:10" x14ac:dyDescent="0.3">
      <c r="A73" t="str">
        <f>IF(OR(INDEX(Matches!$I$2:$I$25,I73-1)="",INDEX(Matches!$J$2:$J$25,I73-1)=""),"",IF(J73&lt;=INDEX(Matches!$I$2:$I$25,I73-1)+INDEX(Matches!$J$2:$J$25,I73-1),INDEX(Matches!$A$2:$A$25,I73-1),""))</f>
        <v/>
      </c>
      <c r="B73" t="str">
        <f>IF(A73="","",IF(J73&lt;=INDEX(Matches!$I$2:$I$25,I73-1),INDEX(Matches!$G$2:$G$25,I73-1),INDEX(Matches!$H$2:$H$25,I73-1)))</f>
        <v/>
      </c>
      <c r="C73" t="str">
        <f>IF(A73="","",COUNTIFS($A$2:A73,A73,$B$2:B73,B73))</f>
        <v/>
      </c>
      <c r="D73" s="2" t="str">
        <f t="shared" si="3"/>
        <v/>
      </c>
      <c r="E73" s="2"/>
      <c r="F73" t="str">
        <f t="shared" si="4"/>
        <v/>
      </c>
      <c r="G73" t="str">
        <f t="shared" si="5"/>
        <v/>
      </c>
      <c r="H73" t="str">
        <f>IF(F73="","",VLOOKUP(F73,Validation!$A$2:$B$17,2,FALSE))</f>
        <v/>
      </c>
      <c r="I73">
        <f>INT((ROW()-2)/Settings!$B$6)+2</f>
        <v>7</v>
      </c>
      <c r="J73">
        <f>MOD(ROW()-2,Settings!$B$6)+1</f>
        <v>12</v>
      </c>
    </row>
    <row r="74" spans="1:10" x14ac:dyDescent="0.3">
      <c r="A74" t="str">
        <f>IF(OR(INDEX(Matches!$I$2:$I$25,I74-1)="",INDEX(Matches!$J$2:$J$25,I74-1)=""),"",IF(J74&lt;=INDEX(Matches!$I$2:$I$25,I74-1)+INDEX(Matches!$J$2:$J$25,I74-1),INDEX(Matches!$A$2:$A$25,I74-1),""))</f>
        <v/>
      </c>
      <c r="B74" t="str">
        <f>IF(A74="","",IF(J74&lt;=INDEX(Matches!$I$2:$I$25,I74-1),INDEX(Matches!$G$2:$G$25,I74-1),INDEX(Matches!$H$2:$H$25,I74-1)))</f>
        <v/>
      </c>
      <c r="C74" t="str">
        <f>IF(A74="","",COUNTIFS($A$2:A74,A74,$B$2:B74,B74))</f>
        <v/>
      </c>
      <c r="D74" s="2" t="str">
        <f t="shared" si="3"/>
        <v/>
      </c>
      <c r="E74" s="2"/>
      <c r="F74" t="str">
        <f t="shared" si="4"/>
        <v/>
      </c>
      <c r="G74" t="str">
        <f t="shared" si="5"/>
        <v/>
      </c>
      <c r="H74" t="str">
        <f>IF(F74="","",VLOOKUP(F74,Validation!$A$2:$B$17,2,FALSE))</f>
        <v/>
      </c>
      <c r="I74">
        <f>INT((ROW()-2)/Settings!$B$6)+2</f>
        <v>8</v>
      </c>
      <c r="J74">
        <f>MOD(ROW()-2,Settings!$B$6)+1</f>
        <v>1</v>
      </c>
    </row>
    <row r="75" spans="1:10" x14ac:dyDescent="0.3">
      <c r="A75" t="str">
        <f>IF(OR(INDEX(Matches!$I$2:$I$25,I75-1)="",INDEX(Matches!$J$2:$J$25,I75-1)=""),"",IF(J75&lt;=INDEX(Matches!$I$2:$I$25,I75-1)+INDEX(Matches!$J$2:$J$25,I75-1),INDEX(Matches!$A$2:$A$25,I75-1),""))</f>
        <v/>
      </c>
      <c r="B75" t="str">
        <f>IF(A75="","",IF(J75&lt;=INDEX(Matches!$I$2:$I$25,I75-1),INDEX(Matches!$G$2:$G$25,I75-1),INDEX(Matches!$H$2:$H$25,I75-1)))</f>
        <v/>
      </c>
      <c r="C75" t="str">
        <f>IF(A75="","",COUNTIFS($A$2:A75,A75,$B$2:B75,B75))</f>
        <v/>
      </c>
      <c r="D75" s="2" t="str">
        <f t="shared" si="3"/>
        <v/>
      </c>
      <c r="E75" s="2"/>
      <c r="F75" t="str">
        <f t="shared" si="4"/>
        <v/>
      </c>
      <c r="G75" t="str">
        <f t="shared" si="5"/>
        <v/>
      </c>
      <c r="H75" t="str">
        <f>IF(F75="","",VLOOKUP(F75,Validation!$A$2:$B$17,2,FALSE))</f>
        <v/>
      </c>
      <c r="I75">
        <f>INT((ROW()-2)/Settings!$B$6)+2</f>
        <v>8</v>
      </c>
      <c r="J75">
        <f>MOD(ROW()-2,Settings!$B$6)+1</f>
        <v>2</v>
      </c>
    </row>
    <row r="76" spans="1:10" x14ac:dyDescent="0.3">
      <c r="A76" t="str">
        <f>IF(OR(INDEX(Matches!$I$2:$I$25,I76-1)="",INDEX(Matches!$J$2:$J$25,I76-1)=""),"",IF(J76&lt;=INDEX(Matches!$I$2:$I$25,I76-1)+INDEX(Matches!$J$2:$J$25,I76-1),INDEX(Matches!$A$2:$A$25,I76-1),""))</f>
        <v/>
      </c>
      <c r="B76" t="str">
        <f>IF(A76="","",IF(J76&lt;=INDEX(Matches!$I$2:$I$25,I76-1),INDEX(Matches!$G$2:$G$25,I76-1),INDEX(Matches!$H$2:$H$25,I76-1)))</f>
        <v/>
      </c>
      <c r="C76" t="str">
        <f>IF(A76="","",COUNTIFS($A$2:A76,A76,$B$2:B76,B76))</f>
        <v/>
      </c>
      <c r="D76" s="2" t="str">
        <f t="shared" si="3"/>
        <v/>
      </c>
      <c r="E76" s="2"/>
      <c r="F76" t="str">
        <f t="shared" si="4"/>
        <v/>
      </c>
      <c r="G76" t="str">
        <f t="shared" si="5"/>
        <v/>
      </c>
      <c r="H76" t="str">
        <f>IF(F76="","",VLOOKUP(F76,Validation!$A$2:$B$17,2,FALSE))</f>
        <v/>
      </c>
      <c r="I76">
        <f>INT((ROW()-2)/Settings!$B$6)+2</f>
        <v>8</v>
      </c>
      <c r="J76">
        <f>MOD(ROW()-2,Settings!$B$6)+1</f>
        <v>3</v>
      </c>
    </row>
    <row r="77" spans="1:10" x14ac:dyDescent="0.3">
      <c r="A77" t="str">
        <f>IF(OR(INDEX(Matches!$I$2:$I$25,I77-1)="",INDEX(Matches!$J$2:$J$25,I77-1)=""),"",IF(J77&lt;=INDEX(Matches!$I$2:$I$25,I77-1)+INDEX(Matches!$J$2:$J$25,I77-1),INDEX(Matches!$A$2:$A$25,I77-1),""))</f>
        <v/>
      </c>
      <c r="B77" t="str">
        <f>IF(A77="","",IF(J77&lt;=INDEX(Matches!$I$2:$I$25,I77-1),INDEX(Matches!$G$2:$G$25,I77-1),INDEX(Matches!$H$2:$H$25,I77-1)))</f>
        <v/>
      </c>
      <c r="C77" t="str">
        <f>IF(A77="","",COUNTIFS($A$2:A77,A77,$B$2:B77,B77))</f>
        <v/>
      </c>
      <c r="D77" s="2" t="str">
        <f t="shared" si="3"/>
        <v/>
      </c>
      <c r="E77" s="2"/>
      <c r="F77" t="str">
        <f t="shared" si="4"/>
        <v/>
      </c>
      <c r="G77" t="str">
        <f t="shared" si="5"/>
        <v/>
      </c>
      <c r="H77" t="str">
        <f>IF(F77="","",VLOOKUP(F77,Validation!$A$2:$B$17,2,FALSE))</f>
        <v/>
      </c>
      <c r="I77">
        <f>INT((ROW()-2)/Settings!$B$6)+2</f>
        <v>8</v>
      </c>
      <c r="J77">
        <f>MOD(ROW()-2,Settings!$B$6)+1</f>
        <v>4</v>
      </c>
    </row>
    <row r="78" spans="1:10" x14ac:dyDescent="0.3">
      <c r="A78" t="str">
        <f>IF(OR(INDEX(Matches!$I$2:$I$25,I78-1)="",INDEX(Matches!$J$2:$J$25,I78-1)=""),"",IF(J78&lt;=INDEX(Matches!$I$2:$I$25,I78-1)+INDEX(Matches!$J$2:$J$25,I78-1),INDEX(Matches!$A$2:$A$25,I78-1),""))</f>
        <v/>
      </c>
      <c r="B78" t="str">
        <f>IF(A78="","",IF(J78&lt;=INDEX(Matches!$I$2:$I$25,I78-1),INDEX(Matches!$G$2:$G$25,I78-1),INDEX(Matches!$H$2:$H$25,I78-1)))</f>
        <v/>
      </c>
      <c r="C78" t="str">
        <f>IF(A78="","",COUNTIFS($A$2:A78,A78,$B$2:B78,B78))</f>
        <v/>
      </c>
      <c r="D78" s="2" t="str">
        <f t="shared" si="3"/>
        <v/>
      </c>
      <c r="E78" s="2"/>
      <c r="F78" t="str">
        <f t="shared" si="4"/>
        <v/>
      </c>
      <c r="G78" t="str">
        <f t="shared" si="5"/>
        <v/>
      </c>
      <c r="H78" t="str">
        <f>IF(F78="","",VLOOKUP(F78,Validation!$A$2:$B$17,2,FALSE))</f>
        <v/>
      </c>
      <c r="I78">
        <f>INT((ROW()-2)/Settings!$B$6)+2</f>
        <v>8</v>
      </c>
      <c r="J78">
        <f>MOD(ROW()-2,Settings!$B$6)+1</f>
        <v>5</v>
      </c>
    </row>
    <row r="79" spans="1:10" x14ac:dyDescent="0.3">
      <c r="A79" t="str">
        <f>IF(OR(INDEX(Matches!$I$2:$I$25,I79-1)="",INDEX(Matches!$J$2:$J$25,I79-1)=""),"",IF(J79&lt;=INDEX(Matches!$I$2:$I$25,I79-1)+INDEX(Matches!$J$2:$J$25,I79-1),INDEX(Matches!$A$2:$A$25,I79-1),""))</f>
        <v/>
      </c>
      <c r="B79" t="str">
        <f>IF(A79="","",IF(J79&lt;=INDEX(Matches!$I$2:$I$25,I79-1),INDEX(Matches!$G$2:$G$25,I79-1),INDEX(Matches!$H$2:$H$25,I79-1)))</f>
        <v/>
      </c>
      <c r="C79" t="str">
        <f>IF(A79="","",COUNTIFS($A$2:A79,A79,$B$2:B79,B79))</f>
        <v/>
      </c>
      <c r="D79" s="2" t="str">
        <f t="shared" si="3"/>
        <v/>
      </c>
      <c r="E79" s="2"/>
      <c r="F79" t="str">
        <f t="shared" si="4"/>
        <v/>
      </c>
      <c r="G79" t="str">
        <f t="shared" si="5"/>
        <v/>
      </c>
      <c r="H79" t="str">
        <f>IF(F79="","",VLOOKUP(F79,Validation!$A$2:$B$17,2,FALSE))</f>
        <v/>
      </c>
      <c r="I79">
        <f>INT((ROW()-2)/Settings!$B$6)+2</f>
        <v>8</v>
      </c>
      <c r="J79">
        <f>MOD(ROW()-2,Settings!$B$6)+1</f>
        <v>6</v>
      </c>
    </row>
    <row r="80" spans="1:10" x14ac:dyDescent="0.3">
      <c r="A80" t="str">
        <f>IF(OR(INDEX(Matches!$I$2:$I$25,I80-1)="",INDEX(Matches!$J$2:$J$25,I80-1)=""),"",IF(J80&lt;=INDEX(Matches!$I$2:$I$25,I80-1)+INDEX(Matches!$J$2:$J$25,I80-1),INDEX(Matches!$A$2:$A$25,I80-1),""))</f>
        <v/>
      </c>
      <c r="B80" t="str">
        <f>IF(A80="","",IF(J80&lt;=INDEX(Matches!$I$2:$I$25,I80-1),INDEX(Matches!$G$2:$G$25,I80-1),INDEX(Matches!$H$2:$H$25,I80-1)))</f>
        <v/>
      </c>
      <c r="C80" t="str">
        <f>IF(A80="","",COUNTIFS($A$2:A80,A80,$B$2:B80,B80))</f>
        <v/>
      </c>
      <c r="D80" s="2" t="str">
        <f t="shared" si="3"/>
        <v/>
      </c>
      <c r="E80" s="2"/>
      <c r="F80" t="str">
        <f t="shared" si="4"/>
        <v/>
      </c>
      <c r="G80" t="str">
        <f t="shared" si="5"/>
        <v/>
      </c>
      <c r="H80" t="str">
        <f>IF(F80="","",VLOOKUP(F80,Validation!$A$2:$B$17,2,FALSE))</f>
        <v/>
      </c>
      <c r="I80">
        <f>INT((ROW()-2)/Settings!$B$6)+2</f>
        <v>8</v>
      </c>
      <c r="J80">
        <f>MOD(ROW()-2,Settings!$B$6)+1</f>
        <v>7</v>
      </c>
    </row>
    <row r="81" spans="1:10" x14ac:dyDescent="0.3">
      <c r="A81" t="str">
        <f>IF(OR(INDEX(Matches!$I$2:$I$25,I81-1)="",INDEX(Matches!$J$2:$J$25,I81-1)=""),"",IF(J81&lt;=INDEX(Matches!$I$2:$I$25,I81-1)+INDEX(Matches!$J$2:$J$25,I81-1),INDEX(Matches!$A$2:$A$25,I81-1),""))</f>
        <v/>
      </c>
      <c r="B81" t="str">
        <f>IF(A81="","",IF(J81&lt;=INDEX(Matches!$I$2:$I$25,I81-1),INDEX(Matches!$G$2:$G$25,I81-1),INDEX(Matches!$H$2:$H$25,I81-1)))</f>
        <v/>
      </c>
      <c r="C81" t="str">
        <f>IF(A81="","",COUNTIFS($A$2:A81,A81,$B$2:B81,B81))</f>
        <v/>
      </c>
      <c r="D81" s="2" t="str">
        <f t="shared" si="3"/>
        <v/>
      </c>
      <c r="E81" s="2"/>
      <c r="F81" t="str">
        <f t="shared" si="4"/>
        <v/>
      </c>
      <c r="G81" t="str">
        <f t="shared" si="5"/>
        <v/>
      </c>
      <c r="H81" t="str">
        <f>IF(F81="","",VLOOKUP(F81,Validation!$A$2:$B$17,2,FALSE))</f>
        <v/>
      </c>
      <c r="I81">
        <f>INT((ROW()-2)/Settings!$B$6)+2</f>
        <v>8</v>
      </c>
      <c r="J81">
        <f>MOD(ROW()-2,Settings!$B$6)+1</f>
        <v>8</v>
      </c>
    </row>
    <row r="82" spans="1:10" x14ac:dyDescent="0.3">
      <c r="A82" t="str">
        <f>IF(OR(INDEX(Matches!$I$2:$I$25,I82-1)="",INDEX(Matches!$J$2:$J$25,I82-1)=""),"",IF(J82&lt;=INDEX(Matches!$I$2:$I$25,I82-1)+INDEX(Matches!$J$2:$J$25,I82-1),INDEX(Matches!$A$2:$A$25,I82-1),""))</f>
        <v/>
      </c>
      <c r="B82" t="str">
        <f>IF(A82="","",IF(J82&lt;=INDEX(Matches!$I$2:$I$25,I82-1),INDEX(Matches!$G$2:$G$25,I82-1),INDEX(Matches!$H$2:$H$25,I82-1)))</f>
        <v/>
      </c>
      <c r="C82" t="str">
        <f>IF(A82="","",COUNTIFS($A$2:A82,A82,$B$2:B82,B82))</f>
        <v/>
      </c>
      <c r="D82" s="2" t="str">
        <f t="shared" si="3"/>
        <v/>
      </c>
      <c r="E82" s="2"/>
      <c r="F82" t="str">
        <f t="shared" si="4"/>
        <v/>
      </c>
      <c r="G82" t="str">
        <f t="shared" si="5"/>
        <v/>
      </c>
      <c r="H82" t="str">
        <f>IF(F82="","",VLOOKUP(F82,Validation!$A$2:$B$17,2,FALSE))</f>
        <v/>
      </c>
      <c r="I82">
        <f>INT((ROW()-2)/Settings!$B$6)+2</f>
        <v>8</v>
      </c>
      <c r="J82">
        <f>MOD(ROW()-2,Settings!$B$6)+1</f>
        <v>9</v>
      </c>
    </row>
    <row r="83" spans="1:10" x14ac:dyDescent="0.3">
      <c r="A83" t="str">
        <f>IF(OR(INDEX(Matches!$I$2:$I$25,I83-1)="",INDEX(Matches!$J$2:$J$25,I83-1)=""),"",IF(J83&lt;=INDEX(Matches!$I$2:$I$25,I83-1)+INDEX(Matches!$J$2:$J$25,I83-1),INDEX(Matches!$A$2:$A$25,I83-1),""))</f>
        <v/>
      </c>
      <c r="B83" t="str">
        <f>IF(A83="","",IF(J83&lt;=INDEX(Matches!$I$2:$I$25,I83-1),INDEX(Matches!$G$2:$G$25,I83-1),INDEX(Matches!$H$2:$H$25,I83-1)))</f>
        <v/>
      </c>
      <c r="C83" t="str">
        <f>IF(A83="","",COUNTIFS($A$2:A83,A83,$B$2:B83,B83))</f>
        <v/>
      </c>
      <c r="D83" s="2" t="str">
        <f t="shared" si="3"/>
        <v/>
      </c>
      <c r="E83" s="2"/>
      <c r="F83" t="str">
        <f t="shared" si="4"/>
        <v/>
      </c>
      <c r="G83" t="str">
        <f t="shared" si="5"/>
        <v/>
      </c>
      <c r="H83" t="str">
        <f>IF(F83="","",VLOOKUP(F83,Validation!$A$2:$B$17,2,FALSE))</f>
        <v/>
      </c>
      <c r="I83">
        <f>INT((ROW()-2)/Settings!$B$6)+2</f>
        <v>8</v>
      </c>
      <c r="J83">
        <f>MOD(ROW()-2,Settings!$B$6)+1</f>
        <v>10</v>
      </c>
    </row>
    <row r="84" spans="1:10" x14ac:dyDescent="0.3">
      <c r="A84" t="str">
        <f>IF(OR(INDEX(Matches!$I$2:$I$25,I84-1)="",INDEX(Matches!$J$2:$J$25,I84-1)=""),"",IF(J84&lt;=INDEX(Matches!$I$2:$I$25,I84-1)+INDEX(Matches!$J$2:$J$25,I84-1),INDEX(Matches!$A$2:$A$25,I84-1),""))</f>
        <v/>
      </c>
      <c r="B84" t="str">
        <f>IF(A84="","",IF(J84&lt;=INDEX(Matches!$I$2:$I$25,I84-1),INDEX(Matches!$G$2:$G$25,I84-1),INDEX(Matches!$H$2:$H$25,I84-1)))</f>
        <v/>
      </c>
      <c r="C84" t="str">
        <f>IF(A84="","",COUNTIFS($A$2:A84,A84,$B$2:B84,B84))</f>
        <v/>
      </c>
      <c r="D84" s="2" t="str">
        <f t="shared" si="3"/>
        <v/>
      </c>
      <c r="E84" s="2"/>
      <c r="F84" t="str">
        <f t="shared" si="4"/>
        <v/>
      </c>
      <c r="G84" t="str">
        <f t="shared" si="5"/>
        <v/>
      </c>
      <c r="H84" t="str">
        <f>IF(F84="","",VLOOKUP(F84,Validation!$A$2:$B$17,2,FALSE))</f>
        <v/>
      </c>
      <c r="I84">
        <f>INT((ROW()-2)/Settings!$B$6)+2</f>
        <v>8</v>
      </c>
      <c r="J84">
        <f>MOD(ROW()-2,Settings!$B$6)+1</f>
        <v>11</v>
      </c>
    </row>
    <row r="85" spans="1:10" x14ac:dyDescent="0.3">
      <c r="A85" t="str">
        <f>IF(OR(INDEX(Matches!$I$2:$I$25,I85-1)="",INDEX(Matches!$J$2:$J$25,I85-1)=""),"",IF(J85&lt;=INDEX(Matches!$I$2:$I$25,I85-1)+INDEX(Matches!$J$2:$J$25,I85-1),INDEX(Matches!$A$2:$A$25,I85-1),""))</f>
        <v/>
      </c>
      <c r="B85" t="str">
        <f>IF(A85="","",IF(J85&lt;=INDEX(Matches!$I$2:$I$25,I85-1),INDEX(Matches!$G$2:$G$25,I85-1),INDEX(Matches!$H$2:$H$25,I85-1)))</f>
        <v/>
      </c>
      <c r="C85" t="str">
        <f>IF(A85="","",COUNTIFS($A$2:A85,A85,$B$2:B85,B85))</f>
        <v/>
      </c>
      <c r="D85" s="2" t="str">
        <f t="shared" si="3"/>
        <v/>
      </c>
      <c r="E85" s="2"/>
      <c r="F85" t="str">
        <f t="shared" si="4"/>
        <v/>
      </c>
      <c r="G85" t="str">
        <f t="shared" si="5"/>
        <v/>
      </c>
      <c r="H85" t="str">
        <f>IF(F85="","",VLOOKUP(F85,Validation!$A$2:$B$17,2,FALSE))</f>
        <v/>
      </c>
      <c r="I85">
        <f>INT((ROW()-2)/Settings!$B$6)+2</f>
        <v>8</v>
      </c>
      <c r="J85">
        <f>MOD(ROW()-2,Settings!$B$6)+1</f>
        <v>12</v>
      </c>
    </row>
    <row r="86" spans="1:10" x14ac:dyDescent="0.3">
      <c r="A86" t="str">
        <f>IF(OR(INDEX(Matches!$I$2:$I$25,I86-1)="",INDEX(Matches!$J$2:$J$25,I86-1)=""),"",IF(J86&lt;=INDEX(Matches!$I$2:$I$25,I86-1)+INDEX(Matches!$J$2:$J$25,I86-1),INDEX(Matches!$A$2:$A$25,I86-1),""))</f>
        <v/>
      </c>
      <c r="B86" t="str">
        <f>IF(A86="","",IF(J86&lt;=INDEX(Matches!$I$2:$I$25,I86-1),INDEX(Matches!$G$2:$G$25,I86-1),INDEX(Matches!$H$2:$H$25,I86-1)))</f>
        <v/>
      </c>
      <c r="C86" t="str">
        <f>IF(A86="","",COUNTIFS($A$2:A86,A86,$B$2:B86,B86))</f>
        <v/>
      </c>
      <c r="D86" s="2" t="str">
        <f t="shared" si="3"/>
        <v/>
      </c>
      <c r="E86" s="2"/>
      <c r="F86" t="str">
        <f t="shared" si="4"/>
        <v/>
      </c>
      <c r="G86" t="str">
        <f t="shared" si="5"/>
        <v/>
      </c>
      <c r="H86" t="str">
        <f>IF(F86="","",VLOOKUP(F86,Validation!$A$2:$B$17,2,FALSE))</f>
        <v/>
      </c>
      <c r="I86">
        <f>INT((ROW()-2)/Settings!$B$6)+2</f>
        <v>9</v>
      </c>
      <c r="J86">
        <f>MOD(ROW()-2,Settings!$B$6)+1</f>
        <v>1</v>
      </c>
    </row>
    <row r="87" spans="1:10" x14ac:dyDescent="0.3">
      <c r="A87" t="str">
        <f>IF(OR(INDEX(Matches!$I$2:$I$25,I87-1)="",INDEX(Matches!$J$2:$J$25,I87-1)=""),"",IF(J87&lt;=INDEX(Matches!$I$2:$I$25,I87-1)+INDEX(Matches!$J$2:$J$25,I87-1),INDEX(Matches!$A$2:$A$25,I87-1),""))</f>
        <v/>
      </c>
      <c r="B87" t="str">
        <f>IF(A87="","",IF(J87&lt;=INDEX(Matches!$I$2:$I$25,I87-1),INDEX(Matches!$G$2:$G$25,I87-1),INDEX(Matches!$H$2:$H$25,I87-1)))</f>
        <v/>
      </c>
      <c r="C87" t="str">
        <f>IF(A87="","",COUNTIFS($A$2:A87,A87,$B$2:B87,B87))</f>
        <v/>
      </c>
      <c r="D87" s="2" t="str">
        <f t="shared" si="3"/>
        <v/>
      </c>
      <c r="E87" s="2"/>
      <c r="F87" t="str">
        <f t="shared" si="4"/>
        <v/>
      </c>
      <c r="G87" t="str">
        <f t="shared" si="5"/>
        <v/>
      </c>
      <c r="H87" t="str">
        <f>IF(F87="","",VLOOKUP(F87,Validation!$A$2:$B$17,2,FALSE))</f>
        <v/>
      </c>
      <c r="I87">
        <f>INT((ROW()-2)/Settings!$B$6)+2</f>
        <v>9</v>
      </c>
      <c r="J87">
        <f>MOD(ROW()-2,Settings!$B$6)+1</f>
        <v>2</v>
      </c>
    </row>
    <row r="88" spans="1:10" x14ac:dyDescent="0.3">
      <c r="A88" t="str">
        <f>IF(OR(INDEX(Matches!$I$2:$I$25,I88-1)="",INDEX(Matches!$J$2:$J$25,I88-1)=""),"",IF(J88&lt;=INDEX(Matches!$I$2:$I$25,I88-1)+INDEX(Matches!$J$2:$J$25,I88-1),INDEX(Matches!$A$2:$A$25,I88-1),""))</f>
        <v/>
      </c>
      <c r="B88" t="str">
        <f>IF(A88="","",IF(J88&lt;=INDEX(Matches!$I$2:$I$25,I88-1),INDEX(Matches!$G$2:$G$25,I88-1),INDEX(Matches!$H$2:$H$25,I88-1)))</f>
        <v/>
      </c>
      <c r="C88" t="str">
        <f>IF(A88="","",COUNTIFS($A$2:A88,A88,$B$2:B88,B88))</f>
        <v/>
      </c>
      <c r="D88" s="2" t="str">
        <f t="shared" si="3"/>
        <v/>
      </c>
      <c r="E88" s="2"/>
      <c r="F88" t="str">
        <f t="shared" si="4"/>
        <v/>
      </c>
      <c r="G88" t="str">
        <f t="shared" si="5"/>
        <v/>
      </c>
      <c r="H88" t="str">
        <f>IF(F88="","",VLOOKUP(F88,Validation!$A$2:$B$17,2,FALSE))</f>
        <v/>
      </c>
      <c r="I88">
        <f>INT((ROW()-2)/Settings!$B$6)+2</f>
        <v>9</v>
      </c>
      <c r="J88">
        <f>MOD(ROW()-2,Settings!$B$6)+1</f>
        <v>3</v>
      </c>
    </row>
    <row r="89" spans="1:10" x14ac:dyDescent="0.3">
      <c r="A89" t="str">
        <f>IF(OR(INDEX(Matches!$I$2:$I$25,I89-1)="",INDEX(Matches!$J$2:$J$25,I89-1)=""),"",IF(J89&lt;=INDEX(Matches!$I$2:$I$25,I89-1)+INDEX(Matches!$J$2:$J$25,I89-1),INDEX(Matches!$A$2:$A$25,I89-1),""))</f>
        <v/>
      </c>
      <c r="B89" t="str">
        <f>IF(A89="","",IF(J89&lt;=INDEX(Matches!$I$2:$I$25,I89-1),INDEX(Matches!$G$2:$G$25,I89-1),INDEX(Matches!$H$2:$H$25,I89-1)))</f>
        <v/>
      </c>
      <c r="C89" t="str">
        <f>IF(A89="","",COUNTIFS($A$2:A89,A89,$B$2:B89,B89))</f>
        <v/>
      </c>
      <c r="D89" s="2" t="str">
        <f t="shared" si="3"/>
        <v/>
      </c>
      <c r="E89" s="2"/>
      <c r="F89" t="str">
        <f t="shared" si="4"/>
        <v/>
      </c>
      <c r="G89" t="str">
        <f t="shared" si="5"/>
        <v/>
      </c>
      <c r="H89" t="str">
        <f>IF(F89="","",VLOOKUP(F89,Validation!$A$2:$B$17,2,FALSE))</f>
        <v/>
      </c>
      <c r="I89">
        <f>INT((ROW()-2)/Settings!$B$6)+2</f>
        <v>9</v>
      </c>
      <c r="J89">
        <f>MOD(ROW()-2,Settings!$B$6)+1</f>
        <v>4</v>
      </c>
    </row>
    <row r="90" spans="1:10" x14ac:dyDescent="0.3">
      <c r="A90" t="str">
        <f>IF(OR(INDEX(Matches!$I$2:$I$25,I90-1)="",INDEX(Matches!$J$2:$J$25,I90-1)=""),"",IF(J90&lt;=INDEX(Matches!$I$2:$I$25,I90-1)+INDEX(Matches!$J$2:$J$25,I90-1),INDEX(Matches!$A$2:$A$25,I90-1),""))</f>
        <v/>
      </c>
      <c r="B90" t="str">
        <f>IF(A90="","",IF(J90&lt;=INDEX(Matches!$I$2:$I$25,I90-1),INDEX(Matches!$G$2:$G$25,I90-1),INDEX(Matches!$H$2:$H$25,I90-1)))</f>
        <v/>
      </c>
      <c r="C90" t="str">
        <f>IF(A90="","",COUNTIFS($A$2:A90,A90,$B$2:B90,B90))</f>
        <v/>
      </c>
      <c r="D90" s="2" t="str">
        <f t="shared" si="3"/>
        <v/>
      </c>
      <c r="E90" s="2"/>
      <c r="F90" t="str">
        <f t="shared" si="4"/>
        <v/>
      </c>
      <c r="G90" t="str">
        <f t="shared" si="5"/>
        <v/>
      </c>
      <c r="H90" t="str">
        <f>IF(F90="","",VLOOKUP(F90,Validation!$A$2:$B$17,2,FALSE))</f>
        <v/>
      </c>
      <c r="I90">
        <f>INT((ROW()-2)/Settings!$B$6)+2</f>
        <v>9</v>
      </c>
      <c r="J90">
        <f>MOD(ROW()-2,Settings!$B$6)+1</f>
        <v>5</v>
      </c>
    </row>
    <row r="91" spans="1:10" x14ac:dyDescent="0.3">
      <c r="A91" t="str">
        <f>IF(OR(INDEX(Matches!$I$2:$I$25,I91-1)="",INDEX(Matches!$J$2:$J$25,I91-1)=""),"",IF(J91&lt;=INDEX(Matches!$I$2:$I$25,I91-1)+INDEX(Matches!$J$2:$J$25,I91-1),INDEX(Matches!$A$2:$A$25,I91-1),""))</f>
        <v/>
      </c>
      <c r="B91" t="str">
        <f>IF(A91="","",IF(J91&lt;=INDEX(Matches!$I$2:$I$25,I91-1),INDEX(Matches!$G$2:$G$25,I91-1),INDEX(Matches!$H$2:$H$25,I91-1)))</f>
        <v/>
      </c>
      <c r="C91" t="str">
        <f>IF(A91="","",COUNTIFS($A$2:A91,A91,$B$2:B91,B91))</f>
        <v/>
      </c>
      <c r="D91" s="2" t="str">
        <f t="shared" si="3"/>
        <v/>
      </c>
      <c r="E91" s="2"/>
      <c r="F91" t="str">
        <f t="shared" si="4"/>
        <v/>
      </c>
      <c r="G91" t="str">
        <f t="shared" si="5"/>
        <v/>
      </c>
      <c r="H91" t="str">
        <f>IF(F91="","",VLOOKUP(F91,Validation!$A$2:$B$17,2,FALSE))</f>
        <v/>
      </c>
      <c r="I91">
        <f>INT((ROW()-2)/Settings!$B$6)+2</f>
        <v>9</v>
      </c>
      <c r="J91">
        <f>MOD(ROW()-2,Settings!$B$6)+1</f>
        <v>6</v>
      </c>
    </row>
    <row r="92" spans="1:10" x14ac:dyDescent="0.3">
      <c r="A92" t="str">
        <f>IF(OR(INDEX(Matches!$I$2:$I$25,I92-1)="",INDEX(Matches!$J$2:$J$25,I92-1)=""),"",IF(J92&lt;=INDEX(Matches!$I$2:$I$25,I92-1)+INDEX(Matches!$J$2:$J$25,I92-1),INDEX(Matches!$A$2:$A$25,I92-1),""))</f>
        <v/>
      </c>
      <c r="B92" t="str">
        <f>IF(A92="","",IF(J92&lt;=INDEX(Matches!$I$2:$I$25,I92-1),INDEX(Matches!$G$2:$G$25,I92-1),INDEX(Matches!$H$2:$H$25,I92-1)))</f>
        <v/>
      </c>
      <c r="C92" t="str">
        <f>IF(A92="","",COUNTIFS($A$2:A92,A92,$B$2:B92,B92))</f>
        <v/>
      </c>
      <c r="D92" s="2" t="str">
        <f t="shared" si="3"/>
        <v/>
      </c>
      <c r="E92" s="2"/>
      <c r="F92" t="str">
        <f t="shared" si="4"/>
        <v/>
      </c>
      <c r="G92" t="str">
        <f t="shared" si="5"/>
        <v/>
      </c>
      <c r="H92" t="str">
        <f>IF(F92="","",VLOOKUP(F92,Validation!$A$2:$B$17,2,FALSE))</f>
        <v/>
      </c>
      <c r="I92">
        <f>INT((ROW()-2)/Settings!$B$6)+2</f>
        <v>9</v>
      </c>
      <c r="J92">
        <f>MOD(ROW()-2,Settings!$B$6)+1</f>
        <v>7</v>
      </c>
    </row>
    <row r="93" spans="1:10" x14ac:dyDescent="0.3">
      <c r="A93" t="str">
        <f>IF(OR(INDEX(Matches!$I$2:$I$25,I93-1)="",INDEX(Matches!$J$2:$J$25,I93-1)=""),"",IF(J93&lt;=INDEX(Matches!$I$2:$I$25,I93-1)+INDEX(Matches!$J$2:$J$25,I93-1),INDEX(Matches!$A$2:$A$25,I93-1),""))</f>
        <v/>
      </c>
      <c r="B93" t="str">
        <f>IF(A93="","",IF(J93&lt;=INDEX(Matches!$I$2:$I$25,I93-1),INDEX(Matches!$G$2:$G$25,I93-1),INDEX(Matches!$H$2:$H$25,I93-1)))</f>
        <v/>
      </c>
      <c r="C93" t="str">
        <f>IF(A93="","",COUNTIFS($A$2:A93,A93,$B$2:B93,B93))</f>
        <v/>
      </c>
      <c r="D93" s="2" t="str">
        <f t="shared" si="3"/>
        <v/>
      </c>
      <c r="E93" s="2"/>
      <c r="F93" t="str">
        <f t="shared" si="4"/>
        <v/>
      </c>
      <c r="G93" t="str">
        <f t="shared" si="5"/>
        <v/>
      </c>
      <c r="H93" t="str">
        <f>IF(F93="","",VLOOKUP(F93,Validation!$A$2:$B$17,2,FALSE))</f>
        <v/>
      </c>
      <c r="I93">
        <f>INT((ROW()-2)/Settings!$B$6)+2</f>
        <v>9</v>
      </c>
      <c r="J93">
        <f>MOD(ROW()-2,Settings!$B$6)+1</f>
        <v>8</v>
      </c>
    </row>
    <row r="94" spans="1:10" x14ac:dyDescent="0.3">
      <c r="A94" t="str">
        <f>IF(OR(INDEX(Matches!$I$2:$I$25,I94-1)="",INDEX(Matches!$J$2:$J$25,I94-1)=""),"",IF(J94&lt;=INDEX(Matches!$I$2:$I$25,I94-1)+INDEX(Matches!$J$2:$J$25,I94-1),INDEX(Matches!$A$2:$A$25,I94-1),""))</f>
        <v/>
      </c>
      <c r="B94" t="str">
        <f>IF(A94="","",IF(J94&lt;=INDEX(Matches!$I$2:$I$25,I94-1),INDEX(Matches!$G$2:$G$25,I94-1),INDEX(Matches!$H$2:$H$25,I94-1)))</f>
        <v/>
      </c>
      <c r="C94" t="str">
        <f>IF(A94="","",COUNTIFS($A$2:A94,A94,$B$2:B94,B94))</f>
        <v/>
      </c>
      <c r="D94" s="2" t="str">
        <f t="shared" si="3"/>
        <v/>
      </c>
      <c r="E94" s="2"/>
      <c r="F94" t="str">
        <f t="shared" si="4"/>
        <v/>
      </c>
      <c r="G94" t="str">
        <f t="shared" si="5"/>
        <v/>
      </c>
      <c r="H94" t="str">
        <f>IF(F94="","",VLOOKUP(F94,Validation!$A$2:$B$17,2,FALSE))</f>
        <v/>
      </c>
      <c r="I94">
        <f>INT((ROW()-2)/Settings!$B$6)+2</f>
        <v>9</v>
      </c>
      <c r="J94">
        <f>MOD(ROW()-2,Settings!$B$6)+1</f>
        <v>9</v>
      </c>
    </row>
    <row r="95" spans="1:10" x14ac:dyDescent="0.3">
      <c r="A95" t="str">
        <f>IF(OR(INDEX(Matches!$I$2:$I$25,I95-1)="",INDEX(Matches!$J$2:$J$25,I95-1)=""),"",IF(J95&lt;=INDEX(Matches!$I$2:$I$25,I95-1)+INDEX(Matches!$J$2:$J$25,I95-1),INDEX(Matches!$A$2:$A$25,I95-1),""))</f>
        <v/>
      </c>
      <c r="B95" t="str">
        <f>IF(A95="","",IF(J95&lt;=INDEX(Matches!$I$2:$I$25,I95-1),INDEX(Matches!$G$2:$G$25,I95-1),INDEX(Matches!$H$2:$H$25,I95-1)))</f>
        <v/>
      </c>
      <c r="C95" t="str">
        <f>IF(A95="","",COUNTIFS($A$2:A95,A95,$B$2:B95,B95))</f>
        <v/>
      </c>
      <c r="D95" s="2" t="str">
        <f t="shared" si="3"/>
        <v/>
      </c>
      <c r="E95" s="2"/>
      <c r="F95" t="str">
        <f t="shared" si="4"/>
        <v/>
      </c>
      <c r="G95" t="str">
        <f t="shared" si="5"/>
        <v/>
      </c>
      <c r="H95" t="str">
        <f>IF(F95="","",VLOOKUP(F95,Validation!$A$2:$B$17,2,FALSE))</f>
        <v/>
      </c>
      <c r="I95">
        <f>INT((ROW()-2)/Settings!$B$6)+2</f>
        <v>9</v>
      </c>
      <c r="J95">
        <f>MOD(ROW()-2,Settings!$B$6)+1</f>
        <v>10</v>
      </c>
    </row>
    <row r="96" spans="1:10" x14ac:dyDescent="0.3">
      <c r="A96" t="str">
        <f>IF(OR(INDEX(Matches!$I$2:$I$25,I96-1)="",INDEX(Matches!$J$2:$J$25,I96-1)=""),"",IF(J96&lt;=INDEX(Matches!$I$2:$I$25,I96-1)+INDEX(Matches!$J$2:$J$25,I96-1),INDEX(Matches!$A$2:$A$25,I96-1),""))</f>
        <v/>
      </c>
      <c r="B96" t="str">
        <f>IF(A96="","",IF(J96&lt;=INDEX(Matches!$I$2:$I$25,I96-1),INDEX(Matches!$G$2:$G$25,I96-1),INDEX(Matches!$H$2:$H$25,I96-1)))</f>
        <v/>
      </c>
      <c r="C96" t="str">
        <f>IF(A96="","",COUNTIFS($A$2:A96,A96,$B$2:B96,B96))</f>
        <v/>
      </c>
      <c r="D96" s="2" t="str">
        <f t="shared" si="3"/>
        <v/>
      </c>
      <c r="E96" s="2"/>
      <c r="F96" t="str">
        <f t="shared" si="4"/>
        <v/>
      </c>
      <c r="G96" t="str">
        <f t="shared" si="5"/>
        <v/>
      </c>
      <c r="H96" t="str">
        <f>IF(F96="","",VLOOKUP(F96,Validation!$A$2:$B$17,2,FALSE))</f>
        <v/>
      </c>
      <c r="I96">
        <f>INT((ROW()-2)/Settings!$B$6)+2</f>
        <v>9</v>
      </c>
      <c r="J96">
        <f>MOD(ROW()-2,Settings!$B$6)+1</f>
        <v>11</v>
      </c>
    </row>
    <row r="97" spans="1:10" x14ac:dyDescent="0.3">
      <c r="A97" t="str">
        <f>IF(OR(INDEX(Matches!$I$2:$I$25,I97-1)="",INDEX(Matches!$J$2:$J$25,I97-1)=""),"",IF(J97&lt;=INDEX(Matches!$I$2:$I$25,I97-1)+INDEX(Matches!$J$2:$J$25,I97-1),INDEX(Matches!$A$2:$A$25,I97-1),""))</f>
        <v/>
      </c>
      <c r="B97" t="str">
        <f>IF(A97="","",IF(J97&lt;=INDEX(Matches!$I$2:$I$25,I97-1),INDEX(Matches!$G$2:$G$25,I97-1),INDEX(Matches!$H$2:$H$25,I97-1)))</f>
        <v/>
      </c>
      <c r="C97" t="str">
        <f>IF(A97="","",COUNTIFS($A$2:A97,A97,$B$2:B97,B97))</f>
        <v/>
      </c>
      <c r="D97" s="2" t="str">
        <f t="shared" si="3"/>
        <v/>
      </c>
      <c r="E97" s="2"/>
      <c r="F97" t="str">
        <f t="shared" si="4"/>
        <v/>
      </c>
      <c r="G97" t="str">
        <f t="shared" si="5"/>
        <v/>
      </c>
      <c r="H97" t="str">
        <f>IF(F97="","",VLOOKUP(F97,Validation!$A$2:$B$17,2,FALSE))</f>
        <v/>
      </c>
      <c r="I97">
        <f>INT((ROW()-2)/Settings!$B$6)+2</f>
        <v>9</v>
      </c>
      <c r="J97">
        <f>MOD(ROW()-2,Settings!$B$6)+1</f>
        <v>12</v>
      </c>
    </row>
    <row r="98" spans="1:10" x14ac:dyDescent="0.3">
      <c r="A98" t="str">
        <f>IF(OR(INDEX(Matches!$I$2:$I$25,I98-1)="",INDEX(Matches!$J$2:$J$25,I98-1)=""),"",IF(J98&lt;=INDEX(Matches!$I$2:$I$25,I98-1)+INDEX(Matches!$J$2:$J$25,I98-1),INDEX(Matches!$A$2:$A$25,I98-1),""))</f>
        <v/>
      </c>
      <c r="B98" t="str">
        <f>IF(A98="","",IF(J98&lt;=INDEX(Matches!$I$2:$I$25,I98-1),INDEX(Matches!$G$2:$G$25,I98-1),INDEX(Matches!$H$2:$H$25,I98-1)))</f>
        <v/>
      </c>
      <c r="C98" t="str">
        <f>IF(A98="","",COUNTIFS($A$2:A98,A98,$B$2:B98,B98))</f>
        <v/>
      </c>
      <c r="D98" s="2" t="str">
        <f t="shared" si="3"/>
        <v/>
      </c>
      <c r="E98" s="2"/>
      <c r="F98" t="str">
        <f t="shared" si="4"/>
        <v/>
      </c>
      <c r="G98" t="str">
        <f t="shared" si="5"/>
        <v/>
      </c>
      <c r="H98" t="str">
        <f>IF(F98="","",VLOOKUP(F98,Validation!$A$2:$B$17,2,FALSE))</f>
        <v/>
      </c>
      <c r="I98">
        <f>INT((ROW()-2)/Settings!$B$6)+2</f>
        <v>10</v>
      </c>
      <c r="J98">
        <f>MOD(ROW()-2,Settings!$B$6)+1</f>
        <v>1</v>
      </c>
    </row>
    <row r="99" spans="1:10" x14ac:dyDescent="0.3">
      <c r="A99" t="str">
        <f>IF(OR(INDEX(Matches!$I$2:$I$25,I99-1)="",INDEX(Matches!$J$2:$J$25,I99-1)=""),"",IF(J99&lt;=INDEX(Matches!$I$2:$I$25,I99-1)+INDEX(Matches!$J$2:$J$25,I99-1),INDEX(Matches!$A$2:$A$25,I99-1),""))</f>
        <v/>
      </c>
      <c r="B99" t="str">
        <f>IF(A99="","",IF(J99&lt;=INDEX(Matches!$I$2:$I$25,I99-1),INDEX(Matches!$G$2:$G$25,I99-1),INDEX(Matches!$H$2:$H$25,I99-1)))</f>
        <v/>
      </c>
      <c r="C99" t="str">
        <f>IF(A99="","",COUNTIFS($A$2:A99,A99,$B$2:B99,B99))</f>
        <v/>
      </c>
      <c r="D99" s="2" t="str">
        <f t="shared" si="3"/>
        <v/>
      </c>
      <c r="E99" s="2"/>
      <c r="F99" t="str">
        <f t="shared" si="4"/>
        <v/>
      </c>
      <c r="G99" t="str">
        <f t="shared" si="5"/>
        <v/>
      </c>
      <c r="H99" t="str">
        <f>IF(F99="","",VLOOKUP(F99,Validation!$A$2:$B$17,2,FALSE))</f>
        <v/>
      </c>
      <c r="I99">
        <f>INT((ROW()-2)/Settings!$B$6)+2</f>
        <v>10</v>
      </c>
      <c r="J99">
        <f>MOD(ROW()-2,Settings!$B$6)+1</f>
        <v>2</v>
      </c>
    </row>
    <row r="100" spans="1:10" x14ac:dyDescent="0.3">
      <c r="A100" t="str">
        <f>IF(OR(INDEX(Matches!$I$2:$I$25,I100-1)="",INDEX(Matches!$J$2:$J$25,I100-1)=""),"",IF(J100&lt;=INDEX(Matches!$I$2:$I$25,I100-1)+INDEX(Matches!$J$2:$J$25,I100-1),INDEX(Matches!$A$2:$A$25,I100-1),""))</f>
        <v/>
      </c>
      <c r="B100" t="str">
        <f>IF(A100="","",IF(J100&lt;=INDEX(Matches!$I$2:$I$25,I100-1),INDEX(Matches!$G$2:$G$25,I100-1),INDEX(Matches!$H$2:$H$25,I100-1)))</f>
        <v/>
      </c>
      <c r="C100" t="str">
        <f>IF(A100="","",COUNTIFS($A$2:A100,A100,$B$2:B100,B100))</f>
        <v/>
      </c>
      <c r="D100" s="2" t="str">
        <f t="shared" si="3"/>
        <v/>
      </c>
      <c r="E100" s="2"/>
      <c r="F100" t="str">
        <f t="shared" si="4"/>
        <v/>
      </c>
      <c r="G100" t="str">
        <f t="shared" si="5"/>
        <v/>
      </c>
      <c r="H100" t="str">
        <f>IF(F100="","",VLOOKUP(F100,Validation!$A$2:$B$17,2,FALSE))</f>
        <v/>
      </c>
      <c r="I100">
        <f>INT((ROW()-2)/Settings!$B$6)+2</f>
        <v>10</v>
      </c>
      <c r="J100">
        <f>MOD(ROW()-2,Settings!$B$6)+1</f>
        <v>3</v>
      </c>
    </row>
    <row r="101" spans="1:10" x14ac:dyDescent="0.3">
      <c r="A101" t="str">
        <f>IF(OR(INDEX(Matches!$I$2:$I$25,I101-1)="",INDEX(Matches!$J$2:$J$25,I101-1)=""),"",IF(J101&lt;=INDEX(Matches!$I$2:$I$25,I101-1)+INDEX(Matches!$J$2:$J$25,I101-1),INDEX(Matches!$A$2:$A$25,I101-1),""))</f>
        <v/>
      </c>
      <c r="B101" t="str">
        <f>IF(A101="","",IF(J101&lt;=INDEX(Matches!$I$2:$I$25,I101-1),INDEX(Matches!$G$2:$G$25,I101-1),INDEX(Matches!$H$2:$H$25,I101-1)))</f>
        <v/>
      </c>
      <c r="C101" t="str">
        <f>IF(A101="","",COUNTIFS($A$2:A101,A101,$B$2:B101,B101))</f>
        <v/>
      </c>
      <c r="D101" s="2" t="str">
        <f t="shared" si="3"/>
        <v/>
      </c>
      <c r="E101" s="2"/>
      <c r="F101" t="str">
        <f t="shared" si="4"/>
        <v/>
      </c>
      <c r="G101" t="str">
        <f t="shared" si="5"/>
        <v/>
      </c>
      <c r="H101" t="str">
        <f>IF(F101="","",VLOOKUP(F101,Validation!$A$2:$B$17,2,FALSE))</f>
        <v/>
      </c>
      <c r="I101">
        <f>INT((ROW()-2)/Settings!$B$6)+2</f>
        <v>10</v>
      </c>
      <c r="J101">
        <f>MOD(ROW()-2,Settings!$B$6)+1</f>
        <v>4</v>
      </c>
    </row>
    <row r="102" spans="1:10" x14ac:dyDescent="0.3">
      <c r="A102" t="str">
        <f>IF(OR(INDEX(Matches!$I$2:$I$25,I102-1)="",INDEX(Matches!$J$2:$J$25,I102-1)=""),"",IF(J102&lt;=INDEX(Matches!$I$2:$I$25,I102-1)+INDEX(Matches!$J$2:$J$25,I102-1),INDEX(Matches!$A$2:$A$25,I102-1),""))</f>
        <v/>
      </c>
      <c r="B102" t="str">
        <f>IF(A102="","",IF(J102&lt;=INDEX(Matches!$I$2:$I$25,I102-1),INDEX(Matches!$G$2:$G$25,I102-1),INDEX(Matches!$H$2:$H$25,I102-1)))</f>
        <v/>
      </c>
      <c r="C102" t="str">
        <f>IF(A102="","",COUNTIFS($A$2:A102,A102,$B$2:B102,B102))</f>
        <v/>
      </c>
      <c r="D102" s="2" t="str">
        <f t="shared" si="3"/>
        <v/>
      </c>
      <c r="E102" s="2"/>
      <c r="F102" t="str">
        <f t="shared" si="4"/>
        <v/>
      </c>
      <c r="G102" t="str">
        <f t="shared" si="5"/>
        <v/>
      </c>
      <c r="H102" t="str">
        <f>IF(F102="","",VLOOKUP(F102,Validation!$A$2:$B$17,2,FALSE))</f>
        <v/>
      </c>
      <c r="I102">
        <f>INT((ROW()-2)/Settings!$B$6)+2</f>
        <v>10</v>
      </c>
      <c r="J102">
        <f>MOD(ROW()-2,Settings!$B$6)+1</f>
        <v>5</v>
      </c>
    </row>
    <row r="103" spans="1:10" x14ac:dyDescent="0.3">
      <c r="A103" t="str">
        <f>IF(OR(INDEX(Matches!$I$2:$I$25,I103-1)="",INDEX(Matches!$J$2:$J$25,I103-1)=""),"",IF(J103&lt;=INDEX(Matches!$I$2:$I$25,I103-1)+INDEX(Matches!$J$2:$J$25,I103-1),INDEX(Matches!$A$2:$A$25,I103-1),""))</f>
        <v/>
      </c>
      <c r="B103" t="str">
        <f>IF(A103="","",IF(J103&lt;=INDEX(Matches!$I$2:$I$25,I103-1),INDEX(Matches!$G$2:$G$25,I103-1),INDEX(Matches!$H$2:$H$25,I103-1)))</f>
        <v/>
      </c>
      <c r="C103" t="str">
        <f>IF(A103="","",COUNTIFS($A$2:A103,A103,$B$2:B103,B103))</f>
        <v/>
      </c>
      <c r="D103" s="2" t="str">
        <f t="shared" si="3"/>
        <v/>
      </c>
      <c r="E103" s="2"/>
      <c r="F103" t="str">
        <f t="shared" si="4"/>
        <v/>
      </c>
      <c r="G103" t="str">
        <f t="shared" si="5"/>
        <v/>
      </c>
      <c r="H103" t="str">
        <f>IF(F103="","",VLOOKUP(F103,Validation!$A$2:$B$17,2,FALSE))</f>
        <v/>
      </c>
      <c r="I103">
        <f>INT((ROW()-2)/Settings!$B$6)+2</f>
        <v>10</v>
      </c>
      <c r="J103">
        <f>MOD(ROW()-2,Settings!$B$6)+1</f>
        <v>6</v>
      </c>
    </row>
    <row r="104" spans="1:10" x14ac:dyDescent="0.3">
      <c r="A104" t="str">
        <f>IF(OR(INDEX(Matches!$I$2:$I$25,I104-1)="",INDEX(Matches!$J$2:$J$25,I104-1)=""),"",IF(J104&lt;=INDEX(Matches!$I$2:$I$25,I104-1)+INDEX(Matches!$J$2:$J$25,I104-1),INDEX(Matches!$A$2:$A$25,I104-1),""))</f>
        <v/>
      </c>
      <c r="B104" t="str">
        <f>IF(A104="","",IF(J104&lt;=INDEX(Matches!$I$2:$I$25,I104-1),INDEX(Matches!$G$2:$G$25,I104-1),INDEX(Matches!$H$2:$H$25,I104-1)))</f>
        <v/>
      </c>
      <c r="C104" t="str">
        <f>IF(A104="","",COUNTIFS($A$2:A104,A104,$B$2:B104,B104))</f>
        <v/>
      </c>
      <c r="D104" s="2" t="str">
        <f t="shared" si="3"/>
        <v/>
      </c>
      <c r="E104" s="2"/>
      <c r="F104" t="str">
        <f t="shared" si="4"/>
        <v/>
      </c>
      <c r="G104" t="str">
        <f t="shared" si="5"/>
        <v/>
      </c>
      <c r="H104" t="str">
        <f>IF(F104="","",VLOOKUP(F104,Validation!$A$2:$B$17,2,FALSE))</f>
        <v/>
      </c>
      <c r="I104">
        <f>INT((ROW()-2)/Settings!$B$6)+2</f>
        <v>10</v>
      </c>
      <c r="J104">
        <f>MOD(ROW()-2,Settings!$B$6)+1</f>
        <v>7</v>
      </c>
    </row>
    <row r="105" spans="1:10" x14ac:dyDescent="0.3">
      <c r="A105" t="str">
        <f>IF(OR(INDEX(Matches!$I$2:$I$25,I105-1)="",INDEX(Matches!$J$2:$J$25,I105-1)=""),"",IF(J105&lt;=INDEX(Matches!$I$2:$I$25,I105-1)+INDEX(Matches!$J$2:$J$25,I105-1),INDEX(Matches!$A$2:$A$25,I105-1),""))</f>
        <v/>
      </c>
      <c r="B105" t="str">
        <f>IF(A105="","",IF(J105&lt;=INDEX(Matches!$I$2:$I$25,I105-1),INDEX(Matches!$G$2:$G$25,I105-1),INDEX(Matches!$H$2:$H$25,I105-1)))</f>
        <v/>
      </c>
      <c r="C105" t="str">
        <f>IF(A105="","",COUNTIFS($A$2:A105,A105,$B$2:B105,B105))</f>
        <v/>
      </c>
      <c r="D105" s="2" t="str">
        <f t="shared" si="3"/>
        <v/>
      </c>
      <c r="E105" s="2"/>
      <c r="F105" t="str">
        <f t="shared" si="4"/>
        <v/>
      </c>
      <c r="G105" t="str">
        <f t="shared" si="5"/>
        <v/>
      </c>
      <c r="H105" t="str">
        <f>IF(F105="","",VLOOKUP(F105,Validation!$A$2:$B$17,2,FALSE))</f>
        <v/>
      </c>
      <c r="I105">
        <f>INT((ROW()-2)/Settings!$B$6)+2</f>
        <v>10</v>
      </c>
      <c r="J105">
        <f>MOD(ROW()-2,Settings!$B$6)+1</f>
        <v>8</v>
      </c>
    </row>
    <row r="106" spans="1:10" x14ac:dyDescent="0.3">
      <c r="A106" t="str">
        <f>IF(OR(INDEX(Matches!$I$2:$I$25,I106-1)="",INDEX(Matches!$J$2:$J$25,I106-1)=""),"",IF(J106&lt;=INDEX(Matches!$I$2:$I$25,I106-1)+INDEX(Matches!$J$2:$J$25,I106-1),INDEX(Matches!$A$2:$A$25,I106-1),""))</f>
        <v/>
      </c>
      <c r="B106" t="str">
        <f>IF(A106="","",IF(J106&lt;=INDEX(Matches!$I$2:$I$25,I106-1),INDEX(Matches!$G$2:$G$25,I106-1),INDEX(Matches!$H$2:$H$25,I106-1)))</f>
        <v/>
      </c>
      <c r="C106" t="str">
        <f>IF(A106="","",COUNTIFS($A$2:A106,A106,$B$2:B106,B106))</f>
        <v/>
      </c>
      <c r="D106" s="2" t="str">
        <f t="shared" si="3"/>
        <v/>
      </c>
      <c r="E106" s="2"/>
      <c r="F106" t="str">
        <f t="shared" si="4"/>
        <v/>
      </c>
      <c r="G106" t="str">
        <f t="shared" si="5"/>
        <v/>
      </c>
      <c r="H106" t="str">
        <f>IF(F106="","",VLOOKUP(F106,Validation!$A$2:$B$17,2,FALSE))</f>
        <v/>
      </c>
      <c r="I106">
        <f>INT((ROW()-2)/Settings!$B$6)+2</f>
        <v>10</v>
      </c>
      <c r="J106">
        <f>MOD(ROW()-2,Settings!$B$6)+1</f>
        <v>9</v>
      </c>
    </row>
    <row r="107" spans="1:10" x14ac:dyDescent="0.3">
      <c r="A107" t="str">
        <f>IF(OR(INDEX(Matches!$I$2:$I$25,I107-1)="",INDEX(Matches!$J$2:$J$25,I107-1)=""),"",IF(J107&lt;=INDEX(Matches!$I$2:$I$25,I107-1)+INDEX(Matches!$J$2:$J$25,I107-1),INDEX(Matches!$A$2:$A$25,I107-1),""))</f>
        <v/>
      </c>
      <c r="B107" t="str">
        <f>IF(A107="","",IF(J107&lt;=INDEX(Matches!$I$2:$I$25,I107-1),INDEX(Matches!$G$2:$G$25,I107-1),INDEX(Matches!$H$2:$H$25,I107-1)))</f>
        <v/>
      </c>
      <c r="C107" t="str">
        <f>IF(A107="","",COUNTIFS($A$2:A107,A107,$B$2:B107,B107))</f>
        <v/>
      </c>
      <c r="D107" s="2" t="str">
        <f t="shared" si="3"/>
        <v/>
      </c>
      <c r="E107" s="2"/>
      <c r="F107" t="str">
        <f t="shared" si="4"/>
        <v/>
      </c>
      <c r="G107" t="str">
        <f t="shared" si="5"/>
        <v/>
      </c>
      <c r="H107" t="str">
        <f>IF(F107="","",VLOOKUP(F107,Validation!$A$2:$B$17,2,FALSE))</f>
        <v/>
      </c>
      <c r="I107">
        <f>INT((ROW()-2)/Settings!$B$6)+2</f>
        <v>10</v>
      </c>
      <c r="J107">
        <f>MOD(ROW()-2,Settings!$B$6)+1</f>
        <v>10</v>
      </c>
    </row>
    <row r="108" spans="1:10" x14ac:dyDescent="0.3">
      <c r="A108" t="str">
        <f>IF(OR(INDEX(Matches!$I$2:$I$25,I108-1)="",INDEX(Matches!$J$2:$J$25,I108-1)=""),"",IF(J108&lt;=INDEX(Matches!$I$2:$I$25,I108-1)+INDEX(Matches!$J$2:$J$25,I108-1),INDEX(Matches!$A$2:$A$25,I108-1),""))</f>
        <v/>
      </c>
      <c r="B108" t="str">
        <f>IF(A108="","",IF(J108&lt;=INDEX(Matches!$I$2:$I$25,I108-1),INDEX(Matches!$G$2:$G$25,I108-1),INDEX(Matches!$H$2:$H$25,I108-1)))</f>
        <v/>
      </c>
      <c r="C108" t="str">
        <f>IF(A108="","",COUNTIFS($A$2:A108,A108,$B$2:B108,B108))</f>
        <v/>
      </c>
      <c r="D108" s="2" t="str">
        <f t="shared" si="3"/>
        <v/>
      </c>
      <c r="E108" s="2"/>
      <c r="F108" t="str">
        <f t="shared" si="4"/>
        <v/>
      </c>
      <c r="G108" t="str">
        <f t="shared" si="5"/>
        <v/>
      </c>
      <c r="H108" t="str">
        <f>IF(F108="","",VLOOKUP(F108,Validation!$A$2:$B$17,2,FALSE))</f>
        <v/>
      </c>
      <c r="I108">
        <f>INT((ROW()-2)/Settings!$B$6)+2</f>
        <v>10</v>
      </c>
      <c r="J108">
        <f>MOD(ROW()-2,Settings!$B$6)+1</f>
        <v>11</v>
      </c>
    </row>
    <row r="109" spans="1:10" x14ac:dyDescent="0.3">
      <c r="A109" t="str">
        <f>IF(OR(INDEX(Matches!$I$2:$I$25,I109-1)="",INDEX(Matches!$J$2:$J$25,I109-1)=""),"",IF(J109&lt;=INDEX(Matches!$I$2:$I$25,I109-1)+INDEX(Matches!$J$2:$J$25,I109-1),INDEX(Matches!$A$2:$A$25,I109-1),""))</f>
        <v/>
      </c>
      <c r="B109" t="str">
        <f>IF(A109="","",IF(J109&lt;=INDEX(Matches!$I$2:$I$25,I109-1),INDEX(Matches!$G$2:$G$25,I109-1),INDEX(Matches!$H$2:$H$25,I109-1)))</f>
        <v/>
      </c>
      <c r="C109" t="str">
        <f>IF(A109="","",COUNTIFS($A$2:A109,A109,$B$2:B109,B109))</f>
        <v/>
      </c>
      <c r="D109" s="2" t="str">
        <f t="shared" si="3"/>
        <v/>
      </c>
      <c r="E109" s="2"/>
      <c r="F109" t="str">
        <f t="shared" si="4"/>
        <v/>
      </c>
      <c r="G109" t="str">
        <f t="shared" si="5"/>
        <v/>
      </c>
      <c r="H109" t="str">
        <f>IF(F109="","",VLOOKUP(F109,Validation!$A$2:$B$17,2,FALSE))</f>
        <v/>
      </c>
      <c r="I109">
        <f>INT((ROW()-2)/Settings!$B$6)+2</f>
        <v>10</v>
      </c>
      <c r="J109">
        <f>MOD(ROW()-2,Settings!$B$6)+1</f>
        <v>12</v>
      </c>
    </row>
    <row r="110" spans="1:10" x14ac:dyDescent="0.3">
      <c r="A110" t="str">
        <f>IF(OR(INDEX(Matches!$I$2:$I$25,I110-1)="",INDEX(Matches!$J$2:$J$25,I110-1)=""),"",IF(J110&lt;=INDEX(Matches!$I$2:$I$25,I110-1)+INDEX(Matches!$J$2:$J$25,I110-1),INDEX(Matches!$A$2:$A$25,I110-1),""))</f>
        <v/>
      </c>
      <c r="B110" t="str">
        <f>IF(A110="","",IF(J110&lt;=INDEX(Matches!$I$2:$I$25,I110-1),INDEX(Matches!$G$2:$G$25,I110-1),INDEX(Matches!$H$2:$H$25,I110-1)))</f>
        <v/>
      </c>
      <c r="C110" t="str">
        <f>IF(A110="","",COUNTIFS($A$2:A110,A110,$B$2:B110,B110))</f>
        <v/>
      </c>
      <c r="D110" s="2" t="str">
        <f t="shared" si="3"/>
        <v/>
      </c>
      <c r="E110" s="2"/>
      <c r="F110" t="str">
        <f t="shared" si="4"/>
        <v/>
      </c>
      <c r="G110" t="str">
        <f t="shared" si="5"/>
        <v/>
      </c>
      <c r="H110" t="str">
        <f>IF(F110="","",VLOOKUP(F110,Validation!$A$2:$B$17,2,FALSE))</f>
        <v/>
      </c>
      <c r="I110">
        <f>INT((ROW()-2)/Settings!$B$6)+2</f>
        <v>11</v>
      </c>
      <c r="J110">
        <f>MOD(ROW()-2,Settings!$B$6)+1</f>
        <v>1</v>
      </c>
    </row>
    <row r="111" spans="1:10" x14ac:dyDescent="0.3">
      <c r="A111" t="str">
        <f>IF(OR(INDEX(Matches!$I$2:$I$25,I111-1)="",INDEX(Matches!$J$2:$J$25,I111-1)=""),"",IF(J111&lt;=INDEX(Matches!$I$2:$I$25,I111-1)+INDEX(Matches!$J$2:$J$25,I111-1),INDEX(Matches!$A$2:$A$25,I111-1),""))</f>
        <v/>
      </c>
      <c r="B111" t="str">
        <f>IF(A111="","",IF(J111&lt;=INDEX(Matches!$I$2:$I$25,I111-1),INDEX(Matches!$G$2:$G$25,I111-1),INDEX(Matches!$H$2:$H$25,I111-1)))</f>
        <v/>
      </c>
      <c r="C111" t="str">
        <f>IF(A111="","",COUNTIFS($A$2:A111,A111,$B$2:B111,B111))</f>
        <v/>
      </c>
      <c r="D111" s="2" t="str">
        <f t="shared" si="3"/>
        <v/>
      </c>
      <c r="E111" s="2"/>
      <c r="F111" t="str">
        <f t="shared" si="4"/>
        <v/>
      </c>
      <c r="G111" t="str">
        <f t="shared" si="5"/>
        <v/>
      </c>
      <c r="H111" t="str">
        <f>IF(F111="","",VLOOKUP(F111,Validation!$A$2:$B$17,2,FALSE))</f>
        <v/>
      </c>
      <c r="I111">
        <f>INT((ROW()-2)/Settings!$B$6)+2</f>
        <v>11</v>
      </c>
      <c r="J111">
        <f>MOD(ROW()-2,Settings!$B$6)+1</f>
        <v>2</v>
      </c>
    </row>
    <row r="112" spans="1:10" x14ac:dyDescent="0.3">
      <c r="A112" t="str">
        <f>IF(OR(INDEX(Matches!$I$2:$I$25,I112-1)="",INDEX(Matches!$J$2:$J$25,I112-1)=""),"",IF(J112&lt;=INDEX(Matches!$I$2:$I$25,I112-1)+INDEX(Matches!$J$2:$J$25,I112-1),INDEX(Matches!$A$2:$A$25,I112-1),""))</f>
        <v/>
      </c>
      <c r="B112" t="str">
        <f>IF(A112="","",IF(J112&lt;=INDEX(Matches!$I$2:$I$25,I112-1),INDEX(Matches!$G$2:$G$25,I112-1),INDEX(Matches!$H$2:$H$25,I112-1)))</f>
        <v/>
      </c>
      <c r="C112" t="str">
        <f>IF(A112="","",COUNTIFS($A$2:A112,A112,$B$2:B112,B112))</f>
        <v/>
      </c>
      <c r="D112" s="2" t="str">
        <f t="shared" si="3"/>
        <v/>
      </c>
      <c r="E112" s="2"/>
      <c r="F112" t="str">
        <f t="shared" si="4"/>
        <v/>
      </c>
      <c r="G112" t="str">
        <f t="shared" si="5"/>
        <v/>
      </c>
      <c r="H112" t="str">
        <f>IF(F112="","",VLOOKUP(F112,Validation!$A$2:$B$17,2,FALSE))</f>
        <v/>
      </c>
      <c r="I112">
        <f>INT((ROW()-2)/Settings!$B$6)+2</f>
        <v>11</v>
      </c>
      <c r="J112">
        <f>MOD(ROW()-2,Settings!$B$6)+1</f>
        <v>3</v>
      </c>
    </row>
    <row r="113" spans="1:10" x14ac:dyDescent="0.3">
      <c r="A113" t="str">
        <f>IF(OR(INDEX(Matches!$I$2:$I$25,I113-1)="",INDEX(Matches!$J$2:$J$25,I113-1)=""),"",IF(J113&lt;=INDEX(Matches!$I$2:$I$25,I113-1)+INDEX(Matches!$J$2:$J$25,I113-1),INDEX(Matches!$A$2:$A$25,I113-1),""))</f>
        <v/>
      </c>
      <c r="B113" t="str">
        <f>IF(A113="","",IF(J113&lt;=INDEX(Matches!$I$2:$I$25,I113-1),INDEX(Matches!$G$2:$G$25,I113-1),INDEX(Matches!$H$2:$H$25,I113-1)))</f>
        <v/>
      </c>
      <c r="C113" t="str">
        <f>IF(A113="","",COUNTIFS($A$2:A113,A113,$B$2:B113,B113))</f>
        <v/>
      </c>
      <c r="D113" s="2" t="str">
        <f t="shared" si="3"/>
        <v/>
      </c>
      <c r="E113" s="2"/>
      <c r="F113" t="str">
        <f t="shared" si="4"/>
        <v/>
      </c>
      <c r="G113" t="str">
        <f t="shared" si="5"/>
        <v/>
      </c>
      <c r="H113" t="str">
        <f>IF(F113="","",VLOOKUP(F113,Validation!$A$2:$B$17,2,FALSE))</f>
        <v/>
      </c>
      <c r="I113">
        <f>INT((ROW()-2)/Settings!$B$6)+2</f>
        <v>11</v>
      </c>
      <c r="J113">
        <f>MOD(ROW()-2,Settings!$B$6)+1</f>
        <v>4</v>
      </c>
    </row>
    <row r="114" spans="1:10" x14ac:dyDescent="0.3">
      <c r="A114" t="str">
        <f>IF(OR(INDEX(Matches!$I$2:$I$25,I114-1)="",INDEX(Matches!$J$2:$J$25,I114-1)=""),"",IF(J114&lt;=INDEX(Matches!$I$2:$I$25,I114-1)+INDEX(Matches!$J$2:$J$25,I114-1),INDEX(Matches!$A$2:$A$25,I114-1),""))</f>
        <v/>
      </c>
      <c r="B114" t="str">
        <f>IF(A114="","",IF(J114&lt;=INDEX(Matches!$I$2:$I$25,I114-1),INDEX(Matches!$G$2:$G$25,I114-1),INDEX(Matches!$H$2:$H$25,I114-1)))</f>
        <v/>
      </c>
      <c r="C114" t="str">
        <f>IF(A114="","",COUNTIFS($A$2:A114,A114,$B$2:B114,B114))</f>
        <v/>
      </c>
      <c r="D114" s="2" t="str">
        <f t="shared" si="3"/>
        <v/>
      </c>
      <c r="E114" s="2"/>
      <c r="F114" t="str">
        <f t="shared" si="4"/>
        <v/>
      </c>
      <c r="G114" t="str">
        <f t="shared" si="5"/>
        <v/>
      </c>
      <c r="H114" t="str">
        <f>IF(F114="","",VLOOKUP(F114,Validation!$A$2:$B$17,2,FALSE))</f>
        <v/>
      </c>
      <c r="I114">
        <f>INT((ROW()-2)/Settings!$B$6)+2</f>
        <v>11</v>
      </c>
      <c r="J114">
        <f>MOD(ROW()-2,Settings!$B$6)+1</f>
        <v>5</v>
      </c>
    </row>
    <row r="115" spans="1:10" x14ac:dyDescent="0.3">
      <c r="A115" t="str">
        <f>IF(OR(INDEX(Matches!$I$2:$I$25,I115-1)="",INDEX(Matches!$J$2:$J$25,I115-1)=""),"",IF(J115&lt;=INDEX(Matches!$I$2:$I$25,I115-1)+INDEX(Matches!$J$2:$J$25,I115-1),INDEX(Matches!$A$2:$A$25,I115-1),""))</f>
        <v/>
      </c>
      <c r="B115" t="str">
        <f>IF(A115="","",IF(J115&lt;=INDEX(Matches!$I$2:$I$25,I115-1),INDEX(Matches!$G$2:$G$25,I115-1),INDEX(Matches!$H$2:$H$25,I115-1)))</f>
        <v/>
      </c>
      <c r="C115" t="str">
        <f>IF(A115="","",COUNTIFS($A$2:A115,A115,$B$2:B115,B115))</f>
        <v/>
      </c>
      <c r="D115" s="2" t="str">
        <f t="shared" si="3"/>
        <v/>
      </c>
      <c r="E115" s="2"/>
      <c r="F115" t="str">
        <f t="shared" si="4"/>
        <v/>
      </c>
      <c r="G115" t="str">
        <f t="shared" si="5"/>
        <v/>
      </c>
      <c r="H115" t="str">
        <f>IF(F115="","",VLOOKUP(F115,Validation!$A$2:$B$17,2,FALSE))</f>
        <v/>
      </c>
      <c r="I115">
        <f>INT((ROW()-2)/Settings!$B$6)+2</f>
        <v>11</v>
      </c>
      <c r="J115">
        <f>MOD(ROW()-2,Settings!$B$6)+1</f>
        <v>6</v>
      </c>
    </row>
    <row r="116" spans="1:10" x14ac:dyDescent="0.3">
      <c r="A116" t="str">
        <f>IF(OR(INDEX(Matches!$I$2:$I$25,I116-1)="",INDEX(Matches!$J$2:$J$25,I116-1)=""),"",IF(J116&lt;=INDEX(Matches!$I$2:$I$25,I116-1)+INDEX(Matches!$J$2:$J$25,I116-1),INDEX(Matches!$A$2:$A$25,I116-1),""))</f>
        <v/>
      </c>
      <c r="B116" t="str">
        <f>IF(A116="","",IF(J116&lt;=INDEX(Matches!$I$2:$I$25,I116-1),INDEX(Matches!$G$2:$G$25,I116-1),INDEX(Matches!$H$2:$H$25,I116-1)))</f>
        <v/>
      </c>
      <c r="C116" t="str">
        <f>IF(A116="","",COUNTIFS($A$2:A116,A116,$B$2:B116,B116))</f>
        <v/>
      </c>
      <c r="D116" s="2" t="str">
        <f t="shared" si="3"/>
        <v/>
      </c>
      <c r="E116" s="2"/>
      <c r="F116" t="str">
        <f t="shared" si="4"/>
        <v/>
      </c>
      <c r="G116" t="str">
        <f t="shared" si="5"/>
        <v/>
      </c>
      <c r="H116" t="str">
        <f>IF(F116="","",VLOOKUP(F116,Validation!$A$2:$B$17,2,FALSE))</f>
        <v/>
      </c>
      <c r="I116">
        <f>INT((ROW()-2)/Settings!$B$6)+2</f>
        <v>11</v>
      </c>
      <c r="J116">
        <f>MOD(ROW()-2,Settings!$B$6)+1</f>
        <v>7</v>
      </c>
    </row>
    <row r="117" spans="1:10" x14ac:dyDescent="0.3">
      <c r="A117" t="str">
        <f>IF(OR(INDEX(Matches!$I$2:$I$25,I117-1)="",INDEX(Matches!$J$2:$J$25,I117-1)=""),"",IF(J117&lt;=INDEX(Matches!$I$2:$I$25,I117-1)+INDEX(Matches!$J$2:$J$25,I117-1),INDEX(Matches!$A$2:$A$25,I117-1),""))</f>
        <v/>
      </c>
      <c r="B117" t="str">
        <f>IF(A117="","",IF(J117&lt;=INDEX(Matches!$I$2:$I$25,I117-1),INDEX(Matches!$G$2:$G$25,I117-1),INDEX(Matches!$H$2:$H$25,I117-1)))</f>
        <v/>
      </c>
      <c r="C117" t="str">
        <f>IF(A117="","",COUNTIFS($A$2:A117,A117,$B$2:B117,B117))</f>
        <v/>
      </c>
      <c r="D117" s="2" t="str">
        <f t="shared" si="3"/>
        <v/>
      </c>
      <c r="E117" s="2"/>
      <c r="F117" t="str">
        <f t="shared" si="4"/>
        <v/>
      </c>
      <c r="G117" t="str">
        <f t="shared" si="5"/>
        <v/>
      </c>
      <c r="H117" t="str">
        <f>IF(F117="","",VLOOKUP(F117,Validation!$A$2:$B$17,2,FALSE))</f>
        <v/>
      </c>
      <c r="I117">
        <f>INT((ROW()-2)/Settings!$B$6)+2</f>
        <v>11</v>
      </c>
      <c r="J117">
        <f>MOD(ROW()-2,Settings!$B$6)+1</f>
        <v>8</v>
      </c>
    </row>
    <row r="118" spans="1:10" x14ac:dyDescent="0.3">
      <c r="A118" t="str">
        <f>IF(OR(INDEX(Matches!$I$2:$I$25,I118-1)="",INDEX(Matches!$J$2:$J$25,I118-1)=""),"",IF(J118&lt;=INDEX(Matches!$I$2:$I$25,I118-1)+INDEX(Matches!$J$2:$J$25,I118-1),INDEX(Matches!$A$2:$A$25,I118-1),""))</f>
        <v/>
      </c>
      <c r="B118" t="str">
        <f>IF(A118="","",IF(J118&lt;=INDEX(Matches!$I$2:$I$25,I118-1),INDEX(Matches!$G$2:$G$25,I118-1),INDEX(Matches!$H$2:$H$25,I118-1)))</f>
        <v/>
      </c>
      <c r="C118" t="str">
        <f>IF(A118="","",COUNTIFS($A$2:A118,A118,$B$2:B118,B118))</f>
        <v/>
      </c>
      <c r="D118" s="2" t="str">
        <f t="shared" si="3"/>
        <v/>
      </c>
      <c r="E118" s="2"/>
      <c r="F118" t="str">
        <f t="shared" si="4"/>
        <v/>
      </c>
      <c r="G118" t="str">
        <f t="shared" si="5"/>
        <v/>
      </c>
      <c r="H118" t="str">
        <f>IF(F118="","",VLOOKUP(F118,Validation!$A$2:$B$17,2,FALSE))</f>
        <v/>
      </c>
      <c r="I118">
        <f>INT((ROW()-2)/Settings!$B$6)+2</f>
        <v>11</v>
      </c>
      <c r="J118">
        <f>MOD(ROW()-2,Settings!$B$6)+1</f>
        <v>9</v>
      </c>
    </row>
    <row r="119" spans="1:10" x14ac:dyDescent="0.3">
      <c r="A119" t="str">
        <f>IF(OR(INDEX(Matches!$I$2:$I$25,I119-1)="",INDEX(Matches!$J$2:$J$25,I119-1)=""),"",IF(J119&lt;=INDEX(Matches!$I$2:$I$25,I119-1)+INDEX(Matches!$J$2:$J$25,I119-1),INDEX(Matches!$A$2:$A$25,I119-1),""))</f>
        <v/>
      </c>
      <c r="B119" t="str">
        <f>IF(A119="","",IF(J119&lt;=INDEX(Matches!$I$2:$I$25,I119-1),INDEX(Matches!$G$2:$G$25,I119-1),INDEX(Matches!$H$2:$H$25,I119-1)))</f>
        <v/>
      </c>
      <c r="C119" t="str">
        <f>IF(A119="","",COUNTIFS($A$2:A119,A119,$B$2:B119,B119))</f>
        <v/>
      </c>
      <c r="D119" s="2" t="str">
        <f t="shared" si="3"/>
        <v/>
      </c>
      <c r="E119" s="2"/>
      <c r="F119" t="str">
        <f t="shared" si="4"/>
        <v/>
      </c>
      <c r="G119" t="str">
        <f t="shared" si="5"/>
        <v/>
      </c>
      <c r="H119" t="str">
        <f>IF(F119="","",VLOOKUP(F119,Validation!$A$2:$B$17,2,FALSE))</f>
        <v/>
      </c>
      <c r="I119">
        <f>INT((ROW()-2)/Settings!$B$6)+2</f>
        <v>11</v>
      </c>
      <c r="J119">
        <f>MOD(ROW()-2,Settings!$B$6)+1</f>
        <v>10</v>
      </c>
    </row>
    <row r="120" spans="1:10" x14ac:dyDescent="0.3">
      <c r="A120" t="str">
        <f>IF(OR(INDEX(Matches!$I$2:$I$25,I120-1)="",INDEX(Matches!$J$2:$J$25,I120-1)=""),"",IF(J120&lt;=INDEX(Matches!$I$2:$I$25,I120-1)+INDEX(Matches!$J$2:$J$25,I120-1),INDEX(Matches!$A$2:$A$25,I120-1),""))</f>
        <v/>
      </c>
      <c r="B120" t="str">
        <f>IF(A120="","",IF(J120&lt;=INDEX(Matches!$I$2:$I$25,I120-1),INDEX(Matches!$G$2:$G$25,I120-1),INDEX(Matches!$H$2:$H$25,I120-1)))</f>
        <v/>
      </c>
      <c r="C120" t="str">
        <f>IF(A120="","",COUNTIFS($A$2:A120,A120,$B$2:B120,B120))</f>
        <v/>
      </c>
      <c r="D120" s="2" t="str">
        <f t="shared" si="3"/>
        <v/>
      </c>
      <c r="E120" s="2"/>
      <c r="F120" t="str">
        <f t="shared" si="4"/>
        <v/>
      </c>
      <c r="G120" t="str">
        <f t="shared" si="5"/>
        <v/>
      </c>
      <c r="H120" t="str">
        <f>IF(F120="","",VLOOKUP(F120,Validation!$A$2:$B$17,2,FALSE))</f>
        <v/>
      </c>
      <c r="I120">
        <f>INT((ROW()-2)/Settings!$B$6)+2</f>
        <v>11</v>
      </c>
      <c r="J120">
        <f>MOD(ROW()-2,Settings!$B$6)+1</f>
        <v>11</v>
      </c>
    </row>
    <row r="121" spans="1:10" x14ac:dyDescent="0.3">
      <c r="A121" t="str">
        <f>IF(OR(INDEX(Matches!$I$2:$I$25,I121-1)="",INDEX(Matches!$J$2:$J$25,I121-1)=""),"",IF(J121&lt;=INDEX(Matches!$I$2:$I$25,I121-1)+INDEX(Matches!$J$2:$J$25,I121-1),INDEX(Matches!$A$2:$A$25,I121-1),""))</f>
        <v/>
      </c>
      <c r="B121" t="str">
        <f>IF(A121="","",IF(J121&lt;=INDEX(Matches!$I$2:$I$25,I121-1),INDEX(Matches!$G$2:$G$25,I121-1),INDEX(Matches!$H$2:$H$25,I121-1)))</f>
        <v/>
      </c>
      <c r="C121" t="str">
        <f>IF(A121="","",COUNTIFS($A$2:A121,A121,$B$2:B121,B121))</f>
        <v/>
      </c>
      <c r="D121" s="2" t="str">
        <f t="shared" si="3"/>
        <v/>
      </c>
      <c r="E121" s="2"/>
      <c r="F121" t="str">
        <f t="shared" si="4"/>
        <v/>
      </c>
      <c r="G121" t="str">
        <f t="shared" si="5"/>
        <v/>
      </c>
      <c r="H121" t="str">
        <f>IF(F121="","",VLOOKUP(F121,Validation!$A$2:$B$17,2,FALSE))</f>
        <v/>
      </c>
      <c r="I121">
        <f>INT((ROW()-2)/Settings!$B$6)+2</f>
        <v>11</v>
      </c>
      <c r="J121">
        <f>MOD(ROW()-2,Settings!$B$6)+1</f>
        <v>12</v>
      </c>
    </row>
    <row r="122" spans="1:10" x14ac:dyDescent="0.3">
      <c r="A122" t="str">
        <f>IF(OR(INDEX(Matches!$I$2:$I$25,I122-1)="",INDEX(Matches!$J$2:$J$25,I122-1)=""),"",IF(J122&lt;=INDEX(Matches!$I$2:$I$25,I122-1)+INDEX(Matches!$J$2:$J$25,I122-1),INDEX(Matches!$A$2:$A$25,I122-1),""))</f>
        <v/>
      </c>
      <c r="B122" t="str">
        <f>IF(A122="","",IF(J122&lt;=INDEX(Matches!$I$2:$I$25,I122-1),INDEX(Matches!$G$2:$G$25,I122-1),INDEX(Matches!$H$2:$H$25,I122-1)))</f>
        <v/>
      </c>
      <c r="C122" t="str">
        <f>IF(A122="","",COUNTIFS($A$2:A122,A122,$B$2:B122,B122))</f>
        <v/>
      </c>
      <c r="D122" s="2" t="str">
        <f t="shared" si="3"/>
        <v/>
      </c>
      <c r="E122" s="2"/>
      <c r="F122" t="str">
        <f t="shared" si="4"/>
        <v/>
      </c>
      <c r="G122" t="str">
        <f t="shared" si="5"/>
        <v/>
      </c>
      <c r="H122" t="str">
        <f>IF(F122="","",VLOOKUP(F122,Validation!$A$2:$B$17,2,FALSE))</f>
        <v/>
      </c>
      <c r="I122">
        <f>INT((ROW()-2)/Settings!$B$6)+2</f>
        <v>12</v>
      </c>
      <c r="J122">
        <f>MOD(ROW()-2,Settings!$B$6)+1</f>
        <v>1</v>
      </c>
    </row>
    <row r="123" spans="1:10" x14ac:dyDescent="0.3">
      <c r="A123" t="str">
        <f>IF(OR(INDEX(Matches!$I$2:$I$25,I123-1)="",INDEX(Matches!$J$2:$J$25,I123-1)=""),"",IF(J123&lt;=INDEX(Matches!$I$2:$I$25,I123-1)+INDEX(Matches!$J$2:$J$25,I123-1),INDEX(Matches!$A$2:$A$25,I123-1),""))</f>
        <v/>
      </c>
      <c r="B123" t="str">
        <f>IF(A123="","",IF(J123&lt;=INDEX(Matches!$I$2:$I$25,I123-1),INDEX(Matches!$G$2:$G$25,I123-1),INDEX(Matches!$H$2:$H$25,I123-1)))</f>
        <v/>
      </c>
      <c r="C123" t="str">
        <f>IF(A123="","",COUNTIFS($A$2:A123,A123,$B$2:B123,B123))</f>
        <v/>
      </c>
      <c r="D123" s="2" t="str">
        <f t="shared" si="3"/>
        <v/>
      </c>
      <c r="E123" s="2"/>
      <c r="F123" t="str">
        <f t="shared" si="4"/>
        <v/>
      </c>
      <c r="G123" t="str">
        <f t="shared" si="5"/>
        <v/>
      </c>
      <c r="H123" t="str">
        <f>IF(F123="","",VLOOKUP(F123,Validation!$A$2:$B$17,2,FALSE))</f>
        <v/>
      </c>
      <c r="I123">
        <f>INT((ROW()-2)/Settings!$B$6)+2</f>
        <v>12</v>
      </c>
      <c r="J123">
        <f>MOD(ROW()-2,Settings!$B$6)+1</f>
        <v>2</v>
      </c>
    </row>
    <row r="124" spans="1:10" x14ac:dyDescent="0.3">
      <c r="A124" t="str">
        <f>IF(OR(INDEX(Matches!$I$2:$I$25,I124-1)="",INDEX(Matches!$J$2:$J$25,I124-1)=""),"",IF(J124&lt;=INDEX(Matches!$I$2:$I$25,I124-1)+INDEX(Matches!$J$2:$J$25,I124-1),INDEX(Matches!$A$2:$A$25,I124-1),""))</f>
        <v/>
      </c>
      <c r="B124" t="str">
        <f>IF(A124="","",IF(J124&lt;=INDEX(Matches!$I$2:$I$25,I124-1),INDEX(Matches!$G$2:$G$25,I124-1),INDEX(Matches!$H$2:$H$25,I124-1)))</f>
        <v/>
      </c>
      <c r="C124" t="str">
        <f>IF(A124="","",COUNTIFS($A$2:A124,A124,$B$2:B124,B124))</f>
        <v/>
      </c>
      <c r="D124" s="2" t="str">
        <f t="shared" si="3"/>
        <v/>
      </c>
      <c r="E124" s="2"/>
      <c r="F124" t="str">
        <f t="shared" si="4"/>
        <v/>
      </c>
      <c r="G124" t="str">
        <f t="shared" si="5"/>
        <v/>
      </c>
      <c r="H124" t="str">
        <f>IF(F124="","",VLOOKUP(F124,Validation!$A$2:$B$17,2,FALSE))</f>
        <v/>
      </c>
      <c r="I124">
        <f>INT((ROW()-2)/Settings!$B$6)+2</f>
        <v>12</v>
      </c>
      <c r="J124">
        <f>MOD(ROW()-2,Settings!$B$6)+1</f>
        <v>3</v>
      </c>
    </row>
    <row r="125" spans="1:10" x14ac:dyDescent="0.3">
      <c r="A125" t="str">
        <f>IF(OR(INDEX(Matches!$I$2:$I$25,I125-1)="",INDEX(Matches!$J$2:$J$25,I125-1)=""),"",IF(J125&lt;=INDEX(Matches!$I$2:$I$25,I125-1)+INDEX(Matches!$J$2:$J$25,I125-1),INDEX(Matches!$A$2:$A$25,I125-1),""))</f>
        <v/>
      </c>
      <c r="B125" t="str">
        <f>IF(A125="","",IF(J125&lt;=INDEX(Matches!$I$2:$I$25,I125-1),INDEX(Matches!$G$2:$G$25,I125-1),INDEX(Matches!$H$2:$H$25,I125-1)))</f>
        <v/>
      </c>
      <c r="C125" t="str">
        <f>IF(A125="","",COUNTIFS($A$2:A125,A125,$B$2:B125,B125))</f>
        <v/>
      </c>
      <c r="D125" s="2" t="str">
        <f t="shared" si="3"/>
        <v/>
      </c>
      <c r="E125" s="2"/>
      <c r="F125" t="str">
        <f t="shared" si="4"/>
        <v/>
      </c>
      <c r="G125" t="str">
        <f t="shared" si="5"/>
        <v/>
      </c>
      <c r="H125" t="str">
        <f>IF(F125="","",VLOOKUP(F125,Validation!$A$2:$B$17,2,FALSE))</f>
        <v/>
      </c>
      <c r="I125">
        <f>INT((ROW()-2)/Settings!$B$6)+2</f>
        <v>12</v>
      </c>
      <c r="J125">
        <f>MOD(ROW()-2,Settings!$B$6)+1</f>
        <v>4</v>
      </c>
    </row>
    <row r="126" spans="1:10" x14ac:dyDescent="0.3">
      <c r="A126" t="str">
        <f>IF(OR(INDEX(Matches!$I$2:$I$25,I126-1)="",INDEX(Matches!$J$2:$J$25,I126-1)=""),"",IF(J126&lt;=INDEX(Matches!$I$2:$I$25,I126-1)+INDEX(Matches!$J$2:$J$25,I126-1),INDEX(Matches!$A$2:$A$25,I126-1),""))</f>
        <v/>
      </c>
      <c r="B126" t="str">
        <f>IF(A126="","",IF(J126&lt;=INDEX(Matches!$I$2:$I$25,I126-1),INDEX(Matches!$G$2:$G$25,I126-1),INDEX(Matches!$H$2:$H$25,I126-1)))</f>
        <v/>
      </c>
      <c r="C126" t="str">
        <f>IF(A126="","",COUNTIFS($A$2:A126,A126,$B$2:B126,B126))</f>
        <v/>
      </c>
      <c r="D126" s="2" t="str">
        <f t="shared" si="3"/>
        <v/>
      </c>
      <c r="E126" s="2"/>
      <c r="F126" t="str">
        <f t="shared" si="4"/>
        <v/>
      </c>
      <c r="G126" t="str">
        <f t="shared" si="5"/>
        <v/>
      </c>
      <c r="H126" t="str">
        <f>IF(F126="","",VLOOKUP(F126,Validation!$A$2:$B$17,2,FALSE))</f>
        <v/>
      </c>
      <c r="I126">
        <f>INT((ROW()-2)/Settings!$B$6)+2</f>
        <v>12</v>
      </c>
      <c r="J126">
        <f>MOD(ROW()-2,Settings!$B$6)+1</f>
        <v>5</v>
      </c>
    </row>
    <row r="127" spans="1:10" x14ac:dyDescent="0.3">
      <c r="A127" t="str">
        <f>IF(OR(INDEX(Matches!$I$2:$I$25,I127-1)="",INDEX(Matches!$J$2:$J$25,I127-1)=""),"",IF(J127&lt;=INDEX(Matches!$I$2:$I$25,I127-1)+INDEX(Matches!$J$2:$J$25,I127-1),INDEX(Matches!$A$2:$A$25,I127-1),""))</f>
        <v/>
      </c>
      <c r="B127" t="str">
        <f>IF(A127="","",IF(J127&lt;=INDEX(Matches!$I$2:$I$25,I127-1),INDEX(Matches!$G$2:$G$25,I127-1),INDEX(Matches!$H$2:$H$25,I127-1)))</f>
        <v/>
      </c>
      <c r="C127" t="str">
        <f>IF(A127="","",COUNTIFS($A$2:A127,A127,$B$2:B127,B127))</f>
        <v/>
      </c>
      <c r="D127" s="2" t="str">
        <f t="shared" si="3"/>
        <v/>
      </c>
      <c r="E127" s="2"/>
      <c r="F127" t="str">
        <f t="shared" si="4"/>
        <v/>
      </c>
      <c r="G127" t="str">
        <f t="shared" si="5"/>
        <v/>
      </c>
      <c r="H127" t="str">
        <f>IF(F127="","",VLOOKUP(F127,Validation!$A$2:$B$17,2,FALSE))</f>
        <v/>
      </c>
      <c r="I127">
        <f>INT((ROW()-2)/Settings!$B$6)+2</f>
        <v>12</v>
      </c>
      <c r="J127">
        <f>MOD(ROW()-2,Settings!$B$6)+1</f>
        <v>6</v>
      </c>
    </row>
    <row r="128" spans="1:10" x14ac:dyDescent="0.3">
      <c r="A128" t="str">
        <f>IF(OR(INDEX(Matches!$I$2:$I$25,I128-1)="",INDEX(Matches!$J$2:$J$25,I128-1)=""),"",IF(J128&lt;=INDEX(Matches!$I$2:$I$25,I128-1)+INDEX(Matches!$J$2:$J$25,I128-1),INDEX(Matches!$A$2:$A$25,I128-1),""))</f>
        <v/>
      </c>
      <c r="B128" t="str">
        <f>IF(A128="","",IF(J128&lt;=INDEX(Matches!$I$2:$I$25,I128-1),INDEX(Matches!$G$2:$G$25,I128-1),INDEX(Matches!$H$2:$H$25,I128-1)))</f>
        <v/>
      </c>
      <c r="C128" t="str">
        <f>IF(A128="","",COUNTIFS($A$2:A128,A128,$B$2:B128,B128))</f>
        <v/>
      </c>
      <c r="D128" s="2" t="str">
        <f t="shared" si="3"/>
        <v/>
      </c>
      <c r="E128" s="2"/>
      <c r="F128" t="str">
        <f t="shared" si="4"/>
        <v/>
      </c>
      <c r="G128" t="str">
        <f t="shared" si="5"/>
        <v/>
      </c>
      <c r="H128" t="str">
        <f>IF(F128="","",VLOOKUP(F128,Validation!$A$2:$B$17,2,FALSE))</f>
        <v/>
      </c>
      <c r="I128">
        <f>INT((ROW()-2)/Settings!$B$6)+2</f>
        <v>12</v>
      </c>
      <c r="J128">
        <f>MOD(ROW()-2,Settings!$B$6)+1</f>
        <v>7</v>
      </c>
    </row>
    <row r="129" spans="1:10" x14ac:dyDescent="0.3">
      <c r="A129" t="str">
        <f>IF(OR(INDEX(Matches!$I$2:$I$25,I129-1)="",INDEX(Matches!$J$2:$J$25,I129-1)=""),"",IF(J129&lt;=INDEX(Matches!$I$2:$I$25,I129-1)+INDEX(Matches!$J$2:$J$25,I129-1),INDEX(Matches!$A$2:$A$25,I129-1),""))</f>
        <v/>
      </c>
      <c r="B129" t="str">
        <f>IF(A129="","",IF(J129&lt;=INDEX(Matches!$I$2:$I$25,I129-1),INDEX(Matches!$G$2:$G$25,I129-1),INDEX(Matches!$H$2:$H$25,I129-1)))</f>
        <v/>
      </c>
      <c r="C129" t="str">
        <f>IF(A129="","",COUNTIFS($A$2:A129,A129,$B$2:B129,B129))</f>
        <v/>
      </c>
      <c r="D129" s="2" t="str">
        <f t="shared" si="3"/>
        <v/>
      </c>
      <c r="E129" s="2"/>
      <c r="F129" t="str">
        <f t="shared" si="4"/>
        <v/>
      </c>
      <c r="G129" t="str">
        <f t="shared" si="5"/>
        <v/>
      </c>
      <c r="H129" t="str">
        <f>IF(F129="","",VLOOKUP(F129,Validation!$A$2:$B$17,2,FALSE))</f>
        <v/>
      </c>
      <c r="I129">
        <f>INT((ROW()-2)/Settings!$B$6)+2</f>
        <v>12</v>
      </c>
      <c r="J129">
        <f>MOD(ROW()-2,Settings!$B$6)+1</f>
        <v>8</v>
      </c>
    </row>
    <row r="130" spans="1:10" x14ac:dyDescent="0.3">
      <c r="A130" t="str">
        <f>IF(OR(INDEX(Matches!$I$2:$I$25,I130-1)="",INDEX(Matches!$J$2:$J$25,I130-1)=""),"",IF(J130&lt;=INDEX(Matches!$I$2:$I$25,I130-1)+INDEX(Matches!$J$2:$J$25,I130-1),INDEX(Matches!$A$2:$A$25,I130-1),""))</f>
        <v/>
      </c>
      <c r="B130" t="str">
        <f>IF(A130="","",IF(J130&lt;=INDEX(Matches!$I$2:$I$25,I130-1),INDEX(Matches!$G$2:$G$25,I130-1),INDEX(Matches!$H$2:$H$25,I130-1)))</f>
        <v/>
      </c>
      <c r="C130" t="str">
        <f>IF(A130="","",COUNTIFS($A$2:A130,A130,$B$2:B130,B130))</f>
        <v/>
      </c>
      <c r="D130" s="2" t="str">
        <f t="shared" ref="D130:D193" si="6">IF(A130="","","Goal")</f>
        <v/>
      </c>
      <c r="E130" s="2"/>
      <c r="F130" t="str">
        <f t="shared" ref="F130:F193" si="7">IF(A130="","",IF(D130="Autogol","",IF(D130="Goal",B130,"")))</f>
        <v/>
      </c>
      <c r="G130" t="str">
        <f t="shared" ref="G130:G193" si="8">IF(A130="","",IF(D130="","Manca tipo",IF(D130="Goal",IF(E130="","Manca giocatore","OK"),IF(D130="Autogol",IF(E130&lt;&gt;"","Autogol: svuota Player","OK"),"Tipo non valido"))))</f>
        <v/>
      </c>
      <c r="H130" t="str">
        <f>IF(F130="","",VLOOKUP(F130,Validation!$A$2:$B$17,2,FALSE))</f>
        <v/>
      </c>
      <c r="I130">
        <f>INT((ROW()-2)/Settings!$B$6)+2</f>
        <v>12</v>
      </c>
      <c r="J130">
        <f>MOD(ROW()-2,Settings!$B$6)+1</f>
        <v>9</v>
      </c>
    </row>
    <row r="131" spans="1:10" x14ac:dyDescent="0.3">
      <c r="A131" t="str">
        <f>IF(OR(INDEX(Matches!$I$2:$I$25,I131-1)="",INDEX(Matches!$J$2:$J$25,I131-1)=""),"",IF(J131&lt;=INDEX(Matches!$I$2:$I$25,I131-1)+INDEX(Matches!$J$2:$J$25,I131-1),INDEX(Matches!$A$2:$A$25,I131-1),""))</f>
        <v/>
      </c>
      <c r="B131" t="str">
        <f>IF(A131="","",IF(J131&lt;=INDEX(Matches!$I$2:$I$25,I131-1),INDEX(Matches!$G$2:$G$25,I131-1),INDEX(Matches!$H$2:$H$25,I131-1)))</f>
        <v/>
      </c>
      <c r="C131" t="str">
        <f>IF(A131="","",COUNTIFS($A$2:A131,A131,$B$2:B131,B131))</f>
        <v/>
      </c>
      <c r="D131" s="2" t="str">
        <f t="shared" si="6"/>
        <v/>
      </c>
      <c r="E131" s="2"/>
      <c r="F131" t="str">
        <f t="shared" si="7"/>
        <v/>
      </c>
      <c r="G131" t="str">
        <f t="shared" si="8"/>
        <v/>
      </c>
      <c r="H131" t="str">
        <f>IF(F131="","",VLOOKUP(F131,Validation!$A$2:$B$17,2,FALSE))</f>
        <v/>
      </c>
      <c r="I131">
        <f>INT((ROW()-2)/Settings!$B$6)+2</f>
        <v>12</v>
      </c>
      <c r="J131">
        <f>MOD(ROW()-2,Settings!$B$6)+1</f>
        <v>10</v>
      </c>
    </row>
    <row r="132" spans="1:10" x14ac:dyDescent="0.3">
      <c r="A132" t="str">
        <f>IF(OR(INDEX(Matches!$I$2:$I$25,I132-1)="",INDEX(Matches!$J$2:$J$25,I132-1)=""),"",IF(J132&lt;=INDEX(Matches!$I$2:$I$25,I132-1)+INDEX(Matches!$J$2:$J$25,I132-1),INDEX(Matches!$A$2:$A$25,I132-1),""))</f>
        <v/>
      </c>
      <c r="B132" t="str">
        <f>IF(A132="","",IF(J132&lt;=INDEX(Matches!$I$2:$I$25,I132-1),INDEX(Matches!$G$2:$G$25,I132-1),INDEX(Matches!$H$2:$H$25,I132-1)))</f>
        <v/>
      </c>
      <c r="C132" t="str">
        <f>IF(A132="","",COUNTIFS($A$2:A132,A132,$B$2:B132,B132))</f>
        <v/>
      </c>
      <c r="D132" s="2" t="str">
        <f t="shared" si="6"/>
        <v/>
      </c>
      <c r="E132" s="2"/>
      <c r="F132" t="str">
        <f t="shared" si="7"/>
        <v/>
      </c>
      <c r="G132" t="str">
        <f t="shared" si="8"/>
        <v/>
      </c>
      <c r="H132" t="str">
        <f>IF(F132="","",VLOOKUP(F132,Validation!$A$2:$B$17,2,FALSE))</f>
        <v/>
      </c>
      <c r="I132">
        <f>INT((ROW()-2)/Settings!$B$6)+2</f>
        <v>12</v>
      </c>
      <c r="J132">
        <f>MOD(ROW()-2,Settings!$B$6)+1</f>
        <v>11</v>
      </c>
    </row>
    <row r="133" spans="1:10" x14ac:dyDescent="0.3">
      <c r="A133" t="str">
        <f>IF(OR(INDEX(Matches!$I$2:$I$25,I133-1)="",INDEX(Matches!$J$2:$J$25,I133-1)=""),"",IF(J133&lt;=INDEX(Matches!$I$2:$I$25,I133-1)+INDEX(Matches!$J$2:$J$25,I133-1),INDEX(Matches!$A$2:$A$25,I133-1),""))</f>
        <v/>
      </c>
      <c r="B133" t="str">
        <f>IF(A133="","",IF(J133&lt;=INDEX(Matches!$I$2:$I$25,I133-1),INDEX(Matches!$G$2:$G$25,I133-1),INDEX(Matches!$H$2:$H$25,I133-1)))</f>
        <v/>
      </c>
      <c r="C133" t="str">
        <f>IF(A133="","",COUNTIFS($A$2:A133,A133,$B$2:B133,B133))</f>
        <v/>
      </c>
      <c r="D133" s="2" t="str">
        <f t="shared" si="6"/>
        <v/>
      </c>
      <c r="E133" s="2"/>
      <c r="F133" t="str">
        <f t="shared" si="7"/>
        <v/>
      </c>
      <c r="G133" t="str">
        <f t="shared" si="8"/>
        <v/>
      </c>
      <c r="H133" t="str">
        <f>IF(F133="","",VLOOKUP(F133,Validation!$A$2:$B$17,2,FALSE))</f>
        <v/>
      </c>
      <c r="I133">
        <f>INT((ROW()-2)/Settings!$B$6)+2</f>
        <v>12</v>
      </c>
      <c r="J133">
        <f>MOD(ROW()-2,Settings!$B$6)+1</f>
        <v>12</v>
      </c>
    </row>
    <row r="134" spans="1:10" x14ac:dyDescent="0.3">
      <c r="A134" t="str">
        <f>IF(OR(INDEX(Matches!$I$2:$I$25,I134-1)="",INDEX(Matches!$J$2:$J$25,I134-1)=""),"",IF(J134&lt;=INDEX(Matches!$I$2:$I$25,I134-1)+INDEX(Matches!$J$2:$J$25,I134-1),INDEX(Matches!$A$2:$A$25,I134-1),""))</f>
        <v/>
      </c>
      <c r="B134" t="str">
        <f>IF(A134="","",IF(J134&lt;=INDEX(Matches!$I$2:$I$25,I134-1),INDEX(Matches!$G$2:$G$25,I134-1),INDEX(Matches!$H$2:$H$25,I134-1)))</f>
        <v/>
      </c>
      <c r="C134" t="str">
        <f>IF(A134="","",COUNTIFS($A$2:A134,A134,$B$2:B134,B134))</f>
        <v/>
      </c>
      <c r="D134" s="2" t="str">
        <f t="shared" si="6"/>
        <v/>
      </c>
      <c r="E134" s="2"/>
      <c r="F134" t="str">
        <f t="shared" si="7"/>
        <v/>
      </c>
      <c r="G134" t="str">
        <f t="shared" si="8"/>
        <v/>
      </c>
      <c r="H134" t="str">
        <f>IF(F134="","",VLOOKUP(F134,Validation!$A$2:$B$17,2,FALSE))</f>
        <v/>
      </c>
      <c r="I134">
        <f>INT((ROW()-2)/Settings!$B$6)+2</f>
        <v>13</v>
      </c>
      <c r="J134">
        <f>MOD(ROW()-2,Settings!$B$6)+1</f>
        <v>1</v>
      </c>
    </row>
    <row r="135" spans="1:10" x14ac:dyDescent="0.3">
      <c r="A135" t="str">
        <f>IF(OR(INDEX(Matches!$I$2:$I$25,I135-1)="",INDEX(Matches!$J$2:$J$25,I135-1)=""),"",IF(J135&lt;=INDEX(Matches!$I$2:$I$25,I135-1)+INDEX(Matches!$J$2:$J$25,I135-1),INDEX(Matches!$A$2:$A$25,I135-1),""))</f>
        <v/>
      </c>
      <c r="B135" t="str">
        <f>IF(A135="","",IF(J135&lt;=INDEX(Matches!$I$2:$I$25,I135-1),INDEX(Matches!$G$2:$G$25,I135-1),INDEX(Matches!$H$2:$H$25,I135-1)))</f>
        <v/>
      </c>
      <c r="C135" t="str">
        <f>IF(A135="","",COUNTIFS($A$2:A135,A135,$B$2:B135,B135))</f>
        <v/>
      </c>
      <c r="D135" s="2" t="str">
        <f t="shared" si="6"/>
        <v/>
      </c>
      <c r="E135" s="2"/>
      <c r="F135" t="str">
        <f t="shared" si="7"/>
        <v/>
      </c>
      <c r="G135" t="str">
        <f t="shared" si="8"/>
        <v/>
      </c>
      <c r="H135" t="str">
        <f>IF(F135="","",VLOOKUP(F135,Validation!$A$2:$B$17,2,FALSE))</f>
        <v/>
      </c>
      <c r="I135">
        <f>INT((ROW()-2)/Settings!$B$6)+2</f>
        <v>13</v>
      </c>
      <c r="J135">
        <f>MOD(ROW()-2,Settings!$B$6)+1</f>
        <v>2</v>
      </c>
    </row>
    <row r="136" spans="1:10" x14ac:dyDescent="0.3">
      <c r="A136" t="str">
        <f>IF(OR(INDEX(Matches!$I$2:$I$25,I136-1)="",INDEX(Matches!$J$2:$J$25,I136-1)=""),"",IF(J136&lt;=INDEX(Matches!$I$2:$I$25,I136-1)+INDEX(Matches!$J$2:$J$25,I136-1),INDEX(Matches!$A$2:$A$25,I136-1),""))</f>
        <v/>
      </c>
      <c r="B136" t="str">
        <f>IF(A136="","",IF(J136&lt;=INDEX(Matches!$I$2:$I$25,I136-1),INDEX(Matches!$G$2:$G$25,I136-1),INDEX(Matches!$H$2:$H$25,I136-1)))</f>
        <v/>
      </c>
      <c r="C136" t="str">
        <f>IF(A136="","",COUNTIFS($A$2:A136,A136,$B$2:B136,B136))</f>
        <v/>
      </c>
      <c r="D136" s="2" t="str">
        <f t="shared" si="6"/>
        <v/>
      </c>
      <c r="E136" s="2"/>
      <c r="F136" t="str">
        <f t="shared" si="7"/>
        <v/>
      </c>
      <c r="G136" t="str">
        <f t="shared" si="8"/>
        <v/>
      </c>
      <c r="H136" t="str">
        <f>IF(F136="","",VLOOKUP(F136,Validation!$A$2:$B$17,2,FALSE))</f>
        <v/>
      </c>
      <c r="I136">
        <f>INT((ROW()-2)/Settings!$B$6)+2</f>
        <v>13</v>
      </c>
      <c r="J136">
        <f>MOD(ROW()-2,Settings!$B$6)+1</f>
        <v>3</v>
      </c>
    </row>
    <row r="137" spans="1:10" x14ac:dyDescent="0.3">
      <c r="A137" t="str">
        <f>IF(OR(INDEX(Matches!$I$2:$I$25,I137-1)="",INDEX(Matches!$J$2:$J$25,I137-1)=""),"",IF(J137&lt;=INDEX(Matches!$I$2:$I$25,I137-1)+INDEX(Matches!$J$2:$J$25,I137-1),INDEX(Matches!$A$2:$A$25,I137-1),""))</f>
        <v/>
      </c>
      <c r="B137" t="str">
        <f>IF(A137="","",IF(J137&lt;=INDEX(Matches!$I$2:$I$25,I137-1),INDEX(Matches!$G$2:$G$25,I137-1),INDEX(Matches!$H$2:$H$25,I137-1)))</f>
        <v/>
      </c>
      <c r="C137" t="str">
        <f>IF(A137="","",COUNTIFS($A$2:A137,A137,$B$2:B137,B137))</f>
        <v/>
      </c>
      <c r="D137" s="2" t="str">
        <f t="shared" si="6"/>
        <v/>
      </c>
      <c r="E137" s="2"/>
      <c r="F137" t="str">
        <f t="shared" si="7"/>
        <v/>
      </c>
      <c r="G137" t="str">
        <f t="shared" si="8"/>
        <v/>
      </c>
      <c r="H137" t="str">
        <f>IF(F137="","",VLOOKUP(F137,Validation!$A$2:$B$17,2,FALSE))</f>
        <v/>
      </c>
      <c r="I137">
        <f>INT((ROW()-2)/Settings!$B$6)+2</f>
        <v>13</v>
      </c>
      <c r="J137">
        <f>MOD(ROW()-2,Settings!$B$6)+1</f>
        <v>4</v>
      </c>
    </row>
    <row r="138" spans="1:10" x14ac:dyDescent="0.3">
      <c r="A138" t="str">
        <f>IF(OR(INDEX(Matches!$I$2:$I$25,I138-1)="",INDEX(Matches!$J$2:$J$25,I138-1)=""),"",IF(J138&lt;=INDEX(Matches!$I$2:$I$25,I138-1)+INDEX(Matches!$J$2:$J$25,I138-1),INDEX(Matches!$A$2:$A$25,I138-1),""))</f>
        <v/>
      </c>
      <c r="B138" t="str">
        <f>IF(A138="","",IF(J138&lt;=INDEX(Matches!$I$2:$I$25,I138-1),INDEX(Matches!$G$2:$G$25,I138-1),INDEX(Matches!$H$2:$H$25,I138-1)))</f>
        <v/>
      </c>
      <c r="C138" t="str">
        <f>IF(A138="","",COUNTIFS($A$2:A138,A138,$B$2:B138,B138))</f>
        <v/>
      </c>
      <c r="D138" s="2" t="str">
        <f t="shared" si="6"/>
        <v/>
      </c>
      <c r="E138" s="2"/>
      <c r="F138" t="str">
        <f t="shared" si="7"/>
        <v/>
      </c>
      <c r="G138" t="str">
        <f t="shared" si="8"/>
        <v/>
      </c>
      <c r="H138" t="str">
        <f>IF(F138="","",VLOOKUP(F138,Validation!$A$2:$B$17,2,FALSE))</f>
        <v/>
      </c>
      <c r="I138">
        <f>INT((ROW()-2)/Settings!$B$6)+2</f>
        <v>13</v>
      </c>
      <c r="J138">
        <f>MOD(ROW()-2,Settings!$B$6)+1</f>
        <v>5</v>
      </c>
    </row>
    <row r="139" spans="1:10" x14ac:dyDescent="0.3">
      <c r="A139" t="str">
        <f>IF(OR(INDEX(Matches!$I$2:$I$25,I139-1)="",INDEX(Matches!$J$2:$J$25,I139-1)=""),"",IF(J139&lt;=INDEX(Matches!$I$2:$I$25,I139-1)+INDEX(Matches!$J$2:$J$25,I139-1),INDEX(Matches!$A$2:$A$25,I139-1),""))</f>
        <v/>
      </c>
      <c r="B139" t="str">
        <f>IF(A139="","",IF(J139&lt;=INDEX(Matches!$I$2:$I$25,I139-1),INDEX(Matches!$G$2:$G$25,I139-1),INDEX(Matches!$H$2:$H$25,I139-1)))</f>
        <v/>
      </c>
      <c r="C139" t="str">
        <f>IF(A139="","",COUNTIFS($A$2:A139,A139,$B$2:B139,B139))</f>
        <v/>
      </c>
      <c r="D139" s="2" t="str">
        <f t="shared" si="6"/>
        <v/>
      </c>
      <c r="E139" s="2"/>
      <c r="F139" t="str">
        <f t="shared" si="7"/>
        <v/>
      </c>
      <c r="G139" t="str">
        <f t="shared" si="8"/>
        <v/>
      </c>
      <c r="H139" t="str">
        <f>IF(F139="","",VLOOKUP(F139,Validation!$A$2:$B$17,2,FALSE))</f>
        <v/>
      </c>
      <c r="I139">
        <f>INT((ROW()-2)/Settings!$B$6)+2</f>
        <v>13</v>
      </c>
      <c r="J139">
        <f>MOD(ROW()-2,Settings!$B$6)+1</f>
        <v>6</v>
      </c>
    </row>
    <row r="140" spans="1:10" x14ac:dyDescent="0.3">
      <c r="A140" t="str">
        <f>IF(OR(INDEX(Matches!$I$2:$I$25,I140-1)="",INDEX(Matches!$J$2:$J$25,I140-1)=""),"",IF(J140&lt;=INDEX(Matches!$I$2:$I$25,I140-1)+INDEX(Matches!$J$2:$J$25,I140-1),INDEX(Matches!$A$2:$A$25,I140-1),""))</f>
        <v/>
      </c>
      <c r="B140" t="str">
        <f>IF(A140="","",IF(J140&lt;=INDEX(Matches!$I$2:$I$25,I140-1),INDEX(Matches!$G$2:$G$25,I140-1),INDEX(Matches!$H$2:$H$25,I140-1)))</f>
        <v/>
      </c>
      <c r="C140" t="str">
        <f>IF(A140="","",COUNTIFS($A$2:A140,A140,$B$2:B140,B140))</f>
        <v/>
      </c>
      <c r="D140" s="2" t="str">
        <f t="shared" si="6"/>
        <v/>
      </c>
      <c r="E140" s="2"/>
      <c r="F140" t="str">
        <f t="shared" si="7"/>
        <v/>
      </c>
      <c r="G140" t="str">
        <f t="shared" si="8"/>
        <v/>
      </c>
      <c r="H140" t="str">
        <f>IF(F140="","",VLOOKUP(F140,Validation!$A$2:$B$17,2,FALSE))</f>
        <v/>
      </c>
      <c r="I140">
        <f>INT((ROW()-2)/Settings!$B$6)+2</f>
        <v>13</v>
      </c>
      <c r="J140">
        <f>MOD(ROW()-2,Settings!$B$6)+1</f>
        <v>7</v>
      </c>
    </row>
    <row r="141" spans="1:10" x14ac:dyDescent="0.3">
      <c r="A141" t="str">
        <f>IF(OR(INDEX(Matches!$I$2:$I$25,I141-1)="",INDEX(Matches!$J$2:$J$25,I141-1)=""),"",IF(J141&lt;=INDEX(Matches!$I$2:$I$25,I141-1)+INDEX(Matches!$J$2:$J$25,I141-1),INDEX(Matches!$A$2:$A$25,I141-1),""))</f>
        <v/>
      </c>
      <c r="B141" t="str">
        <f>IF(A141="","",IF(J141&lt;=INDEX(Matches!$I$2:$I$25,I141-1),INDEX(Matches!$G$2:$G$25,I141-1),INDEX(Matches!$H$2:$H$25,I141-1)))</f>
        <v/>
      </c>
      <c r="C141" t="str">
        <f>IF(A141="","",COUNTIFS($A$2:A141,A141,$B$2:B141,B141))</f>
        <v/>
      </c>
      <c r="D141" s="2" t="str">
        <f t="shared" si="6"/>
        <v/>
      </c>
      <c r="E141" s="2"/>
      <c r="F141" t="str">
        <f t="shared" si="7"/>
        <v/>
      </c>
      <c r="G141" t="str">
        <f t="shared" si="8"/>
        <v/>
      </c>
      <c r="H141" t="str">
        <f>IF(F141="","",VLOOKUP(F141,Validation!$A$2:$B$17,2,FALSE))</f>
        <v/>
      </c>
      <c r="I141">
        <f>INT((ROW()-2)/Settings!$B$6)+2</f>
        <v>13</v>
      </c>
      <c r="J141">
        <f>MOD(ROW()-2,Settings!$B$6)+1</f>
        <v>8</v>
      </c>
    </row>
    <row r="142" spans="1:10" x14ac:dyDescent="0.3">
      <c r="A142" t="str">
        <f>IF(OR(INDEX(Matches!$I$2:$I$25,I142-1)="",INDEX(Matches!$J$2:$J$25,I142-1)=""),"",IF(J142&lt;=INDEX(Matches!$I$2:$I$25,I142-1)+INDEX(Matches!$J$2:$J$25,I142-1),INDEX(Matches!$A$2:$A$25,I142-1),""))</f>
        <v/>
      </c>
      <c r="B142" t="str">
        <f>IF(A142="","",IF(J142&lt;=INDEX(Matches!$I$2:$I$25,I142-1),INDEX(Matches!$G$2:$G$25,I142-1),INDEX(Matches!$H$2:$H$25,I142-1)))</f>
        <v/>
      </c>
      <c r="C142" t="str">
        <f>IF(A142="","",COUNTIFS($A$2:A142,A142,$B$2:B142,B142))</f>
        <v/>
      </c>
      <c r="D142" s="2" t="str">
        <f t="shared" si="6"/>
        <v/>
      </c>
      <c r="E142" s="2"/>
      <c r="F142" t="str">
        <f t="shared" si="7"/>
        <v/>
      </c>
      <c r="G142" t="str">
        <f t="shared" si="8"/>
        <v/>
      </c>
      <c r="H142" t="str">
        <f>IF(F142="","",VLOOKUP(F142,Validation!$A$2:$B$17,2,FALSE))</f>
        <v/>
      </c>
      <c r="I142">
        <f>INT((ROW()-2)/Settings!$B$6)+2</f>
        <v>13</v>
      </c>
      <c r="J142">
        <f>MOD(ROW()-2,Settings!$B$6)+1</f>
        <v>9</v>
      </c>
    </row>
    <row r="143" spans="1:10" x14ac:dyDescent="0.3">
      <c r="A143" t="str">
        <f>IF(OR(INDEX(Matches!$I$2:$I$25,I143-1)="",INDEX(Matches!$J$2:$J$25,I143-1)=""),"",IF(J143&lt;=INDEX(Matches!$I$2:$I$25,I143-1)+INDEX(Matches!$J$2:$J$25,I143-1),INDEX(Matches!$A$2:$A$25,I143-1),""))</f>
        <v/>
      </c>
      <c r="B143" t="str">
        <f>IF(A143="","",IF(J143&lt;=INDEX(Matches!$I$2:$I$25,I143-1),INDEX(Matches!$G$2:$G$25,I143-1),INDEX(Matches!$H$2:$H$25,I143-1)))</f>
        <v/>
      </c>
      <c r="C143" t="str">
        <f>IF(A143="","",COUNTIFS($A$2:A143,A143,$B$2:B143,B143))</f>
        <v/>
      </c>
      <c r="D143" s="2" t="str">
        <f t="shared" si="6"/>
        <v/>
      </c>
      <c r="E143" s="2"/>
      <c r="F143" t="str">
        <f t="shared" si="7"/>
        <v/>
      </c>
      <c r="G143" t="str">
        <f t="shared" si="8"/>
        <v/>
      </c>
      <c r="H143" t="str">
        <f>IF(F143="","",VLOOKUP(F143,Validation!$A$2:$B$17,2,FALSE))</f>
        <v/>
      </c>
      <c r="I143">
        <f>INT((ROW()-2)/Settings!$B$6)+2</f>
        <v>13</v>
      </c>
      <c r="J143">
        <f>MOD(ROW()-2,Settings!$B$6)+1</f>
        <v>10</v>
      </c>
    </row>
    <row r="144" spans="1:10" x14ac:dyDescent="0.3">
      <c r="A144" t="str">
        <f>IF(OR(INDEX(Matches!$I$2:$I$25,I144-1)="",INDEX(Matches!$J$2:$J$25,I144-1)=""),"",IF(J144&lt;=INDEX(Matches!$I$2:$I$25,I144-1)+INDEX(Matches!$J$2:$J$25,I144-1),INDEX(Matches!$A$2:$A$25,I144-1),""))</f>
        <v/>
      </c>
      <c r="B144" t="str">
        <f>IF(A144="","",IF(J144&lt;=INDEX(Matches!$I$2:$I$25,I144-1),INDEX(Matches!$G$2:$G$25,I144-1),INDEX(Matches!$H$2:$H$25,I144-1)))</f>
        <v/>
      </c>
      <c r="C144" t="str">
        <f>IF(A144="","",COUNTIFS($A$2:A144,A144,$B$2:B144,B144))</f>
        <v/>
      </c>
      <c r="D144" s="2" t="str">
        <f t="shared" si="6"/>
        <v/>
      </c>
      <c r="E144" s="2"/>
      <c r="F144" t="str">
        <f t="shared" si="7"/>
        <v/>
      </c>
      <c r="G144" t="str">
        <f t="shared" si="8"/>
        <v/>
      </c>
      <c r="H144" t="str">
        <f>IF(F144="","",VLOOKUP(F144,Validation!$A$2:$B$17,2,FALSE))</f>
        <v/>
      </c>
      <c r="I144">
        <f>INT((ROW()-2)/Settings!$B$6)+2</f>
        <v>13</v>
      </c>
      <c r="J144">
        <f>MOD(ROW()-2,Settings!$B$6)+1</f>
        <v>11</v>
      </c>
    </row>
    <row r="145" spans="1:10" x14ac:dyDescent="0.3">
      <c r="A145" t="str">
        <f>IF(OR(INDEX(Matches!$I$2:$I$25,I145-1)="",INDEX(Matches!$J$2:$J$25,I145-1)=""),"",IF(J145&lt;=INDEX(Matches!$I$2:$I$25,I145-1)+INDEX(Matches!$J$2:$J$25,I145-1),INDEX(Matches!$A$2:$A$25,I145-1),""))</f>
        <v/>
      </c>
      <c r="B145" t="str">
        <f>IF(A145="","",IF(J145&lt;=INDEX(Matches!$I$2:$I$25,I145-1),INDEX(Matches!$G$2:$G$25,I145-1),INDEX(Matches!$H$2:$H$25,I145-1)))</f>
        <v/>
      </c>
      <c r="C145" t="str">
        <f>IF(A145="","",COUNTIFS($A$2:A145,A145,$B$2:B145,B145))</f>
        <v/>
      </c>
      <c r="D145" s="2" t="str">
        <f t="shared" si="6"/>
        <v/>
      </c>
      <c r="E145" s="2"/>
      <c r="F145" t="str">
        <f t="shared" si="7"/>
        <v/>
      </c>
      <c r="G145" t="str">
        <f t="shared" si="8"/>
        <v/>
      </c>
      <c r="H145" t="str">
        <f>IF(F145="","",VLOOKUP(F145,Validation!$A$2:$B$17,2,FALSE))</f>
        <v/>
      </c>
      <c r="I145">
        <f>INT((ROW()-2)/Settings!$B$6)+2</f>
        <v>13</v>
      </c>
      <c r="J145">
        <f>MOD(ROW()-2,Settings!$B$6)+1</f>
        <v>12</v>
      </c>
    </row>
    <row r="146" spans="1:10" x14ac:dyDescent="0.3">
      <c r="A146" t="str">
        <f>IF(OR(INDEX(Matches!$I$2:$I$25,I146-1)="",INDEX(Matches!$J$2:$J$25,I146-1)=""),"",IF(J146&lt;=INDEX(Matches!$I$2:$I$25,I146-1)+INDEX(Matches!$J$2:$J$25,I146-1),INDEX(Matches!$A$2:$A$25,I146-1),""))</f>
        <v/>
      </c>
      <c r="B146" t="str">
        <f>IF(A146="","",IF(J146&lt;=INDEX(Matches!$I$2:$I$25,I146-1),INDEX(Matches!$G$2:$G$25,I146-1),INDEX(Matches!$H$2:$H$25,I146-1)))</f>
        <v/>
      </c>
      <c r="C146" t="str">
        <f>IF(A146="","",COUNTIFS($A$2:A146,A146,$B$2:B146,B146))</f>
        <v/>
      </c>
      <c r="D146" s="2" t="str">
        <f t="shared" si="6"/>
        <v/>
      </c>
      <c r="E146" s="2"/>
      <c r="F146" t="str">
        <f t="shared" si="7"/>
        <v/>
      </c>
      <c r="G146" t="str">
        <f t="shared" si="8"/>
        <v/>
      </c>
      <c r="H146" t="str">
        <f>IF(F146="","",VLOOKUP(F146,Validation!$A$2:$B$17,2,FALSE))</f>
        <v/>
      </c>
      <c r="I146">
        <f>INT((ROW()-2)/Settings!$B$6)+2</f>
        <v>14</v>
      </c>
      <c r="J146">
        <f>MOD(ROW()-2,Settings!$B$6)+1</f>
        <v>1</v>
      </c>
    </row>
    <row r="147" spans="1:10" x14ac:dyDescent="0.3">
      <c r="A147" t="str">
        <f>IF(OR(INDEX(Matches!$I$2:$I$25,I147-1)="",INDEX(Matches!$J$2:$J$25,I147-1)=""),"",IF(J147&lt;=INDEX(Matches!$I$2:$I$25,I147-1)+INDEX(Matches!$J$2:$J$25,I147-1),INDEX(Matches!$A$2:$A$25,I147-1),""))</f>
        <v/>
      </c>
      <c r="B147" t="str">
        <f>IF(A147="","",IF(J147&lt;=INDEX(Matches!$I$2:$I$25,I147-1),INDEX(Matches!$G$2:$G$25,I147-1),INDEX(Matches!$H$2:$H$25,I147-1)))</f>
        <v/>
      </c>
      <c r="C147" t="str">
        <f>IF(A147="","",COUNTIFS($A$2:A147,A147,$B$2:B147,B147))</f>
        <v/>
      </c>
      <c r="D147" s="2" t="str">
        <f t="shared" si="6"/>
        <v/>
      </c>
      <c r="E147" s="2"/>
      <c r="F147" t="str">
        <f t="shared" si="7"/>
        <v/>
      </c>
      <c r="G147" t="str">
        <f t="shared" si="8"/>
        <v/>
      </c>
      <c r="H147" t="str">
        <f>IF(F147="","",VLOOKUP(F147,Validation!$A$2:$B$17,2,FALSE))</f>
        <v/>
      </c>
      <c r="I147">
        <f>INT((ROW()-2)/Settings!$B$6)+2</f>
        <v>14</v>
      </c>
      <c r="J147">
        <f>MOD(ROW()-2,Settings!$B$6)+1</f>
        <v>2</v>
      </c>
    </row>
    <row r="148" spans="1:10" x14ac:dyDescent="0.3">
      <c r="A148" t="str">
        <f>IF(OR(INDEX(Matches!$I$2:$I$25,I148-1)="",INDEX(Matches!$J$2:$J$25,I148-1)=""),"",IF(J148&lt;=INDEX(Matches!$I$2:$I$25,I148-1)+INDEX(Matches!$J$2:$J$25,I148-1),INDEX(Matches!$A$2:$A$25,I148-1),""))</f>
        <v/>
      </c>
      <c r="B148" t="str">
        <f>IF(A148="","",IF(J148&lt;=INDEX(Matches!$I$2:$I$25,I148-1),INDEX(Matches!$G$2:$G$25,I148-1),INDEX(Matches!$H$2:$H$25,I148-1)))</f>
        <v/>
      </c>
      <c r="C148" t="str">
        <f>IF(A148="","",COUNTIFS($A$2:A148,A148,$B$2:B148,B148))</f>
        <v/>
      </c>
      <c r="D148" s="2" t="str">
        <f t="shared" si="6"/>
        <v/>
      </c>
      <c r="E148" s="2"/>
      <c r="F148" t="str">
        <f t="shared" si="7"/>
        <v/>
      </c>
      <c r="G148" t="str">
        <f t="shared" si="8"/>
        <v/>
      </c>
      <c r="H148" t="str">
        <f>IF(F148="","",VLOOKUP(F148,Validation!$A$2:$B$17,2,FALSE))</f>
        <v/>
      </c>
      <c r="I148">
        <f>INT((ROW()-2)/Settings!$B$6)+2</f>
        <v>14</v>
      </c>
      <c r="J148">
        <f>MOD(ROW()-2,Settings!$B$6)+1</f>
        <v>3</v>
      </c>
    </row>
    <row r="149" spans="1:10" x14ac:dyDescent="0.3">
      <c r="A149" t="str">
        <f>IF(OR(INDEX(Matches!$I$2:$I$25,I149-1)="",INDEX(Matches!$J$2:$J$25,I149-1)=""),"",IF(J149&lt;=INDEX(Matches!$I$2:$I$25,I149-1)+INDEX(Matches!$J$2:$J$25,I149-1),INDEX(Matches!$A$2:$A$25,I149-1),""))</f>
        <v/>
      </c>
      <c r="B149" t="str">
        <f>IF(A149="","",IF(J149&lt;=INDEX(Matches!$I$2:$I$25,I149-1),INDEX(Matches!$G$2:$G$25,I149-1),INDEX(Matches!$H$2:$H$25,I149-1)))</f>
        <v/>
      </c>
      <c r="C149" t="str">
        <f>IF(A149="","",COUNTIFS($A$2:A149,A149,$B$2:B149,B149))</f>
        <v/>
      </c>
      <c r="D149" s="2" t="str">
        <f t="shared" si="6"/>
        <v/>
      </c>
      <c r="E149" s="2"/>
      <c r="F149" t="str">
        <f t="shared" si="7"/>
        <v/>
      </c>
      <c r="G149" t="str">
        <f t="shared" si="8"/>
        <v/>
      </c>
      <c r="H149" t="str">
        <f>IF(F149="","",VLOOKUP(F149,Validation!$A$2:$B$17,2,FALSE))</f>
        <v/>
      </c>
      <c r="I149">
        <f>INT((ROW()-2)/Settings!$B$6)+2</f>
        <v>14</v>
      </c>
      <c r="J149">
        <f>MOD(ROW()-2,Settings!$B$6)+1</f>
        <v>4</v>
      </c>
    </row>
    <row r="150" spans="1:10" x14ac:dyDescent="0.3">
      <c r="A150" t="str">
        <f>IF(OR(INDEX(Matches!$I$2:$I$25,I150-1)="",INDEX(Matches!$J$2:$J$25,I150-1)=""),"",IF(J150&lt;=INDEX(Matches!$I$2:$I$25,I150-1)+INDEX(Matches!$J$2:$J$25,I150-1),INDEX(Matches!$A$2:$A$25,I150-1),""))</f>
        <v/>
      </c>
      <c r="B150" t="str">
        <f>IF(A150="","",IF(J150&lt;=INDEX(Matches!$I$2:$I$25,I150-1),INDEX(Matches!$G$2:$G$25,I150-1),INDEX(Matches!$H$2:$H$25,I150-1)))</f>
        <v/>
      </c>
      <c r="C150" t="str">
        <f>IF(A150="","",COUNTIFS($A$2:A150,A150,$B$2:B150,B150))</f>
        <v/>
      </c>
      <c r="D150" s="2" t="str">
        <f t="shared" si="6"/>
        <v/>
      </c>
      <c r="E150" s="2"/>
      <c r="F150" t="str">
        <f t="shared" si="7"/>
        <v/>
      </c>
      <c r="G150" t="str">
        <f t="shared" si="8"/>
        <v/>
      </c>
      <c r="H150" t="str">
        <f>IF(F150="","",VLOOKUP(F150,Validation!$A$2:$B$17,2,FALSE))</f>
        <v/>
      </c>
      <c r="I150">
        <f>INT((ROW()-2)/Settings!$B$6)+2</f>
        <v>14</v>
      </c>
      <c r="J150">
        <f>MOD(ROW()-2,Settings!$B$6)+1</f>
        <v>5</v>
      </c>
    </row>
    <row r="151" spans="1:10" x14ac:dyDescent="0.3">
      <c r="A151" t="str">
        <f>IF(OR(INDEX(Matches!$I$2:$I$25,I151-1)="",INDEX(Matches!$J$2:$J$25,I151-1)=""),"",IF(J151&lt;=INDEX(Matches!$I$2:$I$25,I151-1)+INDEX(Matches!$J$2:$J$25,I151-1),INDEX(Matches!$A$2:$A$25,I151-1),""))</f>
        <v/>
      </c>
      <c r="B151" t="str">
        <f>IF(A151="","",IF(J151&lt;=INDEX(Matches!$I$2:$I$25,I151-1),INDEX(Matches!$G$2:$G$25,I151-1),INDEX(Matches!$H$2:$H$25,I151-1)))</f>
        <v/>
      </c>
      <c r="C151" t="str">
        <f>IF(A151="","",COUNTIFS($A$2:A151,A151,$B$2:B151,B151))</f>
        <v/>
      </c>
      <c r="D151" s="2" t="str">
        <f t="shared" si="6"/>
        <v/>
      </c>
      <c r="E151" s="2"/>
      <c r="F151" t="str">
        <f t="shared" si="7"/>
        <v/>
      </c>
      <c r="G151" t="str">
        <f t="shared" si="8"/>
        <v/>
      </c>
      <c r="H151" t="str">
        <f>IF(F151="","",VLOOKUP(F151,Validation!$A$2:$B$17,2,FALSE))</f>
        <v/>
      </c>
      <c r="I151">
        <f>INT((ROW()-2)/Settings!$B$6)+2</f>
        <v>14</v>
      </c>
      <c r="J151">
        <f>MOD(ROW()-2,Settings!$B$6)+1</f>
        <v>6</v>
      </c>
    </row>
    <row r="152" spans="1:10" x14ac:dyDescent="0.3">
      <c r="A152" t="str">
        <f>IF(OR(INDEX(Matches!$I$2:$I$25,I152-1)="",INDEX(Matches!$J$2:$J$25,I152-1)=""),"",IF(J152&lt;=INDEX(Matches!$I$2:$I$25,I152-1)+INDEX(Matches!$J$2:$J$25,I152-1),INDEX(Matches!$A$2:$A$25,I152-1),""))</f>
        <v/>
      </c>
      <c r="B152" t="str">
        <f>IF(A152="","",IF(J152&lt;=INDEX(Matches!$I$2:$I$25,I152-1),INDEX(Matches!$G$2:$G$25,I152-1),INDEX(Matches!$H$2:$H$25,I152-1)))</f>
        <v/>
      </c>
      <c r="C152" t="str">
        <f>IF(A152="","",COUNTIFS($A$2:A152,A152,$B$2:B152,B152))</f>
        <v/>
      </c>
      <c r="D152" s="2" t="str">
        <f t="shared" si="6"/>
        <v/>
      </c>
      <c r="E152" s="2"/>
      <c r="F152" t="str">
        <f t="shared" si="7"/>
        <v/>
      </c>
      <c r="G152" t="str">
        <f t="shared" si="8"/>
        <v/>
      </c>
      <c r="H152" t="str">
        <f>IF(F152="","",VLOOKUP(F152,Validation!$A$2:$B$17,2,FALSE))</f>
        <v/>
      </c>
      <c r="I152">
        <f>INT((ROW()-2)/Settings!$B$6)+2</f>
        <v>14</v>
      </c>
      <c r="J152">
        <f>MOD(ROW()-2,Settings!$B$6)+1</f>
        <v>7</v>
      </c>
    </row>
    <row r="153" spans="1:10" x14ac:dyDescent="0.3">
      <c r="A153" t="str">
        <f>IF(OR(INDEX(Matches!$I$2:$I$25,I153-1)="",INDEX(Matches!$J$2:$J$25,I153-1)=""),"",IF(J153&lt;=INDEX(Matches!$I$2:$I$25,I153-1)+INDEX(Matches!$J$2:$J$25,I153-1),INDEX(Matches!$A$2:$A$25,I153-1),""))</f>
        <v/>
      </c>
      <c r="B153" t="str">
        <f>IF(A153="","",IF(J153&lt;=INDEX(Matches!$I$2:$I$25,I153-1),INDEX(Matches!$G$2:$G$25,I153-1),INDEX(Matches!$H$2:$H$25,I153-1)))</f>
        <v/>
      </c>
      <c r="C153" t="str">
        <f>IF(A153="","",COUNTIFS($A$2:A153,A153,$B$2:B153,B153))</f>
        <v/>
      </c>
      <c r="D153" s="2" t="str">
        <f t="shared" si="6"/>
        <v/>
      </c>
      <c r="E153" s="2"/>
      <c r="F153" t="str">
        <f t="shared" si="7"/>
        <v/>
      </c>
      <c r="G153" t="str">
        <f t="shared" si="8"/>
        <v/>
      </c>
      <c r="H153" t="str">
        <f>IF(F153="","",VLOOKUP(F153,Validation!$A$2:$B$17,2,FALSE))</f>
        <v/>
      </c>
      <c r="I153">
        <f>INT((ROW()-2)/Settings!$B$6)+2</f>
        <v>14</v>
      </c>
      <c r="J153">
        <f>MOD(ROW()-2,Settings!$B$6)+1</f>
        <v>8</v>
      </c>
    </row>
    <row r="154" spans="1:10" x14ac:dyDescent="0.3">
      <c r="A154" t="str">
        <f>IF(OR(INDEX(Matches!$I$2:$I$25,I154-1)="",INDEX(Matches!$J$2:$J$25,I154-1)=""),"",IF(J154&lt;=INDEX(Matches!$I$2:$I$25,I154-1)+INDEX(Matches!$J$2:$J$25,I154-1),INDEX(Matches!$A$2:$A$25,I154-1),""))</f>
        <v/>
      </c>
      <c r="B154" t="str">
        <f>IF(A154="","",IF(J154&lt;=INDEX(Matches!$I$2:$I$25,I154-1),INDEX(Matches!$G$2:$G$25,I154-1),INDEX(Matches!$H$2:$H$25,I154-1)))</f>
        <v/>
      </c>
      <c r="C154" t="str">
        <f>IF(A154="","",COUNTIFS($A$2:A154,A154,$B$2:B154,B154))</f>
        <v/>
      </c>
      <c r="D154" s="2" t="str">
        <f t="shared" si="6"/>
        <v/>
      </c>
      <c r="E154" s="2"/>
      <c r="F154" t="str">
        <f t="shared" si="7"/>
        <v/>
      </c>
      <c r="G154" t="str">
        <f t="shared" si="8"/>
        <v/>
      </c>
      <c r="H154" t="str">
        <f>IF(F154="","",VLOOKUP(F154,Validation!$A$2:$B$17,2,FALSE))</f>
        <v/>
      </c>
      <c r="I154">
        <f>INT((ROW()-2)/Settings!$B$6)+2</f>
        <v>14</v>
      </c>
      <c r="J154">
        <f>MOD(ROW()-2,Settings!$B$6)+1</f>
        <v>9</v>
      </c>
    </row>
    <row r="155" spans="1:10" x14ac:dyDescent="0.3">
      <c r="A155" t="str">
        <f>IF(OR(INDEX(Matches!$I$2:$I$25,I155-1)="",INDEX(Matches!$J$2:$J$25,I155-1)=""),"",IF(J155&lt;=INDEX(Matches!$I$2:$I$25,I155-1)+INDEX(Matches!$J$2:$J$25,I155-1),INDEX(Matches!$A$2:$A$25,I155-1),""))</f>
        <v/>
      </c>
      <c r="B155" t="str">
        <f>IF(A155="","",IF(J155&lt;=INDEX(Matches!$I$2:$I$25,I155-1),INDEX(Matches!$G$2:$G$25,I155-1),INDEX(Matches!$H$2:$H$25,I155-1)))</f>
        <v/>
      </c>
      <c r="C155" t="str">
        <f>IF(A155="","",COUNTIFS($A$2:A155,A155,$B$2:B155,B155))</f>
        <v/>
      </c>
      <c r="D155" s="2" t="str">
        <f t="shared" si="6"/>
        <v/>
      </c>
      <c r="E155" s="2"/>
      <c r="F155" t="str">
        <f t="shared" si="7"/>
        <v/>
      </c>
      <c r="G155" t="str">
        <f t="shared" si="8"/>
        <v/>
      </c>
      <c r="H155" t="str">
        <f>IF(F155="","",VLOOKUP(F155,Validation!$A$2:$B$17,2,FALSE))</f>
        <v/>
      </c>
      <c r="I155">
        <f>INT((ROW()-2)/Settings!$B$6)+2</f>
        <v>14</v>
      </c>
      <c r="J155">
        <f>MOD(ROW()-2,Settings!$B$6)+1</f>
        <v>10</v>
      </c>
    </row>
    <row r="156" spans="1:10" x14ac:dyDescent="0.3">
      <c r="A156" t="str">
        <f>IF(OR(INDEX(Matches!$I$2:$I$25,I156-1)="",INDEX(Matches!$J$2:$J$25,I156-1)=""),"",IF(J156&lt;=INDEX(Matches!$I$2:$I$25,I156-1)+INDEX(Matches!$J$2:$J$25,I156-1),INDEX(Matches!$A$2:$A$25,I156-1),""))</f>
        <v/>
      </c>
      <c r="B156" t="str">
        <f>IF(A156="","",IF(J156&lt;=INDEX(Matches!$I$2:$I$25,I156-1),INDEX(Matches!$G$2:$G$25,I156-1),INDEX(Matches!$H$2:$H$25,I156-1)))</f>
        <v/>
      </c>
      <c r="C156" t="str">
        <f>IF(A156="","",COUNTIFS($A$2:A156,A156,$B$2:B156,B156))</f>
        <v/>
      </c>
      <c r="D156" s="2" t="str">
        <f t="shared" si="6"/>
        <v/>
      </c>
      <c r="E156" s="2"/>
      <c r="F156" t="str">
        <f t="shared" si="7"/>
        <v/>
      </c>
      <c r="G156" t="str">
        <f t="shared" si="8"/>
        <v/>
      </c>
      <c r="H156" t="str">
        <f>IF(F156="","",VLOOKUP(F156,Validation!$A$2:$B$17,2,FALSE))</f>
        <v/>
      </c>
      <c r="I156">
        <f>INT((ROW()-2)/Settings!$B$6)+2</f>
        <v>14</v>
      </c>
      <c r="J156">
        <f>MOD(ROW()-2,Settings!$B$6)+1</f>
        <v>11</v>
      </c>
    </row>
    <row r="157" spans="1:10" x14ac:dyDescent="0.3">
      <c r="A157" t="str">
        <f>IF(OR(INDEX(Matches!$I$2:$I$25,I157-1)="",INDEX(Matches!$J$2:$J$25,I157-1)=""),"",IF(J157&lt;=INDEX(Matches!$I$2:$I$25,I157-1)+INDEX(Matches!$J$2:$J$25,I157-1),INDEX(Matches!$A$2:$A$25,I157-1),""))</f>
        <v/>
      </c>
      <c r="B157" t="str">
        <f>IF(A157="","",IF(J157&lt;=INDEX(Matches!$I$2:$I$25,I157-1),INDEX(Matches!$G$2:$G$25,I157-1),INDEX(Matches!$H$2:$H$25,I157-1)))</f>
        <v/>
      </c>
      <c r="C157" t="str">
        <f>IF(A157="","",COUNTIFS($A$2:A157,A157,$B$2:B157,B157))</f>
        <v/>
      </c>
      <c r="D157" s="2" t="str">
        <f t="shared" si="6"/>
        <v/>
      </c>
      <c r="E157" s="2"/>
      <c r="F157" t="str">
        <f t="shared" si="7"/>
        <v/>
      </c>
      <c r="G157" t="str">
        <f t="shared" si="8"/>
        <v/>
      </c>
      <c r="H157" t="str">
        <f>IF(F157="","",VLOOKUP(F157,Validation!$A$2:$B$17,2,FALSE))</f>
        <v/>
      </c>
      <c r="I157">
        <f>INT((ROW()-2)/Settings!$B$6)+2</f>
        <v>14</v>
      </c>
      <c r="J157">
        <f>MOD(ROW()-2,Settings!$B$6)+1</f>
        <v>12</v>
      </c>
    </row>
    <row r="158" spans="1:10" x14ac:dyDescent="0.3">
      <c r="A158" t="str">
        <f>IF(OR(INDEX(Matches!$I$2:$I$25,I158-1)="",INDEX(Matches!$J$2:$J$25,I158-1)=""),"",IF(J158&lt;=INDEX(Matches!$I$2:$I$25,I158-1)+INDEX(Matches!$J$2:$J$25,I158-1),INDEX(Matches!$A$2:$A$25,I158-1),""))</f>
        <v/>
      </c>
      <c r="B158" t="str">
        <f>IF(A158="","",IF(J158&lt;=INDEX(Matches!$I$2:$I$25,I158-1),INDEX(Matches!$G$2:$G$25,I158-1),INDEX(Matches!$H$2:$H$25,I158-1)))</f>
        <v/>
      </c>
      <c r="C158" t="str">
        <f>IF(A158="","",COUNTIFS($A$2:A158,A158,$B$2:B158,B158))</f>
        <v/>
      </c>
      <c r="D158" s="2" t="str">
        <f t="shared" si="6"/>
        <v/>
      </c>
      <c r="E158" s="2"/>
      <c r="F158" t="str">
        <f t="shared" si="7"/>
        <v/>
      </c>
      <c r="G158" t="str">
        <f t="shared" si="8"/>
        <v/>
      </c>
      <c r="H158" t="str">
        <f>IF(F158="","",VLOOKUP(F158,Validation!$A$2:$B$17,2,FALSE))</f>
        <v/>
      </c>
      <c r="I158">
        <f>INT((ROW()-2)/Settings!$B$6)+2</f>
        <v>15</v>
      </c>
      <c r="J158">
        <f>MOD(ROW()-2,Settings!$B$6)+1</f>
        <v>1</v>
      </c>
    </row>
    <row r="159" spans="1:10" x14ac:dyDescent="0.3">
      <c r="A159" t="str">
        <f>IF(OR(INDEX(Matches!$I$2:$I$25,I159-1)="",INDEX(Matches!$J$2:$J$25,I159-1)=""),"",IF(J159&lt;=INDEX(Matches!$I$2:$I$25,I159-1)+INDEX(Matches!$J$2:$J$25,I159-1),INDEX(Matches!$A$2:$A$25,I159-1),""))</f>
        <v/>
      </c>
      <c r="B159" t="str">
        <f>IF(A159="","",IF(J159&lt;=INDEX(Matches!$I$2:$I$25,I159-1),INDEX(Matches!$G$2:$G$25,I159-1),INDEX(Matches!$H$2:$H$25,I159-1)))</f>
        <v/>
      </c>
      <c r="C159" t="str">
        <f>IF(A159="","",COUNTIFS($A$2:A159,A159,$B$2:B159,B159))</f>
        <v/>
      </c>
      <c r="D159" s="2" t="str">
        <f t="shared" si="6"/>
        <v/>
      </c>
      <c r="E159" s="2"/>
      <c r="F159" t="str">
        <f t="shared" si="7"/>
        <v/>
      </c>
      <c r="G159" t="str">
        <f t="shared" si="8"/>
        <v/>
      </c>
      <c r="H159" t="str">
        <f>IF(F159="","",VLOOKUP(F159,Validation!$A$2:$B$17,2,FALSE))</f>
        <v/>
      </c>
      <c r="I159">
        <f>INT((ROW()-2)/Settings!$B$6)+2</f>
        <v>15</v>
      </c>
      <c r="J159">
        <f>MOD(ROW()-2,Settings!$B$6)+1</f>
        <v>2</v>
      </c>
    </row>
    <row r="160" spans="1:10" x14ac:dyDescent="0.3">
      <c r="A160" t="str">
        <f>IF(OR(INDEX(Matches!$I$2:$I$25,I160-1)="",INDEX(Matches!$J$2:$J$25,I160-1)=""),"",IF(J160&lt;=INDEX(Matches!$I$2:$I$25,I160-1)+INDEX(Matches!$J$2:$J$25,I160-1),INDEX(Matches!$A$2:$A$25,I160-1),""))</f>
        <v/>
      </c>
      <c r="B160" t="str">
        <f>IF(A160="","",IF(J160&lt;=INDEX(Matches!$I$2:$I$25,I160-1),INDEX(Matches!$G$2:$G$25,I160-1),INDEX(Matches!$H$2:$H$25,I160-1)))</f>
        <v/>
      </c>
      <c r="C160" t="str">
        <f>IF(A160="","",COUNTIFS($A$2:A160,A160,$B$2:B160,B160))</f>
        <v/>
      </c>
      <c r="D160" s="2" t="str">
        <f t="shared" si="6"/>
        <v/>
      </c>
      <c r="E160" s="2"/>
      <c r="F160" t="str">
        <f t="shared" si="7"/>
        <v/>
      </c>
      <c r="G160" t="str">
        <f t="shared" si="8"/>
        <v/>
      </c>
      <c r="H160" t="str">
        <f>IF(F160="","",VLOOKUP(F160,Validation!$A$2:$B$17,2,FALSE))</f>
        <v/>
      </c>
      <c r="I160">
        <f>INT((ROW()-2)/Settings!$B$6)+2</f>
        <v>15</v>
      </c>
      <c r="J160">
        <f>MOD(ROW()-2,Settings!$B$6)+1</f>
        <v>3</v>
      </c>
    </row>
    <row r="161" spans="1:10" x14ac:dyDescent="0.3">
      <c r="A161" t="str">
        <f>IF(OR(INDEX(Matches!$I$2:$I$25,I161-1)="",INDEX(Matches!$J$2:$J$25,I161-1)=""),"",IF(J161&lt;=INDEX(Matches!$I$2:$I$25,I161-1)+INDEX(Matches!$J$2:$J$25,I161-1),INDEX(Matches!$A$2:$A$25,I161-1),""))</f>
        <v/>
      </c>
      <c r="B161" t="str">
        <f>IF(A161="","",IF(J161&lt;=INDEX(Matches!$I$2:$I$25,I161-1),INDEX(Matches!$G$2:$G$25,I161-1),INDEX(Matches!$H$2:$H$25,I161-1)))</f>
        <v/>
      </c>
      <c r="C161" t="str">
        <f>IF(A161="","",COUNTIFS($A$2:A161,A161,$B$2:B161,B161))</f>
        <v/>
      </c>
      <c r="D161" s="2" t="str">
        <f t="shared" si="6"/>
        <v/>
      </c>
      <c r="E161" s="2"/>
      <c r="F161" t="str">
        <f t="shared" si="7"/>
        <v/>
      </c>
      <c r="G161" t="str">
        <f t="shared" si="8"/>
        <v/>
      </c>
      <c r="H161" t="str">
        <f>IF(F161="","",VLOOKUP(F161,Validation!$A$2:$B$17,2,FALSE))</f>
        <v/>
      </c>
      <c r="I161">
        <f>INT((ROW()-2)/Settings!$B$6)+2</f>
        <v>15</v>
      </c>
      <c r="J161">
        <f>MOD(ROW()-2,Settings!$B$6)+1</f>
        <v>4</v>
      </c>
    </row>
    <row r="162" spans="1:10" x14ac:dyDescent="0.3">
      <c r="A162" t="str">
        <f>IF(OR(INDEX(Matches!$I$2:$I$25,I162-1)="",INDEX(Matches!$J$2:$J$25,I162-1)=""),"",IF(J162&lt;=INDEX(Matches!$I$2:$I$25,I162-1)+INDEX(Matches!$J$2:$J$25,I162-1),INDEX(Matches!$A$2:$A$25,I162-1),""))</f>
        <v/>
      </c>
      <c r="B162" t="str">
        <f>IF(A162="","",IF(J162&lt;=INDEX(Matches!$I$2:$I$25,I162-1),INDEX(Matches!$G$2:$G$25,I162-1),INDEX(Matches!$H$2:$H$25,I162-1)))</f>
        <v/>
      </c>
      <c r="C162" t="str">
        <f>IF(A162="","",COUNTIFS($A$2:A162,A162,$B$2:B162,B162))</f>
        <v/>
      </c>
      <c r="D162" s="2" t="str">
        <f t="shared" si="6"/>
        <v/>
      </c>
      <c r="E162" s="2"/>
      <c r="F162" t="str">
        <f t="shared" si="7"/>
        <v/>
      </c>
      <c r="G162" t="str">
        <f t="shared" si="8"/>
        <v/>
      </c>
      <c r="H162" t="str">
        <f>IF(F162="","",VLOOKUP(F162,Validation!$A$2:$B$17,2,FALSE))</f>
        <v/>
      </c>
      <c r="I162">
        <f>INT((ROW()-2)/Settings!$B$6)+2</f>
        <v>15</v>
      </c>
      <c r="J162">
        <f>MOD(ROW()-2,Settings!$B$6)+1</f>
        <v>5</v>
      </c>
    </row>
    <row r="163" spans="1:10" x14ac:dyDescent="0.3">
      <c r="A163" t="str">
        <f>IF(OR(INDEX(Matches!$I$2:$I$25,I163-1)="",INDEX(Matches!$J$2:$J$25,I163-1)=""),"",IF(J163&lt;=INDEX(Matches!$I$2:$I$25,I163-1)+INDEX(Matches!$J$2:$J$25,I163-1),INDEX(Matches!$A$2:$A$25,I163-1),""))</f>
        <v/>
      </c>
      <c r="B163" t="str">
        <f>IF(A163="","",IF(J163&lt;=INDEX(Matches!$I$2:$I$25,I163-1),INDEX(Matches!$G$2:$G$25,I163-1),INDEX(Matches!$H$2:$H$25,I163-1)))</f>
        <v/>
      </c>
      <c r="C163" t="str">
        <f>IF(A163="","",COUNTIFS($A$2:A163,A163,$B$2:B163,B163))</f>
        <v/>
      </c>
      <c r="D163" s="2" t="str">
        <f t="shared" si="6"/>
        <v/>
      </c>
      <c r="E163" s="2"/>
      <c r="F163" t="str">
        <f t="shared" si="7"/>
        <v/>
      </c>
      <c r="G163" t="str">
        <f t="shared" si="8"/>
        <v/>
      </c>
      <c r="H163" t="str">
        <f>IF(F163="","",VLOOKUP(F163,Validation!$A$2:$B$17,2,FALSE))</f>
        <v/>
      </c>
      <c r="I163">
        <f>INT((ROW()-2)/Settings!$B$6)+2</f>
        <v>15</v>
      </c>
      <c r="J163">
        <f>MOD(ROW()-2,Settings!$B$6)+1</f>
        <v>6</v>
      </c>
    </row>
    <row r="164" spans="1:10" x14ac:dyDescent="0.3">
      <c r="A164" t="str">
        <f>IF(OR(INDEX(Matches!$I$2:$I$25,I164-1)="",INDEX(Matches!$J$2:$J$25,I164-1)=""),"",IF(J164&lt;=INDEX(Matches!$I$2:$I$25,I164-1)+INDEX(Matches!$J$2:$J$25,I164-1),INDEX(Matches!$A$2:$A$25,I164-1),""))</f>
        <v/>
      </c>
      <c r="B164" t="str">
        <f>IF(A164="","",IF(J164&lt;=INDEX(Matches!$I$2:$I$25,I164-1),INDEX(Matches!$G$2:$G$25,I164-1),INDEX(Matches!$H$2:$H$25,I164-1)))</f>
        <v/>
      </c>
      <c r="C164" t="str">
        <f>IF(A164="","",COUNTIFS($A$2:A164,A164,$B$2:B164,B164))</f>
        <v/>
      </c>
      <c r="D164" s="2" t="str">
        <f t="shared" si="6"/>
        <v/>
      </c>
      <c r="E164" s="2"/>
      <c r="F164" t="str">
        <f t="shared" si="7"/>
        <v/>
      </c>
      <c r="G164" t="str">
        <f t="shared" si="8"/>
        <v/>
      </c>
      <c r="H164" t="str">
        <f>IF(F164="","",VLOOKUP(F164,Validation!$A$2:$B$17,2,FALSE))</f>
        <v/>
      </c>
      <c r="I164">
        <f>INT((ROW()-2)/Settings!$B$6)+2</f>
        <v>15</v>
      </c>
      <c r="J164">
        <f>MOD(ROW()-2,Settings!$B$6)+1</f>
        <v>7</v>
      </c>
    </row>
    <row r="165" spans="1:10" x14ac:dyDescent="0.3">
      <c r="A165" t="str">
        <f>IF(OR(INDEX(Matches!$I$2:$I$25,I165-1)="",INDEX(Matches!$J$2:$J$25,I165-1)=""),"",IF(J165&lt;=INDEX(Matches!$I$2:$I$25,I165-1)+INDEX(Matches!$J$2:$J$25,I165-1),INDEX(Matches!$A$2:$A$25,I165-1),""))</f>
        <v/>
      </c>
      <c r="B165" t="str">
        <f>IF(A165="","",IF(J165&lt;=INDEX(Matches!$I$2:$I$25,I165-1),INDEX(Matches!$G$2:$G$25,I165-1),INDEX(Matches!$H$2:$H$25,I165-1)))</f>
        <v/>
      </c>
      <c r="C165" t="str">
        <f>IF(A165="","",COUNTIFS($A$2:A165,A165,$B$2:B165,B165))</f>
        <v/>
      </c>
      <c r="D165" s="2" t="str">
        <f t="shared" si="6"/>
        <v/>
      </c>
      <c r="E165" s="2"/>
      <c r="F165" t="str">
        <f t="shared" si="7"/>
        <v/>
      </c>
      <c r="G165" t="str">
        <f t="shared" si="8"/>
        <v/>
      </c>
      <c r="H165" t="str">
        <f>IF(F165="","",VLOOKUP(F165,Validation!$A$2:$B$17,2,FALSE))</f>
        <v/>
      </c>
      <c r="I165">
        <f>INT((ROW()-2)/Settings!$B$6)+2</f>
        <v>15</v>
      </c>
      <c r="J165">
        <f>MOD(ROW()-2,Settings!$B$6)+1</f>
        <v>8</v>
      </c>
    </row>
    <row r="166" spans="1:10" x14ac:dyDescent="0.3">
      <c r="A166" t="str">
        <f>IF(OR(INDEX(Matches!$I$2:$I$25,I166-1)="",INDEX(Matches!$J$2:$J$25,I166-1)=""),"",IF(J166&lt;=INDEX(Matches!$I$2:$I$25,I166-1)+INDEX(Matches!$J$2:$J$25,I166-1),INDEX(Matches!$A$2:$A$25,I166-1),""))</f>
        <v/>
      </c>
      <c r="B166" t="str">
        <f>IF(A166="","",IF(J166&lt;=INDEX(Matches!$I$2:$I$25,I166-1),INDEX(Matches!$G$2:$G$25,I166-1),INDEX(Matches!$H$2:$H$25,I166-1)))</f>
        <v/>
      </c>
      <c r="C166" t="str">
        <f>IF(A166="","",COUNTIFS($A$2:A166,A166,$B$2:B166,B166))</f>
        <v/>
      </c>
      <c r="D166" s="2" t="str">
        <f t="shared" si="6"/>
        <v/>
      </c>
      <c r="E166" s="2"/>
      <c r="F166" t="str">
        <f t="shared" si="7"/>
        <v/>
      </c>
      <c r="G166" t="str">
        <f t="shared" si="8"/>
        <v/>
      </c>
      <c r="H166" t="str">
        <f>IF(F166="","",VLOOKUP(F166,Validation!$A$2:$B$17,2,FALSE))</f>
        <v/>
      </c>
      <c r="I166">
        <f>INT((ROW()-2)/Settings!$B$6)+2</f>
        <v>15</v>
      </c>
      <c r="J166">
        <f>MOD(ROW()-2,Settings!$B$6)+1</f>
        <v>9</v>
      </c>
    </row>
    <row r="167" spans="1:10" x14ac:dyDescent="0.3">
      <c r="A167" t="str">
        <f>IF(OR(INDEX(Matches!$I$2:$I$25,I167-1)="",INDEX(Matches!$J$2:$J$25,I167-1)=""),"",IF(J167&lt;=INDEX(Matches!$I$2:$I$25,I167-1)+INDEX(Matches!$J$2:$J$25,I167-1),INDEX(Matches!$A$2:$A$25,I167-1),""))</f>
        <v/>
      </c>
      <c r="B167" t="str">
        <f>IF(A167="","",IF(J167&lt;=INDEX(Matches!$I$2:$I$25,I167-1),INDEX(Matches!$G$2:$G$25,I167-1),INDEX(Matches!$H$2:$H$25,I167-1)))</f>
        <v/>
      </c>
      <c r="C167" t="str">
        <f>IF(A167="","",COUNTIFS($A$2:A167,A167,$B$2:B167,B167))</f>
        <v/>
      </c>
      <c r="D167" s="2" t="str">
        <f t="shared" si="6"/>
        <v/>
      </c>
      <c r="E167" s="2"/>
      <c r="F167" t="str">
        <f t="shared" si="7"/>
        <v/>
      </c>
      <c r="G167" t="str">
        <f t="shared" si="8"/>
        <v/>
      </c>
      <c r="H167" t="str">
        <f>IF(F167="","",VLOOKUP(F167,Validation!$A$2:$B$17,2,FALSE))</f>
        <v/>
      </c>
      <c r="I167">
        <f>INT((ROW()-2)/Settings!$B$6)+2</f>
        <v>15</v>
      </c>
      <c r="J167">
        <f>MOD(ROW()-2,Settings!$B$6)+1</f>
        <v>10</v>
      </c>
    </row>
    <row r="168" spans="1:10" x14ac:dyDescent="0.3">
      <c r="A168" t="str">
        <f>IF(OR(INDEX(Matches!$I$2:$I$25,I168-1)="",INDEX(Matches!$J$2:$J$25,I168-1)=""),"",IF(J168&lt;=INDEX(Matches!$I$2:$I$25,I168-1)+INDEX(Matches!$J$2:$J$25,I168-1),INDEX(Matches!$A$2:$A$25,I168-1),""))</f>
        <v/>
      </c>
      <c r="B168" t="str">
        <f>IF(A168="","",IF(J168&lt;=INDEX(Matches!$I$2:$I$25,I168-1),INDEX(Matches!$G$2:$G$25,I168-1),INDEX(Matches!$H$2:$H$25,I168-1)))</f>
        <v/>
      </c>
      <c r="C168" t="str">
        <f>IF(A168="","",COUNTIFS($A$2:A168,A168,$B$2:B168,B168))</f>
        <v/>
      </c>
      <c r="D168" s="2" t="str">
        <f t="shared" si="6"/>
        <v/>
      </c>
      <c r="E168" s="2"/>
      <c r="F168" t="str">
        <f t="shared" si="7"/>
        <v/>
      </c>
      <c r="G168" t="str">
        <f t="shared" si="8"/>
        <v/>
      </c>
      <c r="H168" t="str">
        <f>IF(F168="","",VLOOKUP(F168,Validation!$A$2:$B$17,2,FALSE))</f>
        <v/>
      </c>
      <c r="I168">
        <f>INT((ROW()-2)/Settings!$B$6)+2</f>
        <v>15</v>
      </c>
      <c r="J168">
        <f>MOD(ROW()-2,Settings!$B$6)+1</f>
        <v>11</v>
      </c>
    </row>
    <row r="169" spans="1:10" x14ac:dyDescent="0.3">
      <c r="A169" t="str">
        <f>IF(OR(INDEX(Matches!$I$2:$I$25,I169-1)="",INDEX(Matches!$J$2:$J$25,I169-1)=""),"",IF(J169&lt;=INDEX(Matches!$I$2:$I$25,I169-1)+INDEX(Matches!$J$2:$J$25,I169-1),INDEX(Matches!$A$2:$A$25,I169-1),""))</f>
        <v/>
      </c>
      <c r="B169" t="str">
        <f>IF(A169="","",IF(J169&lt;=INDEX(Matches!$I$2:$I$25,I169-1),INDEX(Matches!$G$2:$G$25,I169-1),INDEX(Matches!$H$2:$H$25,I169-1)))</f>
        <v/>
      </c>
      <c r="C169" t="str">
        <f>IF(A169="","",COUNTIFS($A$2:A169,A169,$B$2:B169,B169))</f>
        <v/>
      </c>
      <c r="D169" s="2" t="str">
        <f t="shared" si="6"/>
        <v/>
      </c>
      <c r="E169" s="2"/>
      <c r="F169" t="str">
        <f t="shared" si="7"/>
        <v/>
      </c>
      <c r="G169" t="str">
        <f t="shared" si="8"/>
        <v/>
      </c>
      <c r="H169" t="str">
        <f>IF(F169="","",VLOOKUP(F169,Validation!$A$2:$B$17,2,FALSE))</f>
        <v/>
      </c>
      <c r="I169">
        <f>INT((ROW()-2)/Settings!$B$6)+2</f>
        <v>15</v>
      </c>
      <c r="J169">
        <f>MOD(ROW()-2,Settings!$B$6)+1</f>
        <v>12</v>
      </c>
    </row>
    <row r="170" spans="1:10" x14ac:dyDescent="0.3">
      <c r="A170" t="str">
        <f>IF(OR(INDEX(Matches!$I$2:$I$25,I170-1)="",INDEX(Matches!$J$2:$J$25,I170-1)=""),"",IF(J170&lt;=INDEX(Matches!$I$2:$I$25,I170-1)+INDEX(Matches!$J$2:$J$25,I170-1),INDEX(Matches!$A$2:$A$25,I170-1),""))</f>
        <v/>
      </c>
      <c r="B170" t="str">
        <f>IF(A170="","",IF(J170&lt;=INDEX(Matches!$I$2:$I$25,I170-1),INDEX(Matches!$G$2:$G$25,I170-1),INDEX(Matches!$H$2:$H$25,I170-1)))</f>
        <v/>
      </c>
      <c r="C170" t="str">
        <f>IF(A170="","",COUNTIFS($A$2:A170,A170,$B$2:B170,B170))</f>
        <v/>
      </c>
      <c r="D170" s="2" t="str">
        <f t="shared" si="6"/>
        <v/>
      </c>
      <c r="E170" s="2"/>
      <c r="F170" t="str">
        <f t="shared" si="7"/>
        <v/>
      </c>
      <c r="G170" t="str">
        <f t="shared" si="8"/>
        <v/>
      </c>
      <c r="H170" t="str">
        <f>IF(F170="","",VLOOKUP(F170,Validation!$A$2:$B$17,2,FALSE))</f>
        <v/>
      </c>
      <c r="I170">
        <f>INT((ROW()-2)/Settings!$B$6)+2</f>
        <v>16</v>
      </c>
      <c r="J170">
        <f>MOD(ROW()-2,Settings!$B$6)+1</f>
        <v>1</v>
      </c>
    </row>
    <row r="171" spans="1:10" x14ac:dyDescent="0.3">
      <c r="A171" t="str">
        <f>IF(OR(INDEX(Matches!$I$2:$I$25,I171-1)="",INDEX(Matches!$J$2:$J$25,I171-1)=""),"",IF(J171&lt;=INDEX(Matches!$I$2:$I$25,I171-1)+INDEX(Matches!$J$2:$J$25,I171-1),INDEX(Matches!$A$2:$A$25,I171-1),""))</f>
        <v/>
      </c>
      <c r="B171" t="str">
        <f>IF(A171="","",IF(J171&lt;=INDEX(Matches!$I$2:$I$25,I171-1),INDEX(Matches!$G$2:$G$25,I171-1),INDEX(Matches!$H$2:$H$25,I171-1)))</f>
        <v/>
      </c>
      <c r="C171" t="str">
        <f>IF(A171="","",COUNTIFS($A$2:A171,A171,$B$2:B171,B171))</f>
        <v/>
      </c>
      <c r="D171" s="2" t="str">
        <f t="shared" si="6"/>
        <v/>
      </c>
      <c r="E171" s="2"/>
      <c r="F171" t="str">
        <f t="shared" si="7"/>
        <v/>
      </c>
      <c r="G171" t="str">
        <f t="shared" si="8"/>
        <v/>
      </c>
      <c r="H171" t="str">
        <f>IF(F171="","",VLOOKUP(F171,Validation!$A$2:$B$17,2,FALSE))</f>
        <v/>
      </c>
      <c r="I171">
        <f>INT((ROW()-2)/Settings!$B$6)+2</f>
        <v>16</v>
      </c>
      <c r="J171">
        <f>MOD(ROW()-2,Settings!$B$6)+1</f>
        <v>2</v>
      </c>
    </row>
    <row r="172" spans="1:10" x14ac:dyDescent="0.3">
      <c r="A172" t="str">
        <f>IF(OR(INDEX(Matches!$I$2:$I$25,I172-1)="",INDEX(Matches!$J$2:$J$25,I172-1)=""),"",IF(J172&lt;=INDEX(Matches!$I$2:$I$25,I172-1)+INDEX(Matches!$J$2:$J$25,I172-1),INDEX(Matches!$A$2:$A$25,I172-1),""))</f>
        <v/>
      </c>
      <c r="B172" t="str">
        <f>IF(A172="","",IF(J172&lt;=INDEX(Matches!$I$2:$I$25,I172-1),INDEX(Matches!$G$2:$G$25,I172-1),INDEX(Matches!$H$2:$H$25,I172-1)))</f>
        <v/>
      </c>
      <c r="C172" t="str">
        <f>IF(A172="","",COUNTIFS($A$2:A172,A172,$B$2:B172,B172))</f>
        <v/>
      </c>
      <c r="D172" s="2" t="str">
        <f t="shared" si="6"/>
        <v/>
      </c>
      <c r="E172" s="2"/>
      <c r="F172" t="str">
        <f t="shared" si="7"/>
        <v/>
      </c>
      <c r="G172" t="str">
        <f t="shared" si="8"/>
        <v/>
      </c>
      <c r="H172" t="str">
        <f>IF(F172="","",VLOOKUP(F172,Validation!$A$2:$B$17,2,FALSE))</f>
        <v/>
      </c>
      <c r="I172">
        <f>INT((ROW()-2)/Settings!$B$6)+2</f>
        <v>16</v>
      </c>
      <c r="J172">
        <f>MOD(ROW()-2,Settings!$B$6)+1</f>
        <v>3</v>
      </c>
    </row>
    <row r="173" spans="1:10" x14ac:dyDescent="0.3">
      <c r="A173" t="str">
        <f>IF(OR(INDEX(Matches!$I$2:$I$25,I173-1)="",INDEX(Matches!$J$2:$J$25,I173-1)=""),"",IF(J173&lt;=INDEX(Matches!$I$2:$I$25,I173-1)+INDEX(Matches!$J$2:$J$25,I173-1),INDEX(Matches!$A$2:$A$25,I173-1),""))</f>
        <v/>
      </c>
      <c r="B173" t="str">
        <f>IF(A173="","",IF(J173&lt;=INDEX(Matches!$I$2:$I$25,I173-1),INDEX(Matches!$G$2:$G$25,I173-1),INDEX(Matches!$H$2:$H$25,I173-1)))</f>
        <v/>
      </c>
      <c r="C173" t="str">
        <f>IF(A173="","",COUNTIFS($A$2:A173,A173,$B$2:B173,B173))</f>
        <v/>
      </c>
      <c r="D173" s="2" t="str">
        <f t="shared" si="6"/>
        <v/>
      </c>
      <c r="E173" s="2"/>
      <c r="F173" t="str">
        <f t="shared" si="7"/>
        <v/>
      </c>
      <c r="G173" t="str">
        <f t="shared" si="8"/>
        <v/>
      </c>
      <c r="H173" t="str">
        <f>IF(F173="","",VLOOKUP(F173,Validation!$A$2:$B$17,2,FALSE))</f>
        <v/>
      </c>
      <c r="I173">
        <f>INT((ROW()-2)/Settings!$B$6)+2</f>
        <v>16</v>
      </c>
      <c r="J173">
        <f>MOD(ROW()-2,Settings!$B$6)+1</f>
        <v>4</v>
      </c>
    </row>
    <row r="174" spans="1:10" x14ac:dyDescent="0.3">
      <c r="A174" t="str">
        <f>IF(OR(INDEX(Matches!$I$2:$I$25,I174-1)="",INDEX(Matches!$J$2:$J$25,I174-1)=""),"",IF(J174&lt;=INDEX(Matches!$I$2:$I$25,I174-1)+INDEX(Matches!$J$2:$J$25,I174-1),INDEX(Matches!$A$2:$A$25,I174-1),""))</f>
        <v/>
      </c>
      <c r="B174" t="str">
        <f>IF(A174="","",IF(J174&lt;=INDEX(Matches!$I$2:$I$25,I174-1),INDEX(Matches!$G$2:$G$25,I174-1),INDEX(Matches!$H$2:$H$25,I174-1)))</f>
        <v/>
      </c>
      <c r="C174" t="str">
        <f>IF(A174="","",COUNTIFS($A$2:A174,A174,$B$2:B174,B174))</f>
        <v/>
      </c>
      <c r="D174" s="2" t="str">
        <f t="shared" si="6"/>
        <v/>
      </c>
      <c r="E174" s="2"/>
      <c r="F174" t="str">
        <f t="shared" si="7"/>
        <v/>
      </c>
      <c r="G174" t="str">
        <f t="shared" si="8"/>
        <v/>
      </c>
      <c r="H174" t="str">
        <f>IF(F174="","",VLOOKUP(F174,Validation!$A$2:$B$17,2,FALSE))</f>
        <v/>
      </c>
      <c r="I174">
        <f>INT((ROW()-2)/Settings!$B$6)+2</f>
        <v>16</v>
      </c>
      <c r="J174">
        <f>MOD(ROW()-2,Settings!$B$6)+1</f>
        <v>5</v>
      </c>
    </row>
    <row r="175" spans="1:10" x14ac:dyDescent="0.3">
      <c r="A175" t="str">
        <f>IF(OR(INDEX(Matches!$I$2:$I$25,I175-1)="",INDEX(Matches!$J$2:$J$25,I175-1)=""),"",IF(J175&lt;=INDEX(Matches!$I$2:$I$25,I175-1)+INDEX(Matches!$J$2:$J$25,I175-1),INDEX(Matches!$A$2:$A$25,I175-1),""))</f>
        <v/>
      </c>
      <c r="B175" t="str">
        <f>IF(A175="","",IF(J175&lt;=INDEX(Matches!$I$2:$I$25,I175-1),INDEX(Matches!$G$2:$G$25,I175-1),INDEX(Matches!$H$2:$H$25,I175-1)))</f>
        <v/>
      </c>
      <c r="C175" t="str">
        <f>IF(A175="","",COUNTIFS($A$2:A175,A175,$B$2:B175,B175))</f>
        <v/>
      </c>
      <c r="D175" s="2" t="str">
        <f t="shared" si="6"/>
        <v/>
      </c>
      <c r="E175" s="2"/>
      <c r="F175" t="str">
        <f t="shared" si="7"/>
        <v/>
      </c>
      <c r="G175" t="str">
        <f t="shared" si="8"/>
        <v/>
      </c>
      <c r="H175" t="str">
        <f>IF(F175="","",VLOOKUP(F175,Validation!$A$2:$B$17,2,FALSE))</f>
        <v/>
      </c>
      <c r="I175">
        <f>INT((ROW()-2)/Settings!$B$6)+2</f>
        <v>16</v>
      </c>
      <c r="J175">
        <f>MOD(ROW()-2,Settings!$B$6)+1</f>
        <v>6</v>
      </c>
    </row>
    <row r="176" spans="1:10" x14ac:dyDescent="0.3">
      <c r="A176" t="str">
        <f>IF(OR(INDEX(Matches!$I$2:$I$25,I176-1)="",INDEX(Matches!$J$2:$J$25,I176-1)=""),"",IF(J176&lt;=INDEX(Matches!$I$2:$I$25,I176-1)+INDEX(Matches!$J$2:$J$25,I176-1),INDEX(Matches!$A$2:$A$25,I176-1),""))</f>
        <v/>
      </c>
      <c r="B176" t="str">
        <f>IF(A176="","",IF(J176&lt;=INDEX(Matches!$I$2:$I$25,I176-1),INDEX(Matches!$G$2:$G$25,I176-1),INDEX(Matches!$H$2:$H$25,I176-1)))</f>
        <v/>
      </c>
      <c r="C176" t="str">
        <f>IF(A176="","",COUNTIFS($A$2:A176,A176,$B$2:B176,B176))</f>
        <v/>
      </c>
      <c r="D176" s="2" t="str">
        <f t="shared" si="6"/>
        <v/>
      </c>
      <c r="E176" s="2"/>
      <c r="F176" t="str">
        <f t="shared" si="7"/>
        <v/>
      </c>
      <c r="G176" t="str">
        <f t="shared" si="8"/>
        <v/>
      </c>
      <c r="H176" t="str">
        <f>IF(F176="","",VLOOKUP(F176,Validation!$A$2:$B$17,2,FALSE))</f>
        <v/>
      </c>
      <c r="I176">
        <f>INT((ROW()-2)/Settings!$B$6)+2</f>
        <v>16</v>
      </c>
      <c r="J176">
        <f>MOD(ROW()-2,Settings!$B$6)+1</f>
        <v>7</v>
      </c>
    </row>
    <row r="177" spans="1:10" x14ac:dyDescent="0.3">
      <c r="A177" t="str">
        <f>IF(OR(INDEX(Matches!$I$2:$I$25,I177-1)="",INDEX(Matches!$J$2:$J$25,I177-1)=""),"",IF(J177&lt;=INDEX(Matches!$I$2:$I$25,I177-1)+INDEX(Matches!$J$2:$J$25,I177-1),INDEX(Matches!$A$2:$A$25,I177-1),""))</f>
        <v/>
      </c>
      <c r="B177" t="str">
        <f>IF(A177="","",IF(J177&lt;=INDEX(Matches!$I$2:$I$25,I177-1),INDEX(Matches!$G$2:$G$25,I177-1),INDEX(Matches!$H$2:$H$25,I177-1)))</f>
        <v/>
      </c>
      <c r="C177" t="str">
        <f>IF(A177="","",COUNTIFS($A$2:A177,A177,$B$2:B177,B177))</f>
        <v/>
      </c>
      <c r="D177" s="2" t="str">
        <f t="shared" si="6"/>
        <v/>
      </c>
      <c r="E177" s="2"/>
      <c r="F177" t="str">
        <f t="shared" si="7"/>
        <v/>
      </c>
      <c r="G177" t="str">
        <f t="shared" si="8"/>
        <v/>
      </c>
      <c r="H177" t="str">
        <f>IF(F177="","",VLOOKUP(F177,Validation!$A$2:$B$17,2,FALSE))</f>
        <v/>
      </c>
      <c r="I177">
        <f>INT((ROW()-2)/Settings!$B$6)+2</f>
        <v>16</v>
      </c>
      <c r="J177">
        <f>MOD(ROW()-2,Settings!$B$6)+1</f>
        <v>8</v>
      </c>
    </row>
    <row r="178" spans="1:10" x14ac:dyDescent="0.3">
      <c r="A178" t="str">
        <f>IF(OR(INDEX(Matches!$I$2:$I$25,I178-1)="",INDEX(Matches!$J$2:$J$25,I178-1)=""),"",IF(J178&lt;=INDEX(Matches!$I$2:$I$25,I178-1)+INDEX(Matches!$J$2:$J$25,I178-1),INDEX(Matches!$A$2:$A$25,I178-1),""))</f>
        <v/>
      </c>
      <c r="B178" t="str">
        <f>IF(A178="","",IF(J178&lt;=INDEX(Matches!$I$2:$I$25,I178-1),INDEX(Matches!$G$2:$G$25,I178-1),INDEX(Matches!$H$2:$H$25,I178-1)))</f>
        <v/>
      </c>
      <c r="C178" t="str">
        <f>IF(A178="","",COUNTIFS($A$2:A178,A178,$B$2:B178,B178))</f>
        <v/>
      </c>
      <c r="D178" s="2" t="str">
        <f t="shared" si="6"/>
        <v/>
      </c>
      <c r="E178" s="2"/>
      <c r="F178" t="str">
        <f t="shared" si="7"/>
        <v/>
      </c>
      <c r="G178" t="str">
        <f t="shared" si="8"/>
        <v/>
      </c>
      <c r="H178" t="str">
        <f>IF(F178="","",VLOOKUP(F178,Validation!$A$2:$B$17,2,FALSE))</f>
        <v/>
      </c>
      <c r="I178">
        <f>INT((ROW()-2)/Settings!$B$6)+2</f>
        <v>16</v>
      </c>
      <c r="J178">
        <f>MOD(ROW()-2,Settings!$B$6)+1</f>
        <v>9</v>
      </c>
    </row>
    <row r="179" spans="1:10" x14ac:dyDescent="0.3">
      <c r="A179" t="str">
        <f>IF(OR(INDEX(Matches!$I$2:$I$25,I179-1)="",INDEX(Matches!$J$2:$J$25,I179-1)=""),"",IF(J179&lt;=INDEX(Matches!$I$2:$I$25,I179-1)+INDEX(Matches!$J$2:$J$25,I179-1),INDEX(Matches!$A$2:$A$25,I179-1),""))</f>
        <v/>
      </c>
      <c r="B179" t="str">
        <f>IF(A179="","",IF(J179&lt;=INDEX(Matches!$I$2:$I$25,I179-1),INDEX(Matches!$G$2:$G$25,I179-1),INDEX(Matches!$H$2:$H$25,I179-1)))</f>
        <v/>
      </c>
      <c r="C179" t="str">
        <f>IF(A179="","",COUNTIFS($A$2:A179,A179,$B$2:B179,B179))</f>
        <v/>
      </c>
      <c r="D179" s="2" t="str">
        <f t="shared" si="6"/>
        <v/>
      </c>
      <c r="E179" s="2"/>
      <c r="F179" t="str">
        <f t="shared" si="7"/>
        <v/>
      </c>
      <c r="G179" t="str">
        <f t="shared" si="8"/>
        <v/>
      </c>
      <c r="H179" t="str">
        <f>IF(F179="","",VLOOKUP(F179,Validation!$A$2:$B$17,2,FALSE))</f>
        <v/>
      </c>
      <c r="I179">
        <f>INT((ROW()-2)/Settings!$B$6)+2</f>
        <v>16</v>
      </c>
      <c r="J179">
        <f>MOD(ROW()-2,Settings!$B$6)+1</f>
        <v>10</v>
      </c>
    </row>
    <row r="180" spans="1:10" x14ac:dyDescent="0.3">
      <c r="A180" t="str">
        <f>IF(OR(INDEX(Matches!$I$2:$I$25,I180-1)="",INDEX(Matches!$J$2:$J$25,I180-1)=""),"",IF(J180&lt;=INDEX(Matches!$I$2:$I$25,I180-1)+INDEX(Matches!$J$2:$J$25,I180-1),INDEX(Matches!$A$2:$A$25,I180-1),""))</f>
        <v/>
      </c>
      <c r="B180" t="str">
        <f>IF(A180="","",IF(J180&lt;=INDEX(Matches!$I$2:$I$25,I180-1),INDEX(Matches!$G$2:$G$25,I180-1),INDEX(Matches!$H$2:$H$25,I180-1)))</f>
        <v/>
      </c>
      <c r="C180" t="str">
        <f>IF(A180="","",COUNTIFS($A$2:A180,A180,$B$2:B180,B180))</f>
        <v/>
      </c>
      <c r="D180" s="2" t="str">
        <f t="shared" si="6"/>
        <v/>
      </c>
      <c r="E180" s="2"/>
      <c r="F180" t="str">
        <f t="shared" si="7"/>
        <v/>
      </c>
      <c r="G180" t="str">
        <f t="shared" si="8"/>
        <v/>
      </c>
      <c r="H180" t="str">
        <f>IF(F180="","",VLOOKUP(F180,Validation!$A$2:$B$17,2,FALSE))</f>
        <v/>
      </c>
      <c r="I180">
        <f>INT((ROW()-2)/Settings!$B$6)+2</f>
        <v>16</v>
      </c>
      <c r="J180">
        <f>MOD(ROW()-2,Settings!$B$6)+1</f>
        <v>11</v>
      </c>
    </row>
    <row r="181" spans="1:10" x14ac:dyDescent="0.3">
      <c r="A181" t="str">
        <f>IF(OR(INDEX(Matches!$I$2:$I$25,I181-1)="",INDEX(Matches!$J$2:$J$25,I181-1)=""),"",IF(J181&lt;=INDEX(Matches!$I$2:$I$25,I181-1)+INDEX(Matches!$J$2:$J$25,I181-1),INDEX(Matches!$A$2:$A$25,I181-1),""))</f>
        <v/>
      </c>
      <c r="B181" t="str">
        <f>IF(A181="","",IF(J181&lt;=INDEX(Matches!$I$2:$I$25,I181-1),INDEX(Matches!$G$2:$G$25,I181-1),INDEX(Matches!$H$2:$H$25,I181-1)))</f>
        <v/>
      </c>
      <c r="C181" t="str">
        <f>IF(A181="","",COUNTIFS($A$2:A181,A181,$B$2:B181,B181))</f>
        <v/>
      </c>
      <c r="D181" s="2" t="str">
        <f t="shared" si="6"/>
        <v/>
      </c>
      <c r="E181" s="2"/>
      <c r="F181" t="str">
        <f t="shared" si="7"/>
        <v/>
      </c>
      <c r="G181" t="str">
        <f t="shared" si="8"/>
        <v/>
      </c>
      <c r="H181" t="str">
        <f>IF(F181="","",VLOOKUP(F181,Validation!$A$2:$B$17,2,FALSE))</f>
        <v/>
      </c>
      <c r="I181">
        <f>INT((ROW()-2)/Settings!$B$6)+2</f>
        <v>16</v>
      </c>
      <c r="J181">
        <f>MOD(ROW()-2,Settings!$B$6)+1</f>
        <v>12</v>
      </c>
    </row>
    <row r="182" spans="1:10" x14ac:dyDescent="0.3">
      <c r="A182" t="str">
        <f>IF(OR(INDEX(Matches!$I$2:$I$25,I182-1)="",INDEX(Matches!$J$2:$J$25,I182-1)=""),"",IF(J182&lt;=INDEX(Matches!$I$2:$I$25,I182-1)+INDEX(Matches!$J$2:$J$25,I182-1),INDEX(Matches!$A$2:$A$25,I182-1),""))</f>
        <v/>
      </c>
      <c r="B182" t="str">
        <f>IF(A182="","",IF(J182&lt;=INDEX(Matches!$I$2:$I$25,I182-1),INDEX(Matches!$G$2:$G$25,I182-1),INDEX(Matches!$H$2:$H$25,I182-1)))</f>
        <v/>
      </c>
      <c r="C182" t="str">
        <f>IF(A182="","",COUNTIFS($A$2:A182,A182,$B$2:B182,B182))</f>
        <v/>
      </c>
      <c r="D182" s="2" t="str">
        <f t="shared" si="6"/>
        <v/>
      </c>
      <c r="E182" s="2"/>
      <c r="F182" t="str">
        <f t="shared" si="7"/>
        <v/>
      </c>
      <c r="G182" t="str">
        <f t="shared" si="8"/>
        <v/>
      </c>
      <c r="H182" t="str">
        <f>IF(F182="","",VLOOKUP(F182,Validation!$A$2:$B$17,2,FALSE))</f>
        <v/>
      </c>
      <c r="I182">
        <f>INT((ROW()-2)/Settings!$B$6)+2</f>
        <v>17</v>
      </c>
      <c r="J182">
        <f>MOD(ROW()-2,Settings!$B$6)+1</f>
        <v>1</v>
      </c>
    </row>
    <row r="183" spans="1:10" x14ac:dyDescent="0.3">
      <c r="A183" t="str">
        <f>IF(OR(INDEX(Matches!$I$2:$I$25,I183-1)="",INDEX(Matches!$J$2:$J$25,I183-1)=""),"",IF(J183&lt;=INDEX(Matches!$I$2:$I$25,I183-1)+INDEX(Matches!$J$2:$J$25,I183-1),INDEX(Matches!$A$2:$A$25,I183-1),""))</f>
        <v/>
      </c>
      <c r="B183" t="str">
        <f>IF(A183="","",IF(J183&lt;=INDEX(Matches!$I$2:$I$25,I183-1),INDEX(Matches!$G$2:$G$25,I183-1),INDEX(Matches!$H$2:$H$25,I183-1)))</f>
        <v/>
      </c>
      <c r="C183" t="str">
        <f>IF(A183="","",COUNTIFS($A$2:A183,A183,$B$2:B183,B183))</f>
        <v/>
      </c>
      <c r="D183" s="2" t="str">
        <f t="shared" si="6"/>
        <v/>
      </c>
      <c r="E183" s="2"/>
      <c r="F183" t="str">
        <f t="shared" si="7"/>
        <v/>
      </c>
      <c r="G183" t="str">
        <f t="shared" si="8"/>
        <v/>
      </c>
      <c r="H183" t="str">
        <f>IF(F183="","",VLOOKUP(F183,Validation!$A$2:$B$17,2,FALSE))</f>
        <v/>
      </c>
      <c r="I183">
        <f>INT((ROW()-2)/Settings!$B$6)+2</f>
        <v>17</v>
      </c>
      <c r="J183">
        <f>MOD(ROW()-2,Settings!$B$6)+1</f>
        <v>2</v>
      </c>
    </row>
    <row r="184" spans="1:10" x14ac:dyDescent="0.3">
      <c r="A184" t="str">
        <f>IF(OR(INDEX(Matches!$I$2:$I$25,I184-1)="",INDEX(Matches!$J$2:$J$25,I184-1)=""),"",IF(J184&lt;=INDEX(Matches!$I$2:$I$25,I184-1)+INDEX(Matches!$J$2:$J$25,I184-1),INDEX(Matches!$A$2:$A$25,I184-1),""))</f>
        <v/>
      </c>
      <c r="B184" t="str">
        <f>IF(A184="","",IF(J184&lt;=INDEX(Matches!$I$2:$I$25,I184-1),INDEX(Matches!$G$2:$G$25,I184-1),INDEX(Matches!$H$2:$H$25,I184-1)))</f>
        <v/>
      </c>
      <c r="C184" t="str">
        <f>IF(A184="","",COUNTIFS($A$2:A184,A184,$B$2:B184,B184))</f>
        <v/>
      </c>
      <c r="D184" s="2" t="str">
        <f t="shared" si="6"/>
        <v/>
      </c>
      <c r="E184" s="2"/>
      <c r="F184" t="str">
        <f t="shared" si="7"/>
        <v/>
      </c>
      <c r="G184" t="str">
        <f t="shared" si="8"/>
        <v/>
      </c>
      <c r="H184" t="str">
        <f>IF(F184="","",VLOOKUP(F184,Validation!$A$2:$B$17,2,FALSE))</f>
        <v/>
      </c>
      <c r="I184">
        <f>INT((ROW()-2)/Settings!$B$6)+2</f>
        <v>17</v>
      </c>
      <c r="J184">
        <f>MOD(ROW()-2,Settings!$B$6)+1</f>
        <v>3</v>
      </c>
    </row>
    <row r="185" spans="1:10" x14ac:dyDescent="0.3">
      <c r="A185" t="str">
        <f>IF(OR(INDEX(Matches!$I$2:$I$25,I185-1)="",INDEX(Matches!$J$2:$J$25,I185-1)=""),"",IF(J185&lt;=INDEX(Matches!$I$2:$I$25,I185-1)+INDEX(Matches!$J$2:$J$25,I185-1),INDEX(Matches!$A$2:$A$25,I185-1),""))</f>
        <v/>
      </c>
      <c r="B185" t="str">
        <f>IF(A185="","",IF(J185&lt;=INDEX(Matches!$I$2:$I$25,I185-1),INDEX(Matches!$G$2:$G$25,I185-1),INDEX(Matches!$H$2:$H$25,I185-1)))</f>
        <v/>
      </c>
      <c r="C185" t="str">
        <f>IF(A185="","",COUNTIFS($A$2:A185,A185,$B$2:B185,B185))</f>
        <v/>
      </c>
      <c r="D185" s="2" t="str">
        <f t="shared" si="6"/>
        <v/>
      </c>
      <c r="E185" s="2"/>
      <c r="F185" t="str">
        <f t="shared" si="7"/>
        <v/>
      </c>
      <c r="G185" t="str">
        <f t="shared" si="8"/>
        <v/>
      </c>
      <c r="H185" t="str">
        <f>IF(F185="","",VLOOKUP(F185,Validation!$A$2:$B$17,2,FALSE))</f>
        <v/>
      </c>
      <c r="I185">
        <f>INT((ROW()-2)/Settings!$B$6)+2</f>
        <v>17</v>
      </c>
      <c r="J185">
        <f>MOD(ROW()-2,Settings!$B$6)+1</f>
        <v>4</v>
      </c>
    </row>
    <row r="186" spans="1:10" x14ac:dyDescent="0.3">
      <c r="A186" t="str">
        <f>IF(OR(INDEX(Matches!$I$2:$I$25,I186-1)="",INDEX(Matches!$J$2:$J$25,I186-1)=""),"",IF(J186&lt;=INDEX(Matches!$I$2:$I$25,I186-1)+INDEX(Matches!$J$2:$J$25,I186-1),INDEX(Matches!$A$2:$A$25,I186-1),""))</f>
        <v/>
      </c>
      <c r="B186" t="str">
        <f>IF(A186="","",IF(J186&lt;=INDEX(Matches!$I$2:$I$25,I186-1),INDEX(Matches!$G$2:$G$25,I186-1),INDEX(Matches!$H$2:$H$25,I186-1)))</f>
        <v/>
      </c>
      <c r="C186" t="str">
        <f>IF(A186="","",COUNTIFS($A$2:A186,A186,$B$2:B186,B186))</f>
        <v/>
      </c>
      <c r="D186" s="2" t="str">
        <f t="shared" si="6"/>
        <v/>
      </c>
      <c r="E186" s="2"/>
      <c r="F186" t="str">
        <f t="shared" si="7"/>
        <v/>
      </c>
      <c r="G186" t="str">
        <f t="shared" si="8"/>
        <v/>
      </c>
      <c r="H186" t="str">
        <f>IF(F186="","",VLOOKUP(F186,Validation!$A$2:$B$17,2,FALSE))</f>
        <v/>
      </c>
      <c r="I186">
        <f>INT((ROW()-2)/Settings!$B$6)+2</f>
        <v>17</v>
      </c>
      <c r="J186">
        <f>MOD(ROW()-2,Settings!$B$6)+1</f>
        <v>5</v>
      </c>
    </row>
    <row r="187" spans="1:10" x14ac:dyDescent="0.3">
      <c r="A187" t="str">
        <f>IF(OR(INDEX(Matches!$I$2:$I$25,I187-1)="",INDEX(Matches!$J$2:$J$25,I187-1)=""),"",IF(J187&lt;=INDEX(Matches!$I$2:$I$25,I187-1)+INDEX(Matches!$J$2:$J$25,I187-1),INDEX(Matches!$A$2:$A$25,I187-1),""))</f>
        <v/>
      </c>
      <c r="B187" t="str">
        <f>IF(A187="","",IF(J187&lt;=INDEX(Matches!$I$2:$I$25,I187-1),INDEX(Matches!$G$2:$G$25,I187-1),INDEX(Matches!$H$2:$H$25,I187-1)))</f>
        <v/>
      </c>
      <c r="C187" t="str">
        <f>IF(A187="","",COUNTIFS($A$2:A187,A187,$B$2:B187,B187))</f>
        <v/>
      </c>
      <c r="D187" s="2" t="str">
        <f t="shared" si="6"/>
        <v/>
      </c>
      <c r="E187" s="2"/>
      <c r="F187" t="str">
        <f t="shared" si="7"/>
        <v/>
      </c>
      <c r="G187" t="str">
        <f t="shared" si="8"/>
        <v/>
      </c>
      <c r="H187" t="str">
        <f>IF(F187="","",VLOOKUP(F187,Validation!$A$2:$B$17,2,FALSE))</f>
        <v/>
      </c>
      <c r="I187">
        <f>INT((ROW()-2)/Settings!$B$6)+2</f>
        <v>17</v>
      </c>
      <c r="J187">
        <f>MOD(ROW()-2,Settings!$B$6)+1</f>
        <v>6</v>
      </c>
    </row>
    <row r="188" spans="1:10" x14ac:dyDescent="0.3">
      <c r="A188" t="str">
        <f>IF(OR(INDEX(Matches!$I$2:$I$25,I188-1)="",INDEX(Matches!$J$2:$J$25,I188-1)=""),"",IF(J188&lt;=INDEX(Matches!$I$2:$I$25,I188-1)+INDEX(Matches!$J$2:$J$25,I188-1),INDEX(Matches!$A$2:$A$25,I188-1),""))</f>
        <v/>
      </c>
      <c r="B188" t="str">
        <f>IF(A188="","",IF(J188&lt;=INDEX(Matches!$I$2:$I$25,I188-1),INDEX(Matches!$G$2:$G$25,I188-1),INDEX(Matches!$H$2:$H$25,I188-1)))</f>
        <v/>
      </c>
      <c r="C188" t="str">
        <f>IF(A188="","",COUNTIFS($A$2:A188,A188,$B$2:B188,B188))</f>
        <v/>
      </c>
      <c r="D188" s="2" t="str">
        <f t="shared" si="6"/>
        <v/>
      </c>
      <c r="E188" s="2"/>
      <c r="F188" t="str">
        <f t="shared" si="7"/>
        <v/>
      </c>
      <c r="G188" t="str">
        <f t="shared" si="8"/>
        <v/>
      </c>
      <c r="H188" t="str">
        <f>IF(F188="","",VLOOKUP(F188,Validation!$A$2:$B$17,2,FALSE))</f>
        <v/>
      </c>
      <c r="I188">
        <f>INT((ROW()-2)/Settings!$B$6)+2</f>
        <v>17</v>
      </c>
      <c r="J188">
        <f>MOD(ROW()-2,Settings!$B$6)+1</f>
        <v>7</v>
      </c>
    </row>
    <row r="189" spans="1:10" x14ac:dyDescent="0.3">
      <c r="A189" t="str">
        <f>IF(OR(INDEX(Matches!$I$2:$I$25,I189-1)="",INDEX(Matches!$J$2:$J$25,I189-1)=""),"",IF(J189&lt;=INDEX(Matches!$I$2:$I$25,I189-1)+INDEX(Matches!$J$2:$J$25,I189-1),INDEX(Matches!$A$2:$A$25,I189-1),""))</f>
        <v/>
      </c>
      <c r="B189" t="str">
        <f>IF(A189="","",IF(J189&lt;=INDEX(Matches!$I$2:$I$25,I189-1),INDEX(Matches!$G$2:$G$25,I189-1),INDEX(Matches!$H$2:$H$25,I189-1)))</f>
        <v/>
      </c>
      <c r="C189" t="str">
        <f>IF(A189="","",COUNTIFS($A$2:A189,A189,$B$2:B189,B189))</f>
        <v/>
      </c>
      <c r="D189" s="2" t="str">
        <f t="shared" si="6"/>
        <v/>
      </c>
      <c r="E189" s="2"/>
      <c r="F189" t="str">
        <f t="shared" si="7"/>
        <v/>
      </c>
      <c r="G189" t="str">
        <f t="shared" si="8"/>
        <v/>
      </c>
      <c r="H189" t="str">
        <f>IF(F189="","",VLOOKUP(F189,Validation!$A$2:$B$17,2,FALSE))</f>
        <v/>
      </c>
      <c r="I189">
        <f>INT((ROW()-2)/Settings!$B$6)+2</f>
        <v>17</v>
      </c>
      <c r="J189">
        <f>MOD(ROW()-2,Settings!$B$6)+1</f>
        <v>8</v>
      </c>
    </row>
    <row r="190" spans="1:10" x14ac:dyDescent="0.3">
      <c r="A190" t="str">
        <f>IF(OR(INDEX(Matches!$I$2:$I$25,I190-1)="",INDEX(Matches!$J$2:$J$25,I190-1)=""),"",IF(J190&lt;=INDEX(Matches!$I$2:$I$25,I190-1)+INDEX(Matches!$J$2:$J$25,I190-1),INDEX(Matches!$A$2:$A$25,I190-1),""))</f>
        <v/>
      </c>
      <c r="B190" t="str">
        <f>IF(A190="","",IF(J190&lt;=INDEX(Matches!$I$2:$I$25,I190-1),INDEX(Matches!$G$2:$G$25,I190-1),INDEX(Matches!$H$2:$H$25,I190-1)))</f>
        <v/>
      </c>
      <c r="C190" t="str">
        <f>IF(A190="","",COUNTIFS($A$2:A190,A190,$B$2:B190,B190))</f>
        <v/>
      </c>
      <c r="D190" s="2" t="str">
        <f t="shared" si="6"/>
        <v/>
      </c>
      <c r="E190" s="2"/>
      <c r="F190" t="str">
        <f t="shared" si="7"/>
        <v/>
      </c>
      <c r="G190" t="str">
        <f t="shared" si="8"/>
        <v/>
      </c>
      <c r="H190" t="str">
        <f>IF(F190="","",VLOOKUP(F190,Validation!$A$2:$B$17,2,FALSE))</f>
        <v/>
      </c>
      <c r="I190">
        <f>INT((ROW()-2)/Settings!$B$6)+2</f>
        <v>17</v>
      </c>
      <c r="J190">
        <f>MOD(ROW()-2,Settings!$B$6)+1</f>
        <v>9</v>
      </c>
    </row>
    <row r="191" spans="1:10" x14ac:dyDescent="0.3">
      <c r="A191" t="str">
        <f>IF(OR(INDEX(Matches!$I$2:$I$25,I191-1)="",INDEX(Matches!$J$2:$J$25,I191-1)=""),"",IF(J191&lt;=INDEX(Matches!$I$2:$I$25,I191-1)+INDEX(Matches!$J$2:$J$25,I191-1),INDEX(Matches!$A$2:$A$25,I191-1),""))</f>
        <v/>
      </c>
      <c r="B191" t="str">
        <f>IF(A191="","",IF(J191&lt;=INDEX(Matches!$I$2:$I$25,I191-1),INDEX(Matches!$G$2:$G$25,I191-1),INDEX(Matches!$H$2:$H$25,I191-1)))</f>
        <v/>
      </c>
      <c r="C191" t="str">
        <f>IF(A191="","",COUNTIFS($A$2:A191,A191,$B$2:B191,B191))</f>
        <v/>
      </c>
      <c r="D191" s="2" t="str">
        <f t="shared" si="6"/>
        <v/>
      </c>
      <c r="E191" s="2"/>
      <c r="F191" t="str">
        <f t="shared" si="7"/>
        <v/>
      </c>
      <c r="G191" t="str">
        <f t="shared" si="8"/>
        <v/>
      </c>
      <c r="H191" t="str">
        <f>IF(F191="","",VLOOKUP(F191,Validation!$A$2:$B$17,2,FALSE))</f>
        <v/>
      </c>
      <c r="I191">
        <f>INT((ROW()-2)/Settings!$B$6)+2</f>
        <v>17</v>
      </c>
      <c r="J191">
        <f>MOD(ROW()-2,Settings!$B$6)+1</f>
        <v>10</v>
      </c>
    </row>
    <row r="192" spans="1:10" x14ac:dyDescent="0.3">
      <c r="A192" t="str">
        <f>IF(OR(INDEX(Matches!$I$2:$I$25,I192-1)="",INDEX(Matches!$J$2:$J$25,I192-1)=""),"",IF(J192&lt;=INDEX(Matches!$I$2:$I$25,I192-1)+INDEX(Matches!$J$2:$J$25,I192-1),INDEX(Matches!$A$2:$A$25,I192-1),""))</f>
        <v/>
      </c>
      <c r="B192" t="str">
        <f>IF(A192="","",IF(J192&lt;=INDEX(Matches!$I$2:$I$25,I192-1),INDEX(Matches!$G$2:$G$25,I192-1),INDEX(Matches!$H$2:$H$25,I192-1)))</f>
        <v/>
      </c>
      <c r="C192" t="str">
        <f>IF(A192="","",COUNTIFS($A$2:A192,A192,$B$2:B192,B192))</f>
        <v/>
      </c>
      <c r="D192" s="2" t="str">
        <f t="shared" si="6"/>
        <v/>
      </c>
      <c r="E192" s="2"/>
      <c r="F192" t="str">
        <f t="shared" si="7"/>
        <v/>
      </c>
      <c r="G192" t="str">
        <f t="shared" si="8"/>
        <v/>
      </c>
      <c r="H192" t="str">
        <f>IF(F192="","",VLOOKUP(F192,Validation!$A$2:$B$17,2,FALSE))</f>
        <v/>
      </c>
      <c r="I192">
        <f>INT((ROW()-2)/Settings!$B$6)+2</f>
        <v>17</v>
      </c>
      <c r="J192">
        <f>MOD(ROW()-2,Settings!$B$6)+1</f>
        <v>11</v>
      </c>
    </row>
    <row r="193" spans="1:10" x14ac:dyDescent="0.3">
      <c r="A193" t="str">
        <f>IF(OR(INDEX(Matches!$I$2:$I$25,I193-1)="",INDEX(Matches!$J$2:$J$25,I193-1)=""),"",IF(J193&lt;=INDEX(Matches!$I$2:$I$25,I193-1)+INDEX(Matches!$J$2:$J$25,I193-1),INDEX(Matches!$A$2:$A$25,I193-1),""))</f>
        <v/>
      </c>
      <c r="B193" t="str">
        <f>IF(A193="","",IF(J193&lt;=INDEX(Matches!$I$2:$I$25,I193-1),INDEX(Matches!$G$2:$G$25,I193-1),INDEX(Matches!$H$2:$H$25,I193-1)))</f>
        <v/>
      </c>
      <c r="C193" t="str">
        <f>IF(A193="","",COUNTIFS($A$2:A193,A193,$B$2:B193,B193))</f>
        <v/>
      </c>
      <c r="D193" s="2" t="str">
        <f t="shared" si="6"/>
        <v/>
      </c>
      <c r="E193" s="2"/>
      <c r="F193" t="str">
        <f t="shared" si="7"/>
        <v/>
      </c>
      <c r="G193" t="str">
        <f t="shared" si="8"/>
        <v/>
      </c>
      <c r="H193" t="str">
        <f>IF(F193="","",VLOOKUP(F193,Validation!$A$2:$B$17,2,FALSE))</f>
        <v/>
      </c>
      <c r="I193">
        <f>INT((ROW()-2)/Settings!$B$6)+2</f>
        <v>17</v>
      </c>
      <c r="J193">
        <f>MOD(ROW()-2,Settings!$B$6)+1</f>
        <v>12</v>
      </c>
    </row>
    <row r="194" spans="1:10" x14ac:dyDescent="0.3">
      <c r="A194" t="str">
        <f>IF(OR(INDEX(Matches!$I$2:$I$25,I194-1)="",INDEX(Matches!$J$2:$J$25,I194-1)=""),"",IF(J194&lt;=INDEX(Matches!$I$2:$I$25,I194-1)+INDEX(Matches!$J$2:$J$25,I194-1),INDEX(Matches!$A$2:$A$25,I194-1),""))</f>
        <v/>
      </c>
      <c r="B194" t="str">
        <f>IF(A194="","",IF(J194&lt;=INDEX(Matches!$I$2:$I$25,I194-1),INDEX(Matches!$G$2:$G$25,I194-1),INDEX(Matches!$H$2:$H$25,I194-1)))</f>
        <v/>
      </c>
      <c r="C194" t="str">
        <f>IF(A194="","",COUNTIFS($A$2:A194,A194,$B$2:B194,B194))</f>
        <v/>
      </c>
      <c r="D194" s="2" t="str">
        <f t="shared" ref="D194:D257" si="9">IF(A194="","","Goal")</f>
        <v/>
      </c>
      <c r="E194" s="2"/>
      <c r="F194" t="str">
        <f t="shared" ref="F194:F257" si="10">IF(A194="","",IF(D194="Autogol","",IF(D194="Goal",B194,"")))</f>
        <v/>
      </c>
      <c r="G194" t="str">
        <f t="shared" ref="G194:G257" si="11">IF(A194="","",IF(D194="","Manca tipo",IF(D194="Goal",IF(E194="","Manca giocatore","OK"),IF(D194="Autogol",IF(E194&lt;&gt;"","Autogol: svuota Player","OK"),"Tipo non valido"))))</f>
        <v/>
      </c>
      <c r="H194" t="str">
        <f>IF(F194="","",VLOOKUP(F194,Validation!$A$2:$B$17,2,FALSE))</f>
        <v/>
      </c>
      <c r="I194">
        <f>INT((ROW()-2)/Settings!$B$6)+2</f>
        <v>18</v>
      </c>
      <c r="J194">
        <f>MOD(ROW()-2,Settings!$B$6)+1</f>
        <v>1</v>
      </c>
    </row>
    <row r="195" spans="1:10" x14ac:dyDescent="0.3">
      <c r="A195" t="str">
        <f>IF(OR(INDEX(Matches!$I$2:$I$25,I195-1)="",INDEX(Matches!$J$2:$J$25,I195-1)=""),"",IF(J195&lt;=INDEX(Matches!$I$2:$I$25,I195-1)+INDEX(Matches!$J$2:$J$25,I195-1),INDEX(Matches!$A$2:$A$25,I195-1),""))</f>
        <v/>
      </c>
      <c r="B195" t="str">
        <f>IF(A195="","",IF(J195&lt;=INDEX(Matches!$I$2:$I$25,I195-1),INDEX(Matches!$G$2:$G$25,I195-1),INDEX(Matches!$H$2:$H$25,I195-1)))</f>
        <v/>
      </c>
      <c r="C195" t="str">
        <f>IF(A195="","",COUNTIFS($A$2:A195,A195,$B$2:B195,B195))</f>
        <v/>
      </c>
      <c r="D195" s="2" t="str">
        <f t="shared" si="9"/>
        <v/>
      </c>
      <c r="E195" s="2"/>
      <c r="F195" t="str">
        <f t="shared" si="10"/>
        <v/>
      </c>
      <c r="G195" t="str">
        <f t="shared" si="11"/>
        <v/>
      </c>
      <c r="H195" t="str">
        <f>IF(F195="","",VLOOKUP(F195,Validation!$A$2:$B$17,2,FALSE))</f>
        <v/>
      </c>
      <c r="I195">
        <f>INT((ROW()-2)/Settings!$B$6)+2</f>
        <v>18</v>
      </c>
      <c r="J195">
        <f>MOD(ROW()-2,Settings!$B$6)+1</f>
        <v>2</v>
      </c>
    </row>
    <row r="196" spans="1:10" x14ac:dyDescent="0.3">
      <c r="A196" t="str">
        <f>IF(OR(INDEX(Matches!$I$2:$I$25,I196-1)="",INDEX(Matches!$J$2:$J$25,I196-1)=""),"",IF(J196&lt;=INDEX(Matches!$I$2:$I$25,I196-1)+INDEX(Matches!$J$2:$J$25,I196-1),INDEX(Matches!$A$2:$A$25,I196-1),""))</f>
        <v/>
      </c>
      <c r="B196" t="str">
        <f>IF(A196="","",IF(J196&lt;=INDEX(Matches!$I$2:$I$25,I196-1),INDEX(Matches!$G$2:$G$25,I196-1),INDEX(Matches!$H$2:$H$25,I196-1)))</f>
        <v/>
      </c>
      <c r="C196" t="str">
        <f>IF(A196="","",COUNTIFS($A$2:A196,A196,$B$2:B196,B196))</f>
        <v/>
      </c>
      <c r="D196" s="2" t="str">
        <f t="shared" si="9"/>
        <v/>
      </c>
      <c r="E196" s="2"/>
      <c r="F196" t="str">
        <f t="shared" si="10"/>
        <v/>
      </c>
      <c r="G196" t="str">
        <f t="shared" si="11"/>
        <v/>
      </c>
      <c r="H196" t="str">
        <f>IF(F196="","",VLOOKUP(F196,Validation!$A$2:$B$17,2,FALSE))</f>
        <v/>
      </c>
      <c r="I196">
        <f>INT((ROW()-2)/Settings!$B$6)+2</f>
        <v>18</v>
      </c>
      <c r="J196">
        <f>MOD(ROW()-2,Settings!$B$6)+1</f>
        <v>3</v>
      </c>
    </row>
    <row r="197" spans="1:10" x14ac:dyDescent="0.3">
      <c r="A197" t="str">
        <f>IF(OR(INDEX(Matches!$I$2:$I$25,I197-1)="",INDEX(Matches!$J$2:$J$25,I197-1)=""),"",IF(J197&lt;=INDEX(Matches!$I$2:$I$25,I197-1)+INDEX(Matches!$J$2:$J$25,I197-1),INDEX(Matches!$A$2:$A$25,I197-1),""))</f>
        <v/>
      </c>
      <c r="B197" t="str">
        <f>IF(A197="","",IF(J197&lt;=INDEX(Matches!$I$2:$I$25,I197-1),INDEX(Matches!$G$2:$G$25,I197-1),INDEX(Matches!$H$2:$H$25,I197-1)))</f>
        <v/>
      </c>
      <c r="C197" t="str">
        <f>IF(A197="","",COUNTIFS($A$2:A197,A197,$B$2:B197,B197))</f>
        <v/>
      </c>
      <c r="D197" s="2" t="str">
        <f t="shared" si="9"/>
        <v/>
      </c>
      <c r="E197" s="2"/>
      <c r="F197" t="str">
        <f t="shared" si="10"/>
        <v/>
      </c>
      <c r="G197" t="str">
        <f t="shared" si="11"/>
        <v/>
      </c>
      <c r="H197" t="str">
        <f>IF(F197="","",VLOOKUP(F197,Validation!$A$2:$B$17,2,FALSE))</f>
        <v/>
      </c>
      <c r="I197">
        <f>INT((ROW()-2)/Settings!$B$6)+2</f>
        <v>18</v>
      </c>
      <c r="J197">
        <f>MOD(ROW()-2,Settings!$B$6)+1</f>
        <v>4</v>
      </c>
    </row>
    <row r="198" spans="1:10" x14ac:dyDescent="0.3">
      <c r="A198" t="str">
        <f>IF(OR(INDEX(Matches!$I$2:$I$25,I198-1)="",INDEX(Matches!$J$2:$J$25,I198-1)=""),"",IF(J198&lt;=INDEX(Matches!$I$2:$I$25,I198-1)+INDEX(Matches!$J$2:$J$25,I198-1),INDEX(Matches!$A$2:$A$25,I198-1),""))</f>
        <v/>
      </c>
      <c r="B198" t="str">
        <f>IF(A198="","",IF(J198&lt;=INDEX(Matches!$I$2:$I$25,I198-1),INDEX(Matches!$G$2:$G$25,I198-1),INDEX(Matches!$H$2:$H$25,I198-1)))</f>
        <v/>
      </c>
      <c r="C198" t="str">
        <f>IF(A198="","",COUNTIFS($A$2:A198,A198,$B$2:B198,B198))</f>
        <v/>
      </c>
      <c r="D198" s="2" t="str">
        <f t="shared" si="9"/>
        <v/>
      </c>
      <c r="E198" s="2"/>
      <c r="F198" t="str">
        <f t="shared" si="10"/>
        <v/>
      </c>
      <c r="G198" t="str">
        <f t="shared" si="11"/>
        <v/>
      </c>
      <c r="H198" t="str">
        <f>IF(F198="","",VLOOKUP(F198,Validation!$A$2:$B$17,2,FALSE))</f>
        <v/>
      </c>
      <c r="I198">
        <f>INT((ROW()-2)/Settings!$B$6)+2</f>
        <v>18</v>
      </c>
      <c r="J198">
        <f>MOD(ROW()-2,Settings!$B$6)+1</f>
        <v>5</v>
      </c>
    </row>
    <row r="199" spans="1:10" x14ac:dyDescent="0.3">
      <c r="A199" t="str">
        <f>IF(OR(INDEX(Matches!$I$2:$I$25,I199-1)="",INDEX(Matches!$J$2:$J$25,I199-1)=""),"",IF(J199&lt;=INDEX(Matches!$I$2:$I$25,I199-1)+INDEX(Matches!$J$2:$J$25,I199-1),INDEX(Matches!$A$2:$A$25,I199-1),""))</f>
        <v/>
      </c>
      <c r="B199" t="str">
        <f>IF(A199="","",IF(J199&lt;=INDEX(Matches!$I$2:$I$25,I199-1),INDEX(Matches!$G$2:$G$25,I199-1),INDEX(Matches!$H$2:$H$25,I199-1)))</f>
        <v/>
      </c>
      <c r="C199" t="str">
        <f>IF(A199="","",COUNTIFS($A$2:A199,A199,$B$2:B199,B199))</f>
        <v/>
      </c>
      <c r="D199" s="2" t="str">
        <f t="shared" si="9"/>
        <v/>
      </c>
      <c r="E199" s="2"/>
      <c r="F199" t="str">
        <f t="shared" si="10"/>
        <v/>
      </c>
      <c r="G199" t="str">
        <f t="shared" si="11"/>
        <v/>
      </c>
      <c r="H199" t="str">
        <f>IF(F199="","",VLOOKUP(F199,Validation!$A$2:$B$17,2,FALSE))</f>
        <v/>
      </c>
      <c r="I199">
        <f>INT((ROW()-2)/Settings!$B$6)+2</f>
        <v>18</v>
      </c>
      <c r="J199">
        <f>MOD(ROW()-2,Settings!$B$6)+1</f>
        <v>6</v>
      </c>
    </row>
    <row r="200" spans="1:10" x14ac:dyDescent="0.3">
      <c r="A200" t="str">
        <f>IF(OR(INDEX(Matches!$I$2:$I$25,I200-1)="",INDEX(Matches!$J$2:$J$25,I200-1)=""),"",IF(J200&lt;=INDEX(Matches!$I$2:$I$25,I200-1)+INDEX(Matches!$J$2:$J$25,I200-1),INDEX(Matches!$A$2:$A$25,I200-1),""))</f>
        <v/>
      </c>
      <c r="B200" t="str">
        <f>IF(A200="","",IF(J200&lt;=INDEX(Matches!$I$2:$I$25,I200-1),INDEX(Matches!$G$2:$G$25,I200-1),INDEX(Matches!$H$2:$H$25,I200-1)))</f>
        <v/>
      </c>
      <c r="C200" t="str">
        <f>IF(A200="","",COUNTIFS($A$2:A200,A200,$B$2:B200,B200))</f>
        <v/>
      </c>
      <c r="D200" s="2" t="str">
        <f t="shared" si="9"/>
        <v/>
      </c>
      <c r="E200" s="2"/>
      <c r="F200" t="str">
        <f t="shared" si="10"/>
        <v/>
      </c>
      <c r="G200" t="str">
        <f t="shared" si="11"/>
        <v/>
      </c>
      <c r="H200" t="str">
        <f>IF(F200="","",VLOOKUP(F200,Validation!$A$2:$B$17,2,FALSE))</f>
        <v/>
      </c>
      <c r="I200">
        <f>INT((ROW()-2)/Settings!$B$6)+2</f>
        <v>18</v>
      </c>
      <c r="J200">
        <f>MOD(ROW()-2,Settings!$B$6)+1</f>
        <v>7</v>
      </c>
    </row>
    <row r="201" spans="1:10" x14ac:dyDescent="0.3">
      <c r="A201" t="str">
        <f>IF(OR(INDEX(Matches!$I$2:$I$25,I201-1)="",INDEX(Matches!$J$2:$J$25,I201-1)=""),"",IF(J201&lt;=INDEX(Matches!$I$2:$I$25,I201-1)+INDEX(Matches!$J$2:$J$25,I201-1),INDEX(Matches!$A$2:$A$25,I201-1),""))</f>
        <v/>
      </c>
      <c r="B201" t="str">
        <f>IF(A201="","",IF(J201&lt;=INDEX(Matches!$I$2:$I$25,I201-1),INDEX(Matches!$G$2:$G$25,I201-1),INDEX(Matches!$H$2:$H$25,I201-1)))</f>
        <v/>
      </c>
      <c r="C201" t="str">
        <f>IF(A201="","",COUNTIFS($A$2:A201,A201,$B$2:B201,B201))</f>
        <v/>
      </c>
      <c r="D201" s="2" t="str">
        <f t="shared" si="9"/>
        <v/>
      </c>
      <c r="E201" s="2"/>
      <c r="F201" t="str">
        <f t="shared" si="10"/>
        <v/>
      </c>
      <c r="G201" t="str">
        <f t="shared" si="11"/>
        <v/>
      </c>
      <c r="H201" t="str">
        <f>IF(F201="","",VLOOKUP(F201,Validation!$A$2:$B$17,2,FALSE))</f>
        <v/>
      </c>
      <c r="I201">
        <f>INT((ROW()-2)/Settings!$B$6)+2</f>
        <v>18</v>
      </c>
      <c r="J201">
        <f>MOD(ROW()-2,Settings!$B$6)+1</f>
        <v>8</v>
      </c>
    </row>
    <row r="202" spans="1:10" x14ac:dyDescent="0.3">
      <c r="A202" t="str">
        <f>IF(OR(INDEX(Matches!$I$2:$I$25,I202-1)="",INDEX(Matches!$J$2:$J$25,I202-1)=""),"",IF(J202&lt;=INDEX(Matches!$I$2:$I$25,I202-1)+INDEX(Matches!$J$2:$J$25,I202-1),INDEX(Matches!$A$2:$A$25,I202-1),""))</f>
        <v/>
      </c>
      <c r="B202" t="str">
        <f>IF(A202="","",IF(J202&lt;=INDEX(Matches!$I$2:$I$25,I202-1),INDEX(Matches!$G$2:$G$25,I202-1),INDEX(Matches!$H$2:$H$25,I202-1)))</f>
        <v/>
      </c>
      <c r="C202" t="str">
        <f>IF(A202="","",COUNTIFS($A$2:A202,A202,$B$2:B202,B202))</f>
        <v/>
      </c>
      <c r="D202" s="2" t="str">
        <f t="shared" si="9"/>
        <v/>
      </c>
      <c r="E202" s="2"/>
      <c r="F202" t="str">
        <f t="shared" si="10"/>
        <v/>
      </c>
      <c r="G202" t="str">
        <f t="shared" si="11"/>
        <v/>
      </c>
      <c r="H202" t="str">
        <f>IF(F202="","",VLOOKUP(F202,Validation!$A$2:$B$17,2,FALSE))</f>
        <v/>
      </c>
      <c r="I202">
        <f>INT((ROW()-2)/Settings!$B$6)+2</f>
        <v>18</v>
      </c>
      <c r="J202">
        <f>MOD(ROW()-2,Settings!$B$6)+1</f>
        <v>9</v>
      </c>
    </row>
    <row r="203" spans="1:10" x14ac:dyDescent="0.3">
      <c r="A203" t="str">
        <f>IF(OR(INDEX(Matches!$I$2:$I$25,I203-1)="",INDEX(Matches!$J$2:$J$25,I203-1)=""),"",IF(J203&lt;=INDEX(Matches!$I$2:$I$25,I203-1)+INDEX(Matches!$J$2:$J$25,I203-1),INDEX(Matches!$A$2:$A$25,I203-1),""))</f>
        <v/>
      </c>
      <c r="B203" t="str">
        <f>IF(A203="","",IF(J203&lt;=INDEX(Matches!$I$2:$I$25,I203-1),INDEX(Matches!$G$2:$G$25,I203-1),INDEX(Matches!$H$2:$H$25,I203-1)))</f>
        <v/>
      </c>
      <c r="C203" t="str">
        <f>IF(A203="","",COUNTIFS($A$2:A203,A203,$B$2:B203,B203))</f>
        <v/>
      </c>
      <c r="D203" s="2" t="str">
        <f t="shared" si="9"/>
        <v/>
      </c>
      <c r="E203" s="2"/>
      <c r="F203" t="str">
        <f t="shared" si="10"/>
        <v/>
      </c>
      <c r="G203" t="str">
        <f t="shared" si="11"/>
        <v/>
      </c>
      <c r="H203" t="str">
        <f>IF(F203="","",VLOOKUP(F203,Validation!$A$2:$B$17,2,FALSE))</f>
        <v/>
      </c>
      <c r="I203">
        <f>INT((ROW()-2)/Settings!$B$6)+2</f>
        <v>18</v>
      </c>
      <c r="J203">
        <f>MOD(ROW()-2,Settings!$B$6)+1</f>
        <v>10</v>
      </c>
    </row>
    <row r="204" spans="1:10" x14ac:dyDescent="0.3">
      <c r="A204" t="str">
        <f>IF(OR(INDEX(Matches!$I$2:$I$25,I204-1)="",INDEX(Matches!$J$2:$J$25,I204-1)=""),"",IF(J204&lt;=INDEX(Matches!$I$2:$I$25,I204-1)+INDEX(Matches!$J$2:$J$25,I204-1),INDEX(Matches!$A$2:$A$25,I204-1),""))</f>
        <v/>
      </c>
      <c r="B204" t="str">
        <f>IF(A204="","",IF(J204&lt;=INDEX(Matches!$I$2:$I$25,I204-1),INDEX(Matches!$G$2:$G$25,I204-1),INDEX(Matches!$H$2:$H$25,I204-1)))</f>
        <v/>
      </c>
      <c r="C204" t="str">
        <f>IF(A204="","",COUNTIFS($A$2:A204,A204,$B$2:B204,B204))</f>
        <v/>
      </c>
      <c r="D204" s="2" t="str">
        <f t="shared" si="9"/>
        <v/>
      </c>
      <c r="E204" s="2"/>
      <c r="F204" t="str">
        <f t="shared" si="10"/>
        <v/>
      </c>
      <c r="G204" t="str">
        <f t="shared" si="11"/>
        <v/>
      </c>
      <c r="H204" t="str">
        <f>IF(F204="","",VLOOKUP(F204,Validation!$A$2:$B$17,2,FALSE))</f>
        <v/>
      </c>
      <c r="I204">
        <f>INT((ROW()-2)/Settings!$B$6)+2</f>
        <v>18</v>
      </c>
      <c r="J204">
        <f>MOD(ROW()-2,Settings!$B$6)+1</f>
        <v>11</v>
      </c>
    </row>
    <row r="205" spans="1:10" x14ac:dyDescent="0.3">
      <c r="A205" t="str">
        <f>IF(OR(INDEX(Matches!$I$2:$I$25,I205-1)="",INDEX(Matches!$J$2:$J$25,I205-1)=""),"",IF(J205&lt;=INDEX(Matches!$I$2:$I$25,I205-1)+INDEX(Matches!$J$2:$J$25,I205-1),INDEX(Matches!$A$2:$A$25,I205-1),""))</f>
        <v/>
      </c>
      <c r="B205" t="str">
        <f>IF(A205="","",IF(J205&lt;=INDEX(Matches!$I$2:$I$25,I205-1),INDEX(Matches!$G$2:$G$25,I205-1),INDEX(Matches!$H$2:$H$25,I205-1)))</f>
        <v/>
      </c>
      <c r="C205" t="str">
        <f>IF(A205="","",COUNTIFS($A$2:A205,A205,$B$2:B205,B205))</f>
        <v/>
      </c>
      <c r="D205" s="2" t="str">
        <f t="shared" si="9"/>
        <v/>
      </c>
      <c r="E205" s="2"/>
      <c r="F205" t="str">
        <f t="shared" si="10"/>
        <v/>
      </c>
      <c r="G205" t="str">
        <f t="shared" si="11"/>
        <v/>
      </c>
      <c r="H205" t="str">
        <f>IF(F205="","",VLOOKUP(F205,Validation!$A$2:$B$17,2,FALSE))</f>
        <v/>
      </c>
      <c r="I205">
        <f>INT((ROW()-2)/Settings!$B$6)+2</f>
        <v>18</v>
      </c>
      <c r="J205">
        <f>MOD(ROW()-2,Settings!$B$6)+1</f>
        <v>12</v>
      </c>
    </row>
    <row r="206" spans="1:10" x14ac:dyDescent="0.3">
      <c r="A206" t="str">
        <f>IF(OR(INDEX(Matches!$I$2:$I$25,I206-1)="",INDEX(Matches!$J$2:$J$25,I206-1)=""),"",IF(J206&lt;=INDEX(Matches!$I$2:$I$25,I206-1)+INDEX(Matches!$J$2:$J$25,I206-1),INDEX(Matches!$A$2:$A$25,I206-1),""))</f>
        <v/>
      </c>
      <c r="B206" t="str">
        <f>IF(A206="","",IF(J206&lt;=INDEX(Matches!$I$2:$I$25,I206-1),INDEX(Matches!$G$2:$G$25,I206-1),INDEX(Matches!$H$2:$H$25,I206-1)))</f>
        <v/>
      </c>
      <c r="C206" t="str">
        <f>IF(A206="","",COUNTIFS($A$2:A206,A206,$B$2:B206,B206))</f>
        <v/>
      </c>
      <c r="D206" s="2" t="str">
        <f t="shared" si="9"/>
        <v/>
      </c>
      <c r="E206" s="2"/>
      <c r="F206" t="str">
        <f t="shared" si="10"/>
        <v/>
      </c>
      <c r="G206" t="str">
        <f t="shared" si="11"/>
        <v/>
      </c>
      <c r="H206" t="str">
        <f>IF(F206="","",VLOOKUP(F206,Validation!$A$2:$B$17,2,FALSE))</f>
        <v/>
      </c>
      <c r="I206">
        <f>INT((ROW()-2)/Settings!$B$6)+2</f>
        <v>19</v>
      </c>
      <c r="J206">
        <f>MOD(ROW()-2,Settings!$B$6)+1</f>
        <v>1</v>
      </c>
    </row>
    <row r="207" spans="1:10" x14ac:dyDescent="0.3">
      <c r="A207" t="str">
        <f>IF(OR(INDEX(Matches!$I$2:$I$25,I207-1)="",INDEX(Matches!$J$2:$J$25,I207-1)=""),"",IF(J207&lt;=INDEX(Matches!$I$2:$I$25,I207-1)+INDEX(Matches!$J$2:$J$25,I207-1),INDEX(Matches!$A$2:$A$25,I207-1),""))</f>
        <v/>
      </c>
      <c r="B207" t="str">
        <f>IF(A207="","",IF(J207&lt;=INDEX(Matches!$I$2:$I$25,I207-1),INDEX(Matches!$G$2:$G$25,I207-1),INDEX(Matches!$H$2:$H$25,I207-1)))</f>
        <v/>
      </c>
      <c r="C207" t="str">
        <f>IF(A207="","",COUNTIFS($A$2:A207,A207,$B$2:B207,B207))</f>
        <v/>
      </c>
      <c r="D207" s="2" t="str">
        <f t="shared" si="9"/>
        <v/>
      </c>
      <c r="E207" s="2"/>
      <c r="F207" t="str">
        <f t="shared" si="10"/>
        <v/>
      </c>
      <c r="G207" t="str">
        <f t="shared" si="11"/>
        <v/>
      </c>
      <c r="H207" t="str">
        <f>IF(F207="","",VLOOKUP(F207,Validation!$A$2:$B$17,2,FALSE))</f>
        <v/>
      </c>
      <c r="I207">
        <f>INT((ROW()-2)/Settings!$B$6)+2</f>
        <v>19</v>
      </c>
      <c r="J207">
        <f>MOD(ROW()-2,Settings!$B$6)+1</f>
        <v>2</v>
      </c>
    </row>
    <row r="208" spans="1:10" x14ac:dyDescent="0.3">
      <c r="A208" t="str">
        <f>IF(OR(INDEX(Matches!$I$2:$I$25,I208-1)="",INDEX(Matches!$J$2:$J$25,I208-1)=""),"",IF(J208&lt;=INDEX(Matches!$I$2:$I$25,I208-1)+INDEX(Matches!$J$2:$J$25,I208-1),INDEX(Matches!$A$2:$A$25,I208-1),""))</f>
        <v/>
      </c>
      <c r="B208" t="str">
        <f>IF(A208="","",IF(J208&lt;=INDEX(Matches!$I$2:$I$25,I208-1),INDEX(Matches!$G$2:$G$25,I208-1),INDEX(Matches!$H$2:$H$25,I208-1)))</f>
        <v/>
      </c>
      <c r="C208" t="str">
        <f>IF(A208="","",COUNTIFS($A$2:A208,A208,$B$2:B208,B208))</f>
        <v/>
      </c>
      <c r="D208" s="2" t="str">
        <f t="shared" si="9"/>
        <v/>
      </c>
      <c r="E208" s="2"/>
      <c r="F208" t="str">
        <f t="shared" si="10"/>
        <v/>
      </c>
      <c r="G208" t="str">
        <f t="shared" si="11"/>
        <v/>
      </c>
      <c r="H208" t="str">
        <f>IF(F208="","",VLOOKUP(F208,Validation!$A$2:$B$17,2,FALSE))</f>
        <v/>
      </c>
      <c r="I208">
        <f>INT((ROW()-2)/Settings!$B$6)+2</f>
        <v>19</v>
      </c>
      <c r="J208">
        <f>MOD(ROW()-2,Settings!$B$6)+1</f>
        <v>3</v>
      </c>
    </row>
    <row r="209" spans="1:10" x14ac:dyDescent="0.3">
      <c r="A209" t="str">
        <f>IF(OR(INDEX(Matches!$I$2:$I$25,I209-1)="",INDEX(Matches!$J$2:$J$25,I209-1)=""),"",IF(J209&lt;=INDEX(Matches!$I$2:$I$25,I209-1)+INDEX(Matches!$J$2:$J$25,I209-1),INDEX(Matches!$A$2:$A$25,I209-1),""))</f>
        <v/>
      </c>
      <c r="B209" t="str">
        <f>IF(A209="","",IF(J209&lt;=INDEX(Matches!$I$2:$I$25,I209-1),INDEX(Matches!$G$2:$G$25,I209-1),INDEX(Matches!$H$2:$H$25,I209-1)))</f>
        <v/>
      </c>
      <c r="C209" t="str">
        <f>IF(A209="","",COUNTIFS($A$2:A209,A209,$B$2:B209,B209))</f>
        <v/>
      </c>
      <c r="D209" s="2" t="str">
        <f t="shared" si="9"/>
        <v/>
      </c>
      <c r="E209" s="2"/>
      <c r="F209" t="str">
        <f t="shared" si="10"/>
        <v/>
      </c>
      <c r="G209" t="str">
        <f t="shared" si="11"/>
        <v/>
      </c>
      <c r="H209" t="str">
        <f>IF(F209="","",VLOOKUP(F209,Validation!$A$2:$B$17,2,FALSE))</f>
        <v/>
      </c>
      <c r="I209">
        <f>INT((ROW()-2)/Settings!$B$6)+2</f>
        <v>19</v>
      </c>
      <c r="J209">
        <f>MOD(ROW()-2,Settings!$B$6)+1</f>
        <v>4</v>
      </c>
    </row>
    <row r="210" spans="1:10" x14ac:dyDescent="0.3">
      <c r="A210" t="str">
        <f>IF(OR(INDEX(Matches!$I$2:$I$25,I210-1)="",INDEX(Matches!$J$2:$J$25,I210-1)=""),"",IF(J210&lt;=INDEX(Matches!$I$2:$I$25,I210-1)+INDEX(Matches!$J$2:$J$25,I210-1),INDEX(Matches!$A$2:$A$25,I210-1),""))</f>
        <v/>
      </c>
      <c r="B210" t="str">
        <f>IF(A210="","",IF(J210&lt;=INDEX(Matches!$I$2:$I$25,I210-1),INDEX(Matches!$G$2:$G$25,I210-1),INDEX(Matches!$H$2:$H$25,I210-1)))</f>
        <v/>
      </c>
      <c r="C210" t="str">
        <f>IF(A210="","",COUNTIFS($A$2:A210,A210,$B$2:B210,B210))</f>
        <v/>
      </c>
      <c r="D210" s="2" t="str">
        <f t="shared" si="9"/>
        <v/>
      </c>
      <c r="E210" s="2"/>
      <c r="F210" t="str">
        <f t="shared" si="10"/>
        <v/>
      </c>
      <c r="G210" t="str">
        <f t="shared" si="11"/>
        <v/>
      </c>
      <c r="H210" t="str">
        <f>IF(F210="","",VLOOKUP(F210,Validation!$A$2:$B$17,2,FALSE))</f>
        <v/>
      </c>
      <c r="I210">
        <f>INT((ROW()-2)/Settings!$B$6)+2</f>
        <v>19</v>
      </c>
      <c r="J210">
        <f>MOD(ROW()-2,Settings!$B$6)+1</f>
        <v>5</v>
      </c>
    </row>
    <row r="211" spans="1:10" x14ac:dyDescent="0.3">
      <c r="A211" t="str">
        <f>IF(OR(INDEX(Matches!$I$2:$I$25,I211-1)="",INDEX(Matches!$J$2:$J$25,I211-1)=""),"",IF(J211&lt;=INDEX(Matches!$I$2:$I$25,I211-1)+INDEX(Matches!$J$2:$J$25,I211-1),INDEX(Matches!$A$2:$A$25,I211-1),""))</f>
        <v/>
      </c>
      <c r="B211" t="str">
        <f>IF(A211="","",IF(J211&lt;=INDEX(Matches!$I$2:$I$25,I211-1),INDEX(Matches!$G$2:$G$25,I211-1),INDEX(Matches!$H$2:$H$25,I211-1)))</f>
        <v/>
      </c>
      <c r="C211" t="str">
        <f>IF(A211="","",COUNTIFS($A$2:A211,A211,$B$2:B211,B211))</f>
        <v/>
      </c>
      <c r="D211" s="2" t="str">
        <f t="shared" si="9"/>
        <v/>
      </c>
      <c r="E211" s="2"/>
      <c r="F211" t="str">
        <f t="shared" si="10"/>
        <v/>
      </c>
      <c r="G211" t="str">
        <f t="shared" si="11"/>
        <v/>
      </c>
      <c r="H211" t="str">
        <f>IF(F211="","",VLOOKUP(F211,Validation!$A$2:$B$17,2,FALSE))</f>
        <v/>
      </c>
      <c r="I211">
        <f>INT((ROW()-2)/Settings!$B$6)+2</f>
        <v>19</v>
      </c>
      <c r="J211">
        <f>MOD(ROW()-2,Settings!$B$6)+1</f>
        <v>6</v>
      </c>
    </row>
    <row r="212" spans="1:10" x14ac:dyDescent="0.3">
      <c r="A212" t="str">
        <f>IF(OR(INDEX(Matches!$I$2:$I$25,I212-1)="",INDEX(Matches!$J$2:$J$25,I212-1)=""),"",IF(J212&lt;=INDEX(Matches!$I$2:$I$25,I212-1)+INDEX(Matches!$J$2:$J$25,I212-1),INDEX(Matches!$A$2:$A$25,I212-1),""))</f>
        <v/>
      </c>
      <c r="B212" t="str">
        <f>IF(A212="","",IF(J212&lt;=INDEX(Matches!$I$2:$I$25,I212-1),INDEX(Matches!$G$2:$G$25,I212-1),INDEX(Matches!$H$2:$H$25,I212-1)))</f>
        <v/>
      </c>
      <c r="C212" t="str">
        <f>IF(A212="","",COUNTIFS($A$2:A212,A212,$B$2:B212,B212))</f>
        <v/>
      </c>
      <c r="D212" s="2" t="str">
        <f t="shared" si="9"/>
        <v/>
      </c>
      <c r="E212" s="2"/>
      <c r="F212" t="str">
        <f t="shared" si="10"/>
        <v/>
      </c>
      <c r="G212" t="str">
        <f t="shared" si="11"/>
        <v/>
      </c>
      <c r="H212" t="str">
        <f>IF(F212="","",VLOOKUP(F212,Validation!$A$2:$B$17,2,FALSE))</f>
        <v/>
      </c>
      <c r="I212">
        <f>INT((ROW()-2)/Settings!$B$6)+2</f>
        <v>19</v>
      </c>
      <c r="J212">
        <f>MOD(ROW()-2,Settings!$B$6)+1</f>
        <v>7</v>
      </c>
    </row>
    <row r="213" spans="1:10" x14ac:dyDescent="0.3">
      <c r="A213" t="str">
        <f>IF(OR(INDEX(Matches!$I$2:$I$25,I213-1)="",INDEX(Matches!$J$2:$J$25,I213-1)=""),"",IF(J213&lt;=INDEX(Matches!$I$2:$I$25,I213-1)+INDEX(Matches!$J$2:$J$25,I213-1),INDEX(Matches!$A$2:$A$25,I213-1),""))</f>
        <v/>
      </c>
      <c r="B213" t="str">
        <f>IF(A213="","",IF(J213&lt;=INDEX(Matches!$I$2:$I$25,I213-1),INDEX(Matches!$G$2:$G$25,I213-1),INDEX(Matches!$H$2:$H$25,I213-1)))</f>
        <v/>
      </c>
      <c r="C213" t="str">
        <f>IF(A213="","",COUNTIFS($A$2:A213,A213,$B$2:B213,B213))</f>
        <v/>
      </c>
      <c r="D213" s="2" t="str">
        <f t="shared" si="9"/>
        <v/>
      </c>
      <c r="E213" s="2"/>
      <c r="F213" t="str">
        <f t="shared" si="10"/>
        <v/>
      </c>
      <c r="G213" t="str">
        <f t="shared" si="11"/>
        <v/>
      </c>
      <c r="H213" t="str">
        <f>IF(F213="","",VLOOKUP(F213,Validation!$A$2:$B$17,2,FALSE))</f>
        <v/>
      </c>
      <c r="I213">
        <f>INT((ROW()-2)/Settings!$B$6)+2</f>
        <v>19</v>
      </c>
      <c r="J213">
        <f>MOD(ROW()-2,Settings!$B$6)+1</f>
        <v>8</v>
      </c>
    </row>
    <row r="214" spans="1:10" x14ac:dyDescent="0.3">
      <c r="A214" t="str">
        <f>IF(OR(INDEX(Matches!$I$2:$I$25,I214-1)="",INDEX(Matches!$J$2:$J$25,I214-1)=""),"",IF(J214&lt;=INDEX(Matches!$I$2:$I$25,I214-1)+INDEX(Matches!$J$2:$J$25,I214-1),INDEX(Matches!$A$2:$A$25,I214-1),""))</f>
        <v/>
      </c>
      <c r="B214" t="str">
        <f>IF(A214="","",IF(J214&lt;=INDEX(Matches!$I$2:$I$25,I214-1),INDEX(Matches!$G$2:$G$25,I214-1),INDEX(Matches!$H$2:$H$25,I214-1)))</f>
        <v/>
      </c>
      <c r="C214" t="str">
        <f>IF(A214="","",COUNTIFS($A$2:A214,A214,$B$2:B214,B214))</f>
        <v/>
      </c>
      <c r="D214" s="2" t="str">
        <f t="shared" si="9"/>
        <v/>
      </c>
      <c r="E214" s="2"/>
      <c r="F214" t="str">
        <f t="shared" si="10"/>
        <v/>
      </c>
      <c r="G214" t="str">
        <f t="shared" si="11"/>
        <v/>
      </c>
      <c r="H214" t="str">
        <f>IF(F214="","",VLOOKUP(F214,Validation!$A$2:$B$17,2,FALSE))</f>
        <v/>
      </c>
      <c r="I214">
        <f>INT((ROW()-2)/Settings!$B$6)+2</f>
        <v>19</v>
      </c>
      <c r="J214">
        <f>MOD(ROW()-2,Settings!$B$6)+1</f>
        <v>9</v>
      </c>
    </row>
    <row r="215" spans="1:10" x14ac:dyDescent="0.3">
      <c r="A215" t="str">
        <f>IF(OR(INDEX(Matches!$I$2:$I$25,I215-1)="",INDEX(Matches!$J$2:$J$25,I215-1)=""),"",IF(J215&lt;=INDEX(Matches!$I$2:$I$25,I215-1)+INDEX(Matches!$J$2:$J$25,I215-1),INDEX(Matches!$A$2:$A$25,I215-1),""))</f>
        <v/>
      </c>
      <c r="B215" t="str">
        <f>IF(A215="","",IF(J215&lt;=INDEX(Matches!$I$2:$I$25,I215-1),INDEX(Matches!$G$2:$G$25,I215-1),INDEX(Matches!$H$2:$H$25,I215-1)))</f>
        <v/>
      </c>
      <c r="C215" t="str">
        <f>IF(A215="","",COUNTIFS($A$2:A215,A215,$B$2:B215,B215))</f>
        <v/>
      </c>
      <c r="D215" s="2" t="str">
        <f t="shared" si="9"/>
        <v/>
      </c>
      <c r="E215" s="2"/>
      <c r="F215" t="str">
        <f t="shared" si="10"/>
        <v/>
      </c>
      <c r="G215" t="str">
        <f t="shared" si="11"/>
        <v/>
      </c>
      <c r="H215" t="str">
        <f>IF(F215="","",VLOOKUP(F215,Validation!$A$2:$B$17,2,FALSE))</f>
        <v/>
      </c>
      <c r="I215">
        <f>INT((ROW()-2)/Settings!$B$6)+2</f>
        <v>19</v>
      </c>
      <c r="J215">
        <f>MOD(ROW()-2,Settings!$B$6)+1</f>
        <v>10</v>
      </c>
    </row>
    <row r="216" spans="1:10" x14ac:dyDescent="0.3">
      <c r="A216" t="str">
        <f>IF(OR(INDEX(Matches!$I$2:$I$25,I216-1)="",INDEX(Matches!$J$2:$J$25,I216-1)=""),"",IF(J216&lt;=INDEX(Matches!$I$2:$I$25,I216-1)+INDEX(Matches!$J$2:$J$25,I216-1),INDEX(Matches!$A$2:$A$25,I216-1),""))</f>
        <v/>
      </c>
      <c r="B216" t="str">
        <f>IF(A216="","",IF(J216&lt;=INDEX(Matches!$I$2:$I$25,I216-1),INDEX(Matches!$G$2:$G$25,I216-1),INDEX(Matches!$H$2:$H$25,I216-1)))</f>
        <v/>
      </c>
      <c r="C216" t="str">
        <f>IF(A216="","",COUNTIFS($A$2:A216,A216,$B$2:B216,B216))</f>
        <v/>
      </c>
      <c r="D216" s="2" t="str">
        <f t="shared" si="9"/>
        <v/>
      </c>
      <c r="E216" s="2"/>
      <c r="F216" t="str">
        <f t="shared" si="10"/>
        <v/>
      </c>
      <c r="G216" t="str">
        <f t="shared" si="11"/>
        <v/>
      </c>
      <c r="H216" t="str">
        <f>IF(F216="","",VLOOKUP(F216,Validation!$A$2:$B$17,2,FALSE))</f>
        <v/>
      </c>
      <c r="I216">
        <f>INT((ROW()-2)/Settings!$B$6)+2</f>
        <v>19</v>
      </c>
      <c r="J216">
        <f>MOD(ROW()-2,Settings!$B$6)+1</f>
        <v>11</v>
      </c>
    </row>
    <row r="217" spans="1:10" x14ac:dyDescent="0.3">
      <c r="A217" t="str">
        <f>IF(OR(INDEX(Matches!$I$2:$I$25,I217-1)="",INDEX(Matches!$J$2:$J$25,I217-1)=""),"",IF(J217&lt;=INDEX(Matches!$I$2:$I$25,I217-1)+INDEX(Matches!$J$2:$J$25,I217-1),INDEX(Matches!$A$2:$A$25,I217-1),""))</f>
        <v/>
      </c>
      <c r="B217" t="str">
        <f>IF(A217="","",IF(J217&lt;=INDEX(Matches!$I$2:$I$25,I217-1),INDEX(Matches!$G$2:$G$25,I217-1),INDEX(Matches!$H$2:$H$25,I217-1)))</f>
        <v/>
      </c>
      <c r="C217" t="str">
        <f>IF(A217="","",COUNTIFS($A$2:A217,A217,$B$2:B217,B217))</f>
        <v/>
      </c>
      <c r="D217" s="2" t="str">
        <f t="shared" si="9"/>
        <v/>
      </c>
      <c r="E217" s="2"/>
      <c r="F217" t="str">
        <f t="shared" si="10"/>
        <v/>
      </c>
      <c r="G217" t="str">
        <f t="shared" si="11"/>
        <v/>
      </c>
      <c r="H217" t="str">
        <f>IF(F217="","",VLOOKUP(F217,Validation!$A$2:$B$17,2,FALSE))</f>
        <v/>
      </c>
      <c r="I217">
        <f>INT((ROW()-2)/Settings!$B$6)+2</f>
        <v>19</v>
      </c>
      <c r="J217">
        <f>MOD(ROW()-2,Settings!$B$6)+1</f>
        <v>12</v>
      </c>
    </row>
    <row r="218" spans="1:10" x14ac:dyDescent="0.3">
      <c r="A218" t="str">
        <f>IF(OR(INDEX(Matches!$I$2:$I$25,I218-1)="",INDEX(Matches!$J$2:$J$25,I218-1)=""),"",IF(J218&lt;=INDEX(Matches!$I$2:$I$25,I218-1)+INDEX(Matches!$J$2:$J$25,I218-1),INDEX(Matches!$A$2:$A$25,I218-1),""))</f>
        <v/>
      </c>
      <c r="B218" t="str">
        <f>IF(A218="","",IF(J218&lt;=INDEX(Matches!$I$2:$I$25,I218-1),INDEX(Matches!$G$2:$G$25,I218-1),INDEX(Matches!$H$2:$H$25,I218-1)))</f>
        <v/>
      </c>
      <c r="C218" t="str">
        <f>IF(A218="","",COUNTIFS($A$2:A218,A218,$B$2:B218,B218))</f>
        <v/>
      </c>
      <c r="D218" s="2" t="str">
        <f t="shared" si="9"/>
        <v/>
      </c>
      <c r="E218" s="2"/>
      <c r="F218" t="str">
        <f t="shared" si="10"/>
        <v/>
      </c>
      <c r="G218" t="str">
        <f t="shared" si="11"/>
        <v/>
      </c>
      <c r="H218" t="str">
        <f>IF(F218="","",VLOOKUP(F218,Validation!$A$2:$B$17,2,FALSE))</f>
        <v/>
      </c>
      <c r="I218">
        <f>INT((ROW()-2)/Settings!$B$6)+2</f>
        <v>20</v>
      </c>
      <c r="J218">
        <f>MOD(ROW()-2,Settings!$B$6)+1</f>
        <v>1</v>
      </c>
    </row>
    <row r="219" spans="1:10" x14ac:dyDescent="0.3">
      <c r="A219" t="str">
        <f>IF(OR(INDEX(Matches!$I$2:$I$25,I219-1)="",INDEX(Matches!$J$2:$J$25,I219-1)=""),"",IF(J219&lt;=INDEX(Matches!$I$2:$I$25,I219-1)+INDEX(Matches!$J$2:$J$25,I219-1),INDEX(Matches!$A$2:$A$25,I219-1),""))</f>
        <v/>
      </c>
      <c r="B219" t="str">
        <f>IF(A219="","",IF(J219&lt;=INDEX(Matches!$I$2:$I$25,I219-1),INDEX(Matches!$G$2:$G$25,I219-1),INDEX(Matches!$H$2:$H$25,I219-1)))</f>
        <v/>
      </c>
      <c r="C219" t="str">
        <f>IF(A219="","",COUNTIFS($A$2:A219,A219,$B$2:B219,B219))</f>
        <v/>
      </c>
      <c r="D219" s="2" t="str">
        <f t="shared" si="9"/>
        <v/>
      </c>
      <c r="E219" s="2"/>
      <c r="F219" t="str">
        <f t="shared" si="10"/>
        <v/>
      </c>
      <c r="G219" t="str">
        <f t="shared" si="11"/>
        <v/>
      </c>
      <c r="H219" t="str">
        <f>IF(F219="","",VLOOKUP(F219,Validation!$A$2:$B$17,2,FALSE))</f>
        <v/>
      </c>
      <c r="I219">
        <f>INT((ROW()-2)/Settings!$B$6)+2</f>
        <v>20</v>
      </c>
      <c r="J219">
        <f>MOD(ROW()-2,Settings!$B$6)+1</f>
        <v>2</v>
      </c>
    </row>
    <row r="220" spans="1:10" x14ac:dyDescent="0.3">
      <c r="A220" t="str">
        <f>IF(OR(INDEX(Matches!$I$2:$I$25,I220-1)="",INDEX(Matches!$J$2:$J$25,I220-1)=""),"",IF(J220&lt;=INDEX(Matches!$I$2:$I$25,I220-1)+INDEX(Matches!$J$2:$J$25,I220-1),INDEX(Matches!$A$2:$A$25,I220-1),""))</f>
        <v/>
      </c>
      <c r="B220" t="str">
        <f>IF(A220="","",IF(J220&lt;=INDEX(Matches!$I$2:$I$25,I220-1),INDEX(Matches!$G$2:$G$25,I220-1),INDEX(Matches!$H$2:$H$25,I220-1)))</f>
        <v/>
      </c>
      <c r="C220" t="str">
        <f>IF(A220="","",COUNTIFS($A$2:A220,A220,$B$2:B220,B220))</f>
        <v/>
      </c>
      <c r="D220" s="2" t="str">
        <f t="shared" si="9"/>
        <v/>
      </c>
      <c r="E220" s="2"/>
      <c r="F220" t="str">
        <f t="shared" si="10"/>
        <v/>
      </c>
      <c r="G220" t="str">
        <f t="shared" si="11"/>
        <v/>
      </c>
      <c r="H220" t="str">
        <f>IF(F220="","",VLOOKUP(F220,Validation!$A$2:$B$17,2,FALSE))</f>
        <v/>
      </c>
      <c r="I220">
        <f>INT((ROW()-2)/Settings!$B$6)+2</f>
        <v>20</v>
      </c>
      <c r="J220">
        <f>MOD(ROW()-2,Settings!$B$6)+1</f>
        <v>3</v>
      </c>
    </row>
    <row r="221" spans="1:10" x14ac:dyDescent="0.3">
      <c r="A221" t="str">
        <f>IF(OR(INDEX(Matches!$I$2:$I$25,I221-1)="",INDEX(Matches!$J$2:$J$25,I221-1)=""),"",IF(J221&lt;=INDEX(Matches!$I$2:$I$25,I221-1)+INDEX(Matches!$J$2:$J$25,I221-1),INDEX(Matches!$A$2:$A$25,I221-1),""))</f>
        <v/>
      </c>
      <c r="B221" t="str">
        <f>IF(A221="","",IF(J221&lt;=INDEX(Matches!$I$2:$I$25,I221-1),INDEX(Matches!$G$2:$G$25,I221-1),INDEX(Matches!$H$2:$H$25,I221-1)))</f>
        <v/>
      </c>
      <c r="C221" t="str">
        <f>IF(A221="","",COUNTIFS($A$2:A221,A221,$B$2:B221,B221))</f>
        <v/>
      </c>
      <c r="D221" s="2" t="str">
        <f t="shared" si="9"/>
        <v/>
      </c>
      <c r="E221" s="2"/>
      <c r="F221" t="str">
        <f t="shared" si="10"/>
        <v/>
      </c>
      <c r="G221" t="str">
        <f t="shared" si="11"/>
        <v/>
      </c>
      <c r="H221" t="str">
        <f>IF(F221="","",VLOOKUP(F221,Validation!$A$2:$B$17,2,FALSE))</f>
        <v/>
      </c>
      <c r="I221">
        <f>INT((ROW()-2)/Settings!$B$6)+2</f>
        <v>20</v>
      </c>
      <c r="J221">
        <f>MOD(ROW()-2,Settings!$B$6)+1</f>
        <v>4</v>
      </c>
    </row>
    <row r="222" spans="1:10" x14ac:dyDescent="0.3">
      <c r="A222" t="str">
        <f>IF(OR(INDEX(Matches!$I$2:$I$25,I222-1)="",INDEX(Matches!$J$2:$J$25,I222-1)=""),"",IF(J222&lt;=INDEX(Matches!$I$2:$I$25,I222-1)+INDEX(Matches!$J$2:$J$25,I222-1),INDEX(Matches!$A$2:$A$25,I222-1),""))</f>
        <v/>
      </c>
      <c r="B222" t="str">
        <f>IF(A222="","",IF(J222&lt;=INDEX(Matches!$I$2:$I$25,I222-1),INDEX(Matches!$G$2:$G$25,I222-1),INDEX(Matches!$H$2:$H$25,I222-1)))</f>
        <v/>
      </c>
      <c r="C222" t="str">
        <f>IF(A222="","",COUNTIFS($A$2:A222,A222,$B$2:B222,B222))</f>
        <v/>
      </c>
      <c r="D222" s="2" t="str">
        <f t="shared" si="9"/>
        <v/>
      </c>
      <c r="E222" s="2"/>
      <c r="F222" t="str">
        <f t="shared" si="10"/>
        <v/>
      </c>
      <c r="G222" t="str">
        <f t="shared" si="11"/>
        <v/>
      </c>
      <c r="H222" t="str">
        <f>IF(F222="","",VLOOKUP(F222,Validation!$A$2:$B$17,2,FALSE))</f>
        <v/>
      </c>
      <c r="I222">
        <f>INT((ROW()-2)/Settings!$B$6)+2</f>
        <v>20</v>
      </c>
      <c r="J222">
        <f>MOD(ROW()-2,Settings!$B$6)+1</f>
        <v>5</v>
      </c>
    </row>
    <row r="223" spans="1:10" x14ac:dyDescent="0.3">
      <c r="A223" t="str">
        <f>IF(OR(INDEX(Matches!$I$2:$I$25,I223-1)="",INDEX(Matches!$J$2:$J$25,I223-1)=""),"",IF(J223&lt;=INDEX(Matches!$I$2:$I$25,I223-1)+INDEX(Matches!$J$2:$J$25,I223-1),INDEX(Matches!$A$2:$A$25,I223-1),""))</f>
        <v/>
      </c>
      <c r="B223" t="str">
        <f>IF(A223="","",IF(J223&lt;=INDEX(Matches!$I$2:$I$25,I223-1),INDEX(Matches!$G$2:$G$25,I223-1),INDEX(Matches!$H$2:$H$25,I223-1)))</f>
        <v/>
      </c>
      <c r="C223" t="str">
        <f>IF(A223="","",COUNTIFS($A$2:A223,A223,$B$2:B223,B223))</f>
        <v/>
      </c>
      <c r="D223" s="2" t="str">
        <f t="shared" si="9"/>
        <v/>
      </c>
      <c r="E223" s="2"/>
      <c r="F223" t="str">
        <f t="shared" si="10"/>
        <v/>
      </c>
      <c r="G223" t="str">
        <f t="shared" si="11"/>
        <v/>
      </c>
      <c r="H223" t="str">
        <f>IF(F223="","",VLOOKUP(F223,Validation!$A$2:$B$17,2,FALSE))</f>
        <v/>
      </c>
      <c r="I223">
        <f>INT((ROW()-2)/Settings!$B$6)+2</f>
        <v>20</v>
      </c>
      <c r="J223">
        <f>MOD(ROW()-2,Settings!$B$6)+1</f>
        <v>6</v>
      </c>
    </row>
    <row r="224" spans="1:10" x14ac:dyDescent="0.3">
      <c r="A224" t="str">
        <f>IF(OR(INDEX(Matches!$I$2:$I$25,I224-1)="",INDEX(Matches!$J$2:$J$25,I224-1)=""),"",IF(J224&lt;=INDEX(Matches!$I$2:$I$25,I224-1)+INDEX(Matches!$J$2:$J$25,I224-1),INDEX(Matches!$A$2:$A$25,I224-1),""))</f>
        <v/>
      </c>
      <c r="B224" t="str">
        <f>IF(A224="","",IF(J224&lt;=INDEX(Matches!$I$2:$I$25,I224-1),INDEX(Matches!$G$2:$G$25,I224-1),INDEX(Matches!$H$2:$H$25,I224-1)))</f>
        <v/>
      </c>
      <c r="C224" t="str">
        <f>IF(A224="","",COUNTIFS($A$2:A224,A224,$B$2:B224,B224))</f>
        <v/>
      </c>
      <c r="D224" s="2" t="str">
        <f t="shared" si="9"/>
        <v/>
      </c>
      <c r="E224" s="2"/>
      <c r="F224" t="str">
        <f t="shared" si="10"/>
        <v/>
      </c>
      <c r="G224" t="str">
        <f t="shared" si="11"/>
        <v/>
      </c>
      <c r="H224" t="str">
        <f>IF(F224="","",VLOOKUP(F224,Validation!$A$2:$B$17,2,FALSE))</f>
        <v/>
      </c>
      <c r="I224">
        <f>INT((ROW()-2)/Settings!$B$6)+2</f>
        <v>20</v>
      </c>
      <c r="J224">
        <f>MOD(ROW()-2,Settings!$B$6)+1</f>
        <v>7</v>
      </c>
    </row>
    <row r="225" spans="1:10" x14ac:dyDescent="0.3">
      <c r="A225" t="str">
        <f>IF(OR(INDEX(Matches!$I$2:$I$25,I225-1)="",INDEX(Matches!$J$2:$J$25,I225-1)=""),"",IF(J225&lt;=INDEX(Matches!$I$2:$I$25,I225-1)+INDEX(Matches!$J$2:$J$25,I225-1),INDEX(Matches!$A$2:$A$25,I225-1),""))</f>
        <v/>
      </c>
      <c r="B225" t="str">
        <f>IF(A225="","",IF(J225&lt;=INDEX(Matches!$I$2:$I$25,I225-1),INDEX(Matches!$G$2:$G$25,I225-1),INDEX(Matches!$H$2:$H$25,I225-1)))</f>
        <v/>
      </c>
      <c r="C225" t="str">
        <f>IF(A225="","",COUNTIFS($A$2:A225,A225,$B$2:B225,B225))</f>
        <v/>
      </c>
      <c r="D225" s="2" t="str">
        <f t="shared" si="9"/>
        <v/>
      </c>
      <c r="E225" s="2"/>
      <c r="F225" t="str">
        <f t="shared" si="10"/>
        <v/>
      </c>
      <c r="G225" t="str">
        <f t="shared" si="11"/>
        <v/>
      </c>
      <c r="H225" t="str">
        <f>IF(F225="","",VLOOKUP(F225,Validation!$A$2:$B$17,2,FALSE))</f>
        <v/>
      </c>
      <c r="I225">
        <f>INT((ROW()-2)/Settings!$B$6)+2</f>
        <v>20</v>
      </c>
      <c r="J225">
        <f>MOD(ROW()-2,Settings!$B$6)+1</f>
        <v>8</v>
      </c>
    </row>
    <row r="226" spans="1:10" x14ac:dyDescent="0.3">
      <c r="A226" t="str">
        <f>IF(OR(INDEX(Matches!$I$2:$I$25,I226-1)="",INDEX(Matches!$J$2:$J$25,I226-1)=""),"",IF(J226&lt;=INDEX(Matches!$I$2:$I$25,I226-1)+INDEX(Matches!$J$2:$J$25,I226-1),INDEX(Matches!$A$2:$A$25,I226-1),""))</f>
        <v/>
      </c>
      <c r="B226" t="str">
        <f>IF(A226="","",IF(J226&lt;=INDEX(Matches!$I$2:$I$25,I226-1),INDEX(Matches!$G$2:$G$25,I226-1),INDEX(Matches!$H$2:$H$25,I226-1)))</f>
        <v/>
      </c>
      <c r="C226" t="str">
        <f>IF(A226="","",COUNTIFS($A$2:A226,A226,$B$2:B226,B226))</f>
        <v/>
      </c>
      <c r="D226" s="2" t="str">
        <f t="shared" si="9"/>
        <v/>
      </c>
      <c r="E226" s="2"/>
      <c r="F226" t="str">
        <f t="shared" si="10"/>
        <v/>
      </c>
      <c r="G226" t="str">
        <f t="shared" si="11"/>
        <v/>
      </c>
      <c r="H226" t="str">
        <f>IF(F226="","",VLOOKUP(F226,Validation!$A$2:$B$17,2,FALSE))</f>
        <v/>
      </c>
      <c r="I226">
        <f>INT((ROW()-2)/Settings!$B$6)+2</f>
        <v>20</v>
      </c>
      <c r="J226">
        <f>MOD(ROW()-2,Settings!$B$6)+1</f>
        <v>9</v>
      </c>
    </row>
    <row r="227" spans="1:10" x14ac:dyDescent="0.3">
      <c r="A227" t="str">
        <f>IF(OR(INDEX(Matches!$I$2:$I$25,I227-1)="",INDEX(Matches!$J$2:$J$25,I227-1)=""),"",IF(J227&lt;=INDEX(Matches!$I$2:$I$25,I227-1)+INDEX(Matches!$J$2:$J$25,I227-1),INDEX(Matches!$A$2:$A$25,I227-1),""))</f>
        <v/>
      </c>
      <c r="B227" t="str">
        <f>IF(A227="","",IF(J227&lt;=INDEX(Matches!$I$2:$I$25,I227-1),INDEX(Matches!$G$2:$G$25,I227-1),INDEX(Matches!$H$2:$H$25,I227-1)))</f>
        <v/>
      </c>
      <c r="C227" t="str">
        <f>IF(A227="","",COUNTIFS($A$2:A227,A227,$B$2:B227,B227))</f>
        <v/>
      </c>
      <c r="D227" s="2" t="str">
        <f t="shared" si="9"/>
        <v/>
      </c>
      <c r="E227" s="2"/>
      <c r="F227" t="str">
        <f t="shared" si="10"/>
        <v/>
      </c>
      <c r="G227" t="str">
        <f t="shared" si="11"/>
        <v/>
      </c>
      <c r="H227" t="str">
        <f>IF(F227="","",VLOOKUP(F227,Validation!$A$2:$B$17,2,FALSE))</f>
        <v/>
      </c>
      <c r="I227">
        <f>INT((ROW()-2)/Settings!$B$6)+2</f>
        <v>20</v>
      </c>
      <c r="J227">
        <f>MOD(ROW()-2,Settings!$B$6)+1</f>
        <v>10</v>
      </c>
    </row>
    <row r="228" spans="1:10" x14ac:dyDescent="0.3">
      <c r="A228" t="str">
        <f>IF(OR(INDEX(Matches!$I$2:$I$25,I228-1)="",INDEX(Matches!$J$2:$J$25,I228-1)=""),"",IF(J228&lt;=INDEX(Matches!$I$2:$I$25,I228-1)+INDEX(Matches!$J$2:$J$25,I228-1),INDEX(Matches!$A$2:$A$25,I228-1),""))</f>
        <v/>
      </c>
      <c r="B228" t="str">
        <f>IF(A228="","",IF(J228&lt;=INDEX(Matches!$I$2:$I$25,I228-1),INDEX(Matches!$G$2:$G$25,I228-1),INDEX(Matches!$H$2:$H$25,I228-1)))</f>
        <v/>
      </c>
      <c r="C228" t="str">
        <f>IF(A228="","",COUNTIFS($A$2:A228,A228,$B$2:B228,B228))</f>
        <v/>
      </c>
      <c r="D228" s="2" t="str">
        <f t="shared" si="9"/>
        <v/>
      </c>
      <c r="E228" s="2"/>
      <c r="F228" t="str">
        <f t="shared" si="10"/>
        <v/>
      </c>
      <c r="G228" t="str">
        <f t="shared" si="11"/>
        <v/>
      </c>
      <c r="H228" t="str">
        <f>IF(F228="","",VLOOKUP(F228,Validation!$A$2:$B$17,2,FALSE))</f>
        <v/>
      </c>
      <c r="I228">
        <f>INT((ROW()-2)/Settings!$B$6)+2</f>
        <v>20</v>
      </c>
      <c r="J228">
        <f>MOD(ROW()-2,Settings!$B$6)+1</f>
        <v>11</v>
      </c>
    </row>
    <row r="229" spans="1:10" x14ac:dyDescent="0.3">
      <c r="A229" t="str">
        <f>IF(OR(INDEX(Matches!$I$2:$I$25,I229-1)="",INDEX(Matches!$J$2:$J$25,I229-1)=""),"",IF(J229&lt;=INDEX(Matches!$I$2:$I$25,I229-1)+INDEX(Matches!$J$2:$J$25,I229-1),INDEX(Matches!$A$2:$A$25,I229-1),""))</f>
        <v/>
      </c>
      <c r="B229" t="str">
        <f>IF(A229="","",IF(J229&lt;=INDEX(Matches!$I$2:$I$25,I229-1),INDEX(Matches!$G$2:$G$25,I229-1),INDEX(Matches!$H$2:$H$25,I229-1)))</f>
        <v/>
      </c>
      <c r="C229" t="str">
        <f>IF(A229="","",COUNTIFS($A$2:A229,A229,$B$2:B229,B229))</f>
        <v/>
      </c>
      <c r="D229" s="2" t="str">
        <f t="shared" si="9"/>
        <v/>
      </c>
      <c r="E229" s="2"/>
      <c r="F229" t="str">
        <f t="shared" si="10"/>
        <v/>
      </c>
      <c r="G229" t="str">
        <f t="shared" si="11"/>
        <v/>
      </c>
      <c r="H229" t="str">
        <f>IF(F229="","",VLOOKUP(F229,Validation!$A$2:$B$17,2,FALSE))</f>
        <v/>
      </c>
      <c r="I229">
        <f>INT((ROW()-2)/Settings!$B$6)+2</f>
        <v>20</v>
      </c>
      <c r="J229">
        <f>MOD(ROW()-2,Settings!$B$6)+1</f>
        <v>12</v>
      </c>
    </row>
    <row r="230" spans="1:10" x14ac:dyDescent="0.3">
      <c r="A230" t="str">
        <f>IF(OR(INDEX(Matches!$I$2:$I$25,I230-1)="",INDEX(Matches!$J$2:$J$25,I230-1)=""),"",IF(J230&lt;=INDEX(Matches!$I$2:$I$25,I230-1)+INDEX(Matches!$J$2:$J$25,I230-1),INDEX(Matches!$A$2:$A$25,I230-1),""))</f>
        <v/>
      </c>
      <c r="B230" t="str">
        <f>IF(A230="","",IF(J230&lt;=INDEX(Matches!$I$2:$I$25,I230-1),INDEX(Matches!$G$2:$G$25,I230-1),INDEX(Matches!$H$2:$H$25,I230-1)))</f>
        <v/>
      </c>
      <c r="C230" t="str">
        <f>IF(A230="","",COUNTIFS($A$2:A230,A230,$B$2:B230,B230))</f>
        <v/>
      </c>
      <c r="D230" s="2" t="str">
        <f t="shared" si="9"/>
        <v/>
      </c>
      <c r="E230" s="2"/>
      <c r="F230" t="str">
        <f t="shared" si="10"/>
        <v/>
      </c>
      <c r="G230" t="str">
        <f t="shared" si="11"/>
        <v/>
      </c>
      <c r="H230" t="str">
        <f>IF(F230="","",VLOOKUP(F230,Validation!$A$2:$B$17,2,FALSE))</f>
        <v/>
      </c>
      <c r="I230">
        <f>INT((ROW()-2)/Settings!$B$6)+2</f>
        <v>21</v>
      </c>
      <c r="J230">
        <f>MOD(ROW()-2,Settings!$B$6)+1</f>
        <v>1</v>
      </c>
    </row>
    <row r="231" spans="1:10" x14ac:dyDescent="0.3">
      <c r="A231" t="str">
        <f>IF(OR(INDEX(Matches!$I$2:$I$25,I231-1)="",INDEX(Matches!$J$2:$J$25,I231-1)=""),"",IF(J231&lt;=INDEX(Matches!$I$2:$I$25,I231-1)+INDEX(Matches!$J$2:$J$25,I231-1),INDEX(Matches!$A$2:$A$25,I231-1),""))</f>
        <v/>
      </c>
      <c r="B231" t="str">
        <f>IF(A231="","",IF(J231&lt;=INDEX(Matches!$I$2:$I$25,I231-1),INDEX(Matches!$G$2:$G$25,I231-1),INDEX(Matches!$H$2:$H$25,I231-1)))</f>
        <v/>
      </c>
      <c r="C231" t="str">
        <f>IF(A231="","",COUNTIFS($A$2:A231,A231,$B$2:B231,B231))</f>
        <v/>
      </c>
      <c r="D231" s="2" t="str">
        <f t="shared" si="9"/>
        <v/>
      </c>
      <c r="E231" s="2"/>
      <c r="F231" t="str">
        <f t="shared" si="10"/>
        <v/>
      </c>
      <c r="G231" t="str">
        <f t="shared" si="11"/>
        <v/>
      </c>
      <c r="H231" t="str">
        <f>IF(F231="","",VLOOKUP(F231,Validation!$A$2:$B$17,2,FALSE))</f>
        <v/>
      </c>
      <c r="I231">
        <f>INT((ROW()-2)/Settings!$B$6)+2</f>
        <v>21</v>
      </c>
      <c r="J231">
        <f>MOD(ROW()-2,Settings!$B$6)+1</f>
        <v>2</v>
      </c>
    </row>
    <row r="232" spans="1:10" x14ac:dyDescent="0.3">
      <c r="A232" t="str">
        <f>IF(OR(INDEX(Matches!$I$2:$I$25,I232-1)="",INDEX(Matches!$J$2:$J$25,I232-1)=""),"",IF(J232&lt;=INDEX(Matches!$I$2:$I$25,I232-1)+INDEX(Matches!$J$2:$J$25,I232-1),INDEX(Matches!$A$2:$A$25,I232-1),""))</f>
        <v/>
      </c>
      <c r="B232" t="str">
        <f>IF(A232="","",IF(J232&lt;=INDEX(Matches!$I$2:$I$25,I232-1),INDEX(Matches!$G$2:$G$25,I232-1),INDEX(Matches!$H$2:$H$25,I232-1)))</f>
        <v/>
      </c>
      <c r="C232" t="str">
        <f>IF(A232="","",COUNTIFS($A$2:A232,A232,$B$2:B232,B232))</f>
        <v/>
      </c>
      <c r="D232" s="2" t="str">
        <f t="shared" si="9"/>
        <v/>
      </c>
      <c r="E232" s="2"/>
      <c r="F232" t="str">
        <f t="shared" si="10"/>
        <v/>
      </c>
      <c r="G232" t="str">
        <f t="shared" si="11"/>
        <v/>
      </c>
      <c r="H232" t="str">
        <f>IF(F232="","",VLOOKUP(F232,Validation!$A$2:$B$17,2,FALSE))</f>
        <v/>
      </c>
      <c r="I232">
        <f>INT((ROW()-2)/Settings!$B$6)+2</f>
        <v>21</v>
      </c>
      <c r="J232">
        <f>MOD(ROW()-2,Settings!$B$6)+1</f>
        <v>3</v>
      </c>
    </row>
    <row r="233" spans="1:10" x14ac:dyDescent="0.3">
      <c r="A233" t="str">
        <f>IF(OR(INDEX(Matches!$I$2:$I$25,I233-1)="",INDEX(Matches!$J$2:$J$25,I233-1)=""),"",IF(J233&lt;=INDEX(Matches!$I$2:$I$25,I233-1)+INDEX(Matches!$J$2:$J$25,I233-1),INDEX(Matches!$A$2:$A$25,I233-1),""))</f>
        <v/>
      </c>
      <c r="B233" t="str">
        <f>IF(A233="","",IF(J233&lt;=INDEX(Matches!$I$2:$I$25,I233-1),INDEX(Matches!$G$2:$G$25,I233-1),INDEX(Matches!$H$2:$H$25,I233-1)))</f>
        <v/>
      </c>
      <c r="C233" t="str">
        <f>IF(A233="","",COUNTIFS($A$2:A233,A233,$B$2:B233,B233))</f>
        <v/>
      </c>
      <c r="D233" s="2" t="str">
        <f t="shared" si="9"/>
        <v/>
      </c>
      <c r="E233" s="2"/>
      <c r="F233" t="str">
        <f t="shared" si="10"/>
        <v/>
      </c>
      <c r="G233" t="str">
        <f t="shared" si="11"/>
        <v/>
      </c>
      <c r="H233" t="str">
        <f>IF(F233="","",VLOOKUP(F233,Validation!$A$2:$B$17,2,FALSE))</f>
        <v/>
      </c>
      <c r="I233">
        <f>INT((ROW()-2)/Settings!$B$6)+2</f>
        <v>21</v>
      </c>
      <c r="J233">
        <f>MOD(ROW()-2,Settings!$B$6)+1</f>
        <v>4</v>
      </c>
    </row>
    <row r="234" spans="1:10" x14ac:dyDescent="0.3">
      <c r="A234" t="str">
        <f>IF(OR(INDEX(Matches!$I$2:$I$25,I234-1)="",INDEX(Matches!$J$2:$J$25,I234-1)=""),"",IF(J234&lt;=INDEX(Matches!$I$2:$I$25,I234-1)+INDEX(Matches!$J$2:$J$25,I234-1),INDEX(Matches!$A$2:$A$25,I234-1),""))</f>
        <v/>
      </c>
      <c r="B234" t="str">
        <f>IF(A234="","",IF(J234&lt;=INDEX(Matches!$I$2:$I$25,I234-1),INDEX(Matches!$G$2:$G$25,I234-1),INDEX(Matches!$H$2:$H$25,I234-1)))</f>
        <v/>
      </c>
      <c r="C234" t="str">
        <f>IF(A234="","",COUNTIFS($A$2:A234,A234,$B$2:B234,B234))</f>
        <v/>
      </c>
      <c r="D234" s="2" t="str">
        <f t="shared" si="9"/>
        <v/>
      </c>
      <c r="E234" s="2"/>
      <c r="F234" t="str">
        <f t="shared" si="10"/>
        <v/>
      </c>
      <c r="G234" t="str">
        <f t="shared" si="11"/>
        <v/>
      </c>
      <c r="H234" t="str">
        <f>IF(F234="","",VLOOKUP(F234,Validation!$A$2:$B$17,2,FALSE))</f>
        <v/>
      </c>
      <c r="I234">
        <f>INT((ROW()-2)/Settings!$B$6)+2</f>
        <v>21</v>
      </c>
      <c r="J234">
        <f>MOD(ROW()-2,Settings!$B$6)+1</f>
        <v>5</v>
      </c>
    </row>
    <row r="235" spans="1:10" x14ac:dyDescent="0.3">
      <c r="A235" t="str">
        <f>IF(OR(INDEX(Matches!$I$2:$I$25,I235-1)="",INDEX(Matches!$J$2:$J$25,I235-1)=""),"",IF(J235&lt;=INDEX(Matches!$I$2:$I$25,I235-1)+INDEX(Matches!$J$2:$J$25,I235-1),INDEX(Matches!$A$2:$A$25,I235-1),""))</f>
        <v/>
      </c>
      <c r="B235" t="str">
        <f>IF(A235="","",IF(J235&lt;=INDEX(Matches!$I$2:$I$25,I235-1),INDEX(Matches!$G$2:$G$25,I235-1),INDEX(Matches!$H$2:$H$25,I235-1)))</f>
        <v/>
      </c>
      <c r="C235" t="str">
        <f>IF(A235="","",COUNTIFS($A$2:A235,A235,$B$2:B235,B235))</f>
        <v/>
      </c>
      <c r="D235" s="2" t="str">
        <f t="shared" si="9"/>
        <v/>
      </c>
      <c r="E235" s="2"/>
      <c r="F235" t="str">
        <f t="shared" si="10"/>
        <v/>
      </c>
      <c r="G235" t="str">
        <f t="shared" si="11"/>
        <v/>
      </c>
      <c r="H235" t="str">
        <f>IF(F235="","",VLOOKUP(F235,Validation!$A$2:$B$17,2,FALSE))</f>
        <v/>
      </c>
      <c r="I235">
        <f>INT((ROW()-2)/Settings!$B$6)+2</f>
        <v>21</v>
      </c>
      <c r="J235">
        <f>MOD(ROW()-2,Settings!$B$6)+1</f>
        <v>6</v>
      </c>
    </row>
    <row r="236" spans="1:10" x14ac:dyDescent="0.3">
      <c r="A236" t="str">
        <f>IF(OR(INDEX(Matches!$I$2:$I$25,I236-1)="",INDEX(Matches!$J$2:$J$25,I236-1)=""),"",IF(J236&lt;=INDEX(Matches!$I$2:$I$25,I236-1)+INDEX(Matches!$J$2:$J$25,I236-1),INDEX(Matches!$A$2:$A$25,I236-1),""))</f>
        <v/>
      </c>
      <c r="B236" t="str">
        <f>IF(A236="","",IF(J236&lt;=INDEX(Matches!$I$2:$I$25,I236-1),INDEX(Matches!$G$2:$G$25,I236-1),INDEX(Matches!$H$2:$H$25,I236-1)))</f>
        <v/>
      </c>
      <c r="C236" t="str">
        <f>IF(A236="","",COUNTIFS($A$2:A236,A236,$B$2:B236,B236))</f>
        <v/>
      </c>
      <c r="D236" s="2" t="str">
        <f t="shared" si="9"/>
        <v/>
      </c>
      <c r="E236" s="2"/>
      <c r="F236" t="str">
        <f t="shared" si="10"/>
        <v/>
      </c>
      <c r="G236" t="str">
        <f t="shared" si="11"/>
        <v/>
      </c>
      <c r="H236" t="str">
        <f>IF(F236="","",VLOOKUP(F236,Validation!$A$2:$B$17,2,FALSE))</f>
        <v/>
      </c>
      <c r="I236">
        <f>INT((ROW()-2)/Settings!$B$6)+2</f>
        <v>21</v>
      </c>
      <c r="J236">
        <f>MOD(ROW()-2,Settings!$B$6)+1</f>
        <v>7</v>
      </c>
    </row>
    <row r="237" spans="1:10" x14ac:dyDescent="0.3">
      <c r="A237" t="str">
        <f>IF(OR(INDEX(Matches!$I$2:$I$25,I237-1)="",INDEX(Matches!$J$2:$J$25,I237-1)=""),"",IF(J237&lt;=INDEX(Matches!$I$2:$I$25,I237-1)+INDEX(Matches!$J$2:$J$25,I237-1),INDEX(Matches!$A$2:$A$25,I237-1),""))</f>
        <v/>
      </c>
      <c r="B237" t="str">
        <f>IF(A237="","",IF(J237&lt;=INDEX(Matches!$I$2:$I$25,I237-1),INDEX(Matches!$G$2:$G$25,I237-1),INDEX(Matches!$H$2:$H$25,I237-1)))</f>
        <v/>
      </c>
      <c r="C237" t="str">
        <f>IF(A237="","",COUNTIFS($A$2:A237,A237,$B$2:B237,B237))</f>
        <v/>
      </c>
      <c r="D237" s="2" t="str">
        <f t="shared" si="9"/>
        <v/>
      </c>
      <c r="E237" s="2"/>
      <c r="F237" t="str">
        <f t="shared" si="10"/>
        <v/>
      </c>
      <c r="G237" t="str">
        <f t="shared" si="11"/>
        <v/>
      </c>
      <c r="H237" t="str">
        <f>IF(F237="","",VLOOKUP(F237,Validation!$A$2:$B$17,2,FALSE))</f>
        <v/>
      </c>
      <c r="I237">
        <f>INT((ROW()-2)/Settings!$B$6)+2</f>
        <v>21</v>
      </c>
      <c r="J237">
        <f>MOD(ROW()-2,Settings!$B$6)+1</f>
        <v>8</v>
      </c>
    </row>
    <row r="238" spans="1:10" x14ac:dyDescent="0.3">
      <c r="A238" t="str">
        <f>IF(OR(INDEX(Matches!$I$2:$I$25,I238-1)="",INDEX(Matches!$J$2:$J$25,I238-1)=""),"",IF(J238&lt;=INDEX(Matches!$I$2:$I$25,I238-1)+INDEX(Matches!$J$2:$J$25,I238-1),INDEX(Matches!$A$2:$A$25,I238-1),""))</f>
        <v/>
      </c>
      <c r="B238" t="str">
        <f>IF(A238="","",IF(J238&lt;=INDEX(Matches!$I$2:$I$25,I238-1),INDEX(Matches!$G$2:$G$25,I238-1),INDEX(Matches!$H$2:$H$25,I238-1)))</f>
        <v/>
      </c>
      <c r="C238" t="str">
        <f>IF(A238="","",COUNTIFS($A$2:A238,A238,$B$2:B238,B238))</f>
        <v/>
      </c>
      <c r="D238" s="2" t="str">
        <f t="shared" si="9"/>
        <v/>
      </c>
      <c r="E238" s="2"/>
      <c r="F238" t="str">
        <f t="shared" si="10"/>
        <v/>
      </c>
      <c r="G238" t="str">
        <f t="shared" si="11"/>
        <v/>
      </c>
      <c r="H238" t="str">
        <f>IF(F238="","",VLOOKUP(F238,Validation!$A$2:$B$17,2,FALSE))</f>
        <v/>
      </c>
      <c r="I238">
        <f>INT((ROW()-2)/Settings!$B$6)+2</f>
        <v>21</v>
      </c>
      <c r="J238">
        <f>MOD(ROW()-2,Settings!$B$6)+1</f>
        <v>9</v>
      </c>
    </row>
    <row r="239" spans="1:10" x14ac:dyDescent="0.3">
      <c r="A239" t="str">
        <f>IF(OR(INDEX(Matches!$I$2:$I$25,I239-1)="",INDEX(Matches!$J$2:$J$25,I239-1)=""),"",IF(J239&lt;=INDEX(Matches!$I$2:$I$25,I239-1)+INDEX(Matches!$J$2:$J$25,I239-1),INDEX(Matches!$A$2:$A$25,I239-1),""))</f>
        <v/>
      </c>
      <c r="B239" t="str">
        <f>IF(A239="","",IF(J239&lt;=INDEX(Matches!$I$2:$I$25,I239-1),INDEX(Matches!$G$2:$G$25,I239-1),INDEX(Matches!$H$2:$H$25,I239-1)))</f>
        <v/>
      </c>
      <c r="C239" t="str">
        <f>IF(A239="","",COUNTIFS($A$2:A239,A239,$B$2:B239,B239))</f>
        <v/>
      </c>
      <c r="D239" s="2" t="str">
        <f t="shared" si="9"/>
        <v/>
      </c>
      <c r="E239" s="2"/>
      <c r="F239" t="str">
        <f t="shared" si="10"/>
        <v/>
      </c>
      <c r="G239" t="str">
        <f t="shared" si="11"/>
        <v/>
      </c>
      <c r="H239" t="str">
        <f>IF(F239="","",VLOOKUP(F239,Validation!$A$2:$B$17,2,FALSE))</f>
        <v/>
      </c>
      <c r="I239">
        <f>INT((ROW()-2)/Settings!$B$6)+2</f>
        <v>21</v>
      </c>
      <c r="J239">
        <f>MOD(ROW()-2,Settings!$B$6)+1</f>
        <v>10</v>
      </c>
    </row>
    <row r="240" spans="1:10" x14ac:dyDescent="0.3">
      <c r="A240" t="str">
        <f>IF(OR(INDEX(Matches!$I$2:$I$25,I240-1)="",INDEX(Matches!$J$2:$J$25,I240-1)=""),"",IF(J240&lt;=INDEX(Matches!$I$2:$I$25,I240-1)+INDEX(Matches!$J$2:$J$25,I240-1),INDEX(Matches!$A$2:$A$25,I240-1),""))</f>
        <v/>
      </c>
      <c r="B240" t="str">
        <f>IF(A240="","",IF(J240&lt;=INDEX(Matches!$I$2:$I$25,I240-1),INDEX(Matches!$G$2:$G$25,I240-1),INDEX(Matches!$H$2:$H$25,I240-1)))</f>
        <v/>
      </c>
      <c r="C240" t="str">
        <f>IF(A240="","",COUNTIFS($A$2:A240,A240,$B$2:B240,B240))</f>
        <v/>
      </c>
      <c r="D240" s="2" t="str">
        <f t="shared" si="9"/>
        <v/>
      </c>
      <c r="E240" s="2"/>
      <c r="F240" t="str">
        <f t="shared" si="10"/>
        <v/>
      </c>
      <c r="G240" t="str">
        <f t="shared" si="11"/>
        <v/>
      </c>
      <c r="H240" t="str">
        <f>IF(F240="","",VLOOKUP(F240,Validation!$A$2:$B$17,2,FALSE))</f>
        <v/>
      </c>
      <c r="I240">
        <f>INT((ROW()-2)/Settings!$B$6)+2</f>
        <v>21</v>
      </c>
      <c r="J240">
        <f>MOD(ROW()-2,Settings!$B$6)+1</f>
        <v>11</v>
      </c>
    </row>
    <row r="241" spans="1:10" x14ac:dyDescent="0.3">
      <c r="A241" t="str">
        <f>IF(OR(INDEX(Matches!$I$2:$I$25,I241-1)="",INDEX(Matches!$J$2:$J$25,I241-1)=""),"",IF(J241&lt;=INDEX(Matches!$I$2:$I$25,I241-1)+INDEX(Matches!$J$2:$J$25,I241-1),INDEX(Matches!$A$2:$A$25,I241-1),""))</f>
        <v/>
      </c>
      <c r="B241" t="str">
        <f>IF(A241="","",IF(J241&lt;=INDEX(Matches!$I$2:$I$25,I241-1),INDEX(Matches!$G$2:$G$25,I241-1),INDEX(Matches!$H$2:$H$25,I241-1)))</f>
        <v/>
      </c>
      <c r="C241" t="str">
        <f>IF(A241="","",COUNTIFS($A$2:A241,A241,$B$2:B241,B241))</f>
        <v/>
      </c>
      <c r="D241" s="2" t="str">
        <f t="shared" si="9"/>
        <v/>
      </c>
      <c r="E241" s="2"/>
      <c r="F241" t="str">
        <f t="shared" si="10"/>
        <v/>
      </c>
      <c r="G241" t="str">
        <f t="shared" si="11"/>
        <v/>
      </c>
      <c r="H241" t="str">
        <f>IF(F241="","",VLOOKUP(F241,Validation!$A$2:$B$17,2,FALSE))</f>
        <v/>
      </c>
      <c r="I241">
        <f>INT((ROW()-2)/Settings!$B$6)+2</f>
        <v>21</v>
      </c>
      <c r="J241">
        <f>MOD(ROW()-2,Settings!$B$6)+1</f>
        <v>12</v>
      </c>
    </row>
    <row r="242" spans="1:10" x14ac:dyDescent="0.3">
      <c r="A242" t="str">
        <f>IF(OR(INDEX(Matches!$I$2:$I$25,I242-1)="",INDEX(Matches!$J$2:$J$25,I242-1)=""),"",IF(J242&lt;=INDEX(Matches!$I$2:$I$25,I242-1)+INDEX(Matches!$J$2:$J$25,I242-1),INDEX(Matches!$A$2:$A$25,I242-1),""))</f>
        <v/>
      </c>
      <c r="B242" t="str">
        <f>IF(A242="","",IF(J242&lt;=INDEX(Matches!$I$2:$I$25,I242-1),INDEX(Matches!$G$2:$G$25,I242-1),INDEX(Matches!$H$2:$H$25,I242-1)))</f>
        <v/>
      </c>
      <c r="C242" t="str">
        <f>IF(A242="","",COUNTIFS($A$2:A242,A242,$B$2:B242,B242))</f>
        <v/>
      </c>
      <c r="D242" s="2" t="str">
        <f t="shared" si="9"/>
        <v/>
      </c>
      <c r="E242" s="2"/>
      <c r="F242" t="str">
        <f t="shared" si="10"/>
        <v/>
      </c>
      <c r="G242" t="str">
        <f t="shared" si="11"/>
        <v/>
      </c>
      <c r="H242" t="str">
        <f>IF(F242="","",VLOOKUP(F242,Validation!$A$2:$B$17,2,FALSE))</f>
        <v/>
      </c>
      <c r="I242">
        <f>INT((ROW()-2)/Settings!$B$6)+2</f>
        <v>22</v>
      </c>
      <c r="J242">
        <f>MOD(ROW()-2,Settings!$B$6)+1</f>
        <v>1</v>
      </c>
    </row>
    <row r="243" spans="1:10" x14ac:dyDescent="0.3">
      <c r="A243" t="str">
        <f>IF(OR(INDEX(Matches!$I$2:$I$25,I243-1)="",INDEX(Matches!$J$2:$J$25,I243-1)=""),"",IF(J243&lt;=INDEX(Matches!$I$2:$I$25,I243-1)+INDEX(Matches!$J$2:$J$25,I243-1),INDEX(Matches!$A$2:$A$25,I243-1),""))</f>
        <v/>
      </c>
      <c r="B243" t="str">
        <f>IF(A243="","",IF(J243&lt;=INDEX(Matches!$I$2:$I$25,I243-1),INDEX(Matches!$G$2:$G$25,I243-1),INDEX(Matches!$H$2:$H$25,I243-1)))</f>
        <v/>
      </c>
      <c r="C243" t="str">
        <f>IF(A243="","",COUNTIFS($A$2:A243,A243,$B$2:B243,B243))</f>
        <v/>
      </c>
      <c r="D243" s="2" t="str">
        <f t="shared" si="9"/>
        <v/>
      </c>
      <c r="E243" s="2"/>
      <c r="F243" t="str">
        <f t="shared" si="10"/>
        <v/>
      </c>
      <c r="G243" t="str">
        <f t="shared" si="11"/>
        <v/>
      </c>
      <c r="H243" t="str">
        <f>IF(F243="","",VLOOKUP(F243,Validation!$A$2:$B$17,2,FALSE))</f>
        <v/>
      </c>
      <c r="I243">
        <f>INT((ROW()-2)/Settings!$B$6)+2</f>
        <v>22</v>
      </c>
      <c r="J243">
        <f>MOD(ROW()-2,Settings!$B$6)+1</f>
        <v>2</v>
      </c>
    </row>
    <row r="244" spans="1:10" x14ac:dyDescent="0.3">
      <c r="A244" t="str">
        <f>IF(OR(INDEX(Matches!$I$2:$I$25,I244-1)="",INDEX(Matches!$J$2:$J$25,I244-1)=""),"",IF(J244&lt;=INDEX(Matches!$I$2:$I$25,I244-1)+INDEX(Matches!$J$2:$J$25,I244-1),INDEX(Matches!$A$2:$A$25,I244-1),""))</f>
        <v/>
      </c>
      <c r="B244" t="str">
        <f>IF(A244="","",IF(J244&lt;=INDEX(Matches!$I$2:$I$25,I244-1),INDEX(Matches!$G$2:$G$25,I244-1),INDEX(Matches!$H$2:$H$25,I244-1)))</f>
        <v/>
      </c>
      <c r="C244" t="str">
        <f>IF(A244="","",COUNTIFS($A$2:A244,A244,$B$2:B244,B244))</f>
        <v/>
      </c>
      <c r="D244" s="2" t="str">
        <f t="shared" si="9"/>
        <v/>
      </c>
      <c r="E244" s="2"/>
      <c r="F244" t="str">
        <f t="shared" si="10"/>
        <v/>
      </c>
      <c r="G244" t="str">
        <f t="shared" si="11"/>
        <v/>
      </c>
      <c r="H244" t="str">
        <f>IF(F244="","",VLOOKUP(F244,Validation!$A$2:$B$17,2,FALSE))</f>
        <v/>
      </c>
      <c r="I244">
        <f>INT((ROW()-2)/Settings!$B$6)+2</f>
        <v>22</v>
      </c>
      <c r="J244">
        <f>MOD(ROW()-2,Settings!$B$6)+1</f>
        <v>3</v>
      </c>
    </row>
    <row r="245" spans="1:10" x14ac:dyDescent="0.3">
      <c r="A245" t="str">
        <f>IF(OR(INDEX(Matches!$I$2:$I$25,I245-1)="",INDEX(Matches!$J$2:$J$25,I245-1)=""),"",IF(J245&lt;=INDEX(Matches!$I$2:$I$25,I245-1)+INDEX(Matches!$J$2:$J$25,I245-1),INDEX(Matches!$A$2:$A$25,I245-1),""))</f>
        <v/>
      </c>
      <c r="B245" t="str">
        <f>IF(A245="","",IF(J245&lt;=INDEX(Matches!$I$2:$I$25,I245-1),INDEX(Matches!$G$2:$G$25,I245-1),INDEX(Matches!$H$2:$H$25,I245-1)))</f>
        <v/>
      </c>
      <c r="C245" t="str">
        <f>IF(A245="","",COUNTIFS($A$2:A245,A245,$B$2:B245,B245))</f>
        <v/>
      </c>
      <c r="D245" s="2" t="str">
        <f t="shared" si="9"/>
        <v/>
      </c>
      <c r="E245" s="2"/>
      <c r="F245" t="str">
        <f t="shared" si="10"/>
        <v/>
      </c>
      <c r="G245" t="str">
        <f t="shared" si="11"/>
        <v/>
      </c>
      <c r="H245" t="str">
        <f>IF(F245="","",VLOOKUP(F245,Validation!$A$2:$B$17,2,FALSE))</f>
        <v/>
      </c>
      <c r="I245">
        <f>INT((ROW()-2)/Settings!$B$6)+2</f>
        <v>22</v>
      </c>
      <c r="J245">
        <f>MOD(ROW()-2,Settings!$B$6)+1</f>
        <v>4</v>
      </c>
    </row>
    <row r="246" spans="1:10" x14ac:dyDescent="0.3">
      <c r="A246" t="str">
        <f>IF(OR(INDEX(Matches!$I$2:$I$25,I246-1)="",INDEX(Matches!$J$2:$J$25,I246-1)=""),"",IF(J246&lt;=INDEX(Matches!$I$2:$I$25,I246-1)+INDEX(Matches!$J$2:$J$25,I246-1),INDEX(Matches!$A$2:$A$25,I246-1),""))</f>
        <v/>
      </c>
      <c r="B246" t="str">
        <f>IF(A246="","",IF(J246&lt;=INDEX(Matches!$I$2:$I$25,I246-1),INDEX(Matches!$G$2:$G$25,I246-1),INDEX(Matches!$H$2:$H$25,I246-1)))</f>
        <v/>
      </c>
      <c r="C246" t="str">
        <f>IF(A246="","",COUNTIFS($A$2:A246,A246,$B$2:B246,B246))</f>
        <v/>
      </c>
      <c r="D246" s="2" t="str">
        <f t="shared" si="9"/>
        <v/>
      </c>
      <c r="E246" s="2"/>
      <c r="F246" t="str">
        <f t="shared" si="10"/>
        <v/>
      </c>
      <c r="G246" t="str">
        <f t="shared" si="11"/>
        <v/>
      </c>
      <c r="H246" t="str">
        <f>IF(F246="","",VLOOKUP(F246,Validation!$A$2:$B$17,2,FALSE))</f>
        <v/>
      </c>
      <c r="I246">
        <f>INT((ROW()-2)/Settings!$B$6)+2</f>
        <v>22</v>
      </c>
      <c r="J246">
        <f>MOD(ROW()-2,Settings!$B$6)+1</f>
        <v>5</v>
      </c>
    </row>
    <row r="247" spans="1:10" x14ac:dyDescent="0.3">
      <c r="A247" t="str">
        <f>IF(OR(INDEX(Matches!$I$2:$I$25,I247-1)="",INDEX(Matches!$J$2:$J$25,I247-1)=""),"",IF(J247&lt;=INDEX(Matches!$I$2:$I$25,I247-1)+INDEX(Matches!$J$2:$J$25,I247-1),INDEX(Matches!$A$2:$A$25,I247-1),""))</f>
        <v/>
      </c>
      <c r="B247" t="str">
        <f>IF(A247="","",IF(J247&lt;=INDEX(Matches!$I$2:$I$25,I247-1),INDEX(Matches!$G$2:$G$25,I247-1),INDEX(Matches!$H$2:$H$25,I247-1)))</f>
        <v/>
      </c>
      <c r="C247" t="str">
        <f>IF(A247="","",COUNTIFS($A$2:A247,A247,$B$2:B247,B247))</f>
        <v/>
      </c>
      <c r="D247" s="2" t="str">
        <f t="shared" si="9"/>
        <v/>
      </c>
      <c r="E247" s="2"/>
      <c r="F247" t="str">
        <f t="shared" si="10"/>
        <v/>
      </c>
      <c r="G247" t="str">
        <f t="shared" si="11"/>
        <v/>
      </c>
      <c r="H247" t="str">
        <f>IF(F247="","",VLOOKUP(F247,Validation!$A$2:$B$17,2,FALSE))</f>
        <v/>
      </c>
      <c r="I247">
        <f>INT((ROW()-2)/Settings!$B$6)+2</f>
        <v>22</v>
      </c>
      <c r="J247">
        <f>MOD(ROW()-2,Settings!$B$6)+1</f>
        <v>6</v>
      </c>
    </row>
    <row r="248" spans="1:10" x14ac:dyDescent="0.3">
      <c r="A248" t="str">
        <f>IF(OR(INDEX(Matches!$I$2:$I$25,I248-1)="",INDEX(Matches!$J$2:$J$25,I248-1)=""),"",IF(J248&lt;=INDEX(Matches!$I$2:$I$25,I248-1)+INDEX(Matches!$J$2:$J$25,I248-1),INDEX(Matches!$A$2:$A$25,I248-1),""))</f>
        <v/>
      </c>
      <c r="B248" t="str">
        <f>IF(A248="","",IF(J248&lt;=INDEX(Matches!$I$2:$I$25,I248-1),INDEX(Matches!$G$2:$G$25,I248-1),INDEX(Matches!$H$2:$H$25,I248-1)))</f>
        <v/>
      </c>
      <c r="C248" t="str">
        <f>IF(A248="","",COUNTIFS($A$2:A248,A248,$B$2:B248,B248))</f>
        <v/>
      </c>
      <c r="D248" s="2" t="str">
        <f t="shared" si="9"/>
        <v/>
      </c>
      <c r="E248" s="2"/>
      <c r="F248" t="str">
        <f t="shared" si="10"/>
        <v/>
      </c>
      <c r="G248" t="str">
        <f t="shared" si="11"/>
        <v/>
      </c>
      <c r="H248" t="str">
        <f>IF(F248="","",VLOOKUP(F248,Validation!$A$2:$B$17,2,FALSE))</f>
        <v/>
      </c>
      <c r="I248">
        <f>INT((ROW()-2)/Settings!$B$6)+2</f>
        <v>22</v>
      </c>
      <c r="J248">
        <f>MOD(ROW()-2,Settings!$B$6)+1</f>
        <v>7</v>
      </c>
    </row>
    <row r="249" spans="1:10" x14ac:dyDescent="0.3">
      <c r="A249" t="str">
        <f>IF(OR(INDEX(Matches!$I$2:$I$25,I249-1)="",INDEX(Matches!$J$2:$J$25,I249-1)=""),"",IF(J249&lt;=INDEX(Matches!$I$2:$I$25,I249-1)+INDEX(Matches!$J$2:$J$25,I249-1),INDEX(Matches!$A$2:$A$25,I249-1),""))</f>
        <v/>
      </c>
      <c r="B249" t="str">
        <f>IF(A249="","",IF(J249&lt;=INDEX(Matches!$I$2:$I$25,I249-1),INDEX(Matches!$G$2:$G$25,I249-1),INDEX(Matches!$H$2:$H$25,I249-1)))</f>
        <v/>
      </c>
      <c r="C249" t="str">
        <f>IF(A249="","",COUNTIFS($A$2:A249,A249,$B$2:B249,B249))</f>
        <v/>
      </c>
      <c r="D249" s="2" t="str">
        <f t="shared" si="9"/>
        <v/>
      </c>
      <c r="E249" s="2"/>
      <c r="F249" t="str">
        <f t="shared" si="10"/>
        <v/>
      </c>
      <c r="G249" t="str">
        <f t="shared" si="11"/>
        <v/>
      </c>
      <c r="H249" t="str">
        <f>IF(F249="","",VLOOKUP(F249,Validation!$A$2:$B$17,2,FALSE))</f>
        <v/>
      </c>
      <c r="I249">
        <f>INT((ROW()-2)/Settings!$B$6)+2</f>
        <v>22</v>
      </c>
      <c r="J249">
        <f>MOD(ROW()-2,Settings!$B$6)+1</f>
        <v>8</v>
      </c>
    </row>
    <row r="250" spans="1:10" x14ac:dyDescent="0.3">
      <c r="A250" t="str">
        <f>IF(OR(INDEX(Matches!$I$2:$I$25,I250-1)="",INDEX(Matches!$J$2:$J$25,I250-1)=""),"",IF(J250&lt;=INDEX(Matches!$I$2:$I$25,I250-1)+INDEX(Matches!$J$2:$J$25,I250-1),INDEX(Matches!$A$2:$A$25,I250-1),""))</f>
        <v/>
      </c>
      <c r="B250" t="str">
        <f>IF(A250="","",IF(J250&lt;=INDEX(Matches!$I$2:$I$25,I250-1),INDEX(Matches!$G$2:$G$25,I250-1),INDEX(Matches!$H$2:$H$25,I250-1)))</f>
        <v/>
      </c>
      <c r="C250" t="str">
        <f>IF(A250="","",COUNTIFS($A$2:A250,A250,$B$2:B250,B250))</f>
        <v/>
      </c>
      <c r="D250" s="2" t="str">
        <f t="shared" si="9"/>
        <v/>
      </c>
      <c r="E250" s="2"/>
      <c r="F250" t="str">
        <f t="shared" si="10"/>
        <v/>
      </c>
      <c r="G250" t="str">
        <f t="shared" si="11"/>
        <v/>
      </c>
      <c r="H250" t="str">
        <f>IF(F250="","",VLOOKUP(F250,Validation!$A$2:$B$17,2,FALSE))</f>
        <v/>
      </c>
      <c r="I250">
        <f>INT((ROW()-2)/Settings!$B$6)+2</f>
        <v>22</v>
      </c>
      <c r="J250">
        <f>MOD(ROW()-2,Settings!$B$6)+1</f>
        <v>9</v>
      </c>
    </row>
    <row r="251" spans="1:10" x14ac:dyDescent="0.3">
      <c r="A251" t="str">
        <f>IF(OR(INDEX(Matches!$I$2:$I$25,I251-1)="",INDEX(Matches!$J$2:$J$25,I251-1)=""),"",IF(J251&lt;=INDEX(Matches!$I$2:$I$25,I251-1)+INDEX(Matches!$J$2:$J$25,I251-1),INDEX(Matches!$A$2:$A$25,I251-1),""))</f>
        <v/>
      </c>
      <c r="B251" t="str">
        <f>IF(A251="","",IF(J251&lt;=INDEX(Matches!$I$2:$I$25,I251-1),INDEX(Matches!$G$2:$G$25,I251-1),INDEX(Matches!$H$2:$H$25,I251-1)))</f>
        <v/>
      </c>
      <c r="C251" t="str">
        <f>IF(A251="","",COUNTIFS($A$2:A251,A251,$B$2:B251,B251))</f>
        <v/>
      </c>
      <c r="D251" s="2" t="str">
        <f t="shared" si="9"/>
        <v/>
      </c>
      <c r="E251" s="2"/>
      <c r="F251" t="str">
        <f t="shared" si="10"/>
        <v/>
      </c>
      <c r="G251" t="str">
        <f t="shared" si="11"/>
        <v/>
      </c>
      <c r="H251" t="str">
        <f>IF(F251="","",VLOOKUP(F251,Validation!$A$2:$B$17,2,FALSE))</f>
        <v/>
      </c>
      <c r="I251">
        <f>INT((ROW()-2)/Settings!$B$6)+2</f>
        <v>22</v>
      </c>
      <c r="J251">
        <f>MOD(ROW()-2,Settings!$B$6)+1</f>
        <v>10</v>
      </c>
    </row>
    <row r="252" spans="1:10" x14ac:dyDescent="0.3">
      <c r="A252" t="str">
        <f>IF(OR(INDEX(Matches!$I$2:$I$25,I252-1)="",INDEX(Matches!$J$2:$J$25,I252-1)=""),"",IF(J252&lt;=INDEX(Matches!$I$2:$I$25,I252-1)+INDEX(Matches!$J$2:$J$25,I252-1),INDEX(Matches!$A$2:$A$25,I252-1),""))</f>
        <v/>
      </c>
      <c r="B252" t="str">
        <f>IF(A252="","",IF(J252&lt;=INDEX(Matches!$I$2:$I$25,I252-1),INDEX(Matches!$G$2:$G$25,I252-1),INDEX(Matches!$H$2:$H$25,I252-1)))</f>
        <v/>
      </c>
      <c r="C252" t="str">
        <f>IF(A252="","",COUNTIFS($A$2:A252,A252,$B$2:B252,B252))</f>
        <v/>
      </c>
      <c r="D252" s="2" t="str">
        <f t="shared" si="9"/>
        <v/>
      </c>
      <c r="E252" s="2"/>
      <c r="F252" t="str">
        <f t="shared" si="10"/>
        <v/>
      </c>
      <c r="G252" t="str">
        <f t="shared" si="11"/>
        <v/>
      </c>
      <c r="H252" t="str">
        <f>IF(F252="","",VLOOKUP(F252,Validation!$A$2:$B$17,2,FALSE))</f>
        <v/>
      </c>
      <c r="I252">
        <f>INT((ROW()-2)/Settings!$B$6)+2</f>
        <v>22</v>
      </c>
      <c r="J252">
        <f>MOD(ROW()-2,Settings!$B$6)+1</f>
        <v>11</v>
      </c>
    </row>
    <row r="253" spans="1:10" x14ac:dyDescent="0.3">
      <c r="A253" t="str">
        <f>IF(OR(INDEX(Matches!$I$2:$I$25,I253-1)="",INDEX(Matches!$J$2:$J$25,I253-1)=""),"",IF(J253&lt;=INDEX(Matches!$I$2:$I$25,I253-1)+INDEX(Matches!$J$2:$J$25,I253-1),INDEX(Matches!$A$2:$A$25,I253-1),""))</f>
        <v/>
      </c>
      <c r="B253" t="str">
        <f>IF(A253="","",IF(J253&lt;=INDEX(Matches!$I$2:$I$25,I253-1),INDEX(Matches!$G$2:$G$25,I253-1),INDEX(Matches!$H$2:$H$25,I253-1)))</f>
        <v/>
      </c>
      <c r="C253" t="str">
        <f>IF(A253="","",COUNTIFS($A$2:A253,A253,$B$2:B253,B253))</f>
        <v/>
      </c>
      <c r="D253" s="2" t="str">
        <f t="shared" si="9"/>
        <v/>
      </c>
      <c r="E253" s="2"/>
      <c r="F253" t="str">
        <f t="shared" si="10"/>
        <v/>
      </c>
      <c r="G253" t="str">
        <f t="shared" si="11"/>
        <v/>
      </c>
      <c r="H253" t="str">
        <f>IF(F253="","",VLOOKUP(F253,Validation!$A$2:$B$17,2,FALSE))</f>
        <v/>
      </c>
      <c r="I253">
        <f>INT((ROW()-2)/Settings!$B$6)+2</f>
        <v>22</v>
      </c>
      <c r="J253">
        <f>MOD(ROW()-2,Settings!$B$6)+1</f>
        <v>12</v>
      </c>
    </row>
    <row r="254" spans="1:10" x14ac:dyDescent="0.3">
      <c r="A254" t="str">
        <f>IF(OR(INDEX(Matches!$I$2:$I$25,I254-1)="",INDEX(Matches!$J$2:$J$25,I254-1)=""),"",IF(J254&lt;=INDEX(Matches!$I$2:$I$25,I254-1)+INDEX(Matches!$J$2:$J$25,I254-1),INDEX(Matches!$A$2:$A$25,I254-1),""))</f>
        <v/>
      </c>
      <c r="B254" t="str">
        <f>IF(A254="","",IF(J254&lt;=INDEX(Matches!$I$2:$I$25,I254-1),INDEX(Matches!$G$2:$G$25,I254-1),INDEX(Matches!$H$2:$H$25,I254-1)))</f>
        <v/>
      </c>
      <c r="C254" t="str">
        <f>IF(A254="","",COUNTIFS($A$2:A254,A254,$B$2:B254,B254))</f>
        <v/>
      </c>
      <c r="D254" s="2" t="str">
        <f t="shared" si="9"/>
        <v/>
      </c>
      <c r="E254" s="2"/>
      <c r="F254" t="str">
        <f t="shared" si="10"/>
        <v/>
      </c>
      <c r="G254" t="str">
        <f t="shared" si="11"/>
        <v/>
      </c>
      <c r="H254" t="str">
        <f>IF(F254="","",VLOOKUP(F254,Validation!$A$2:$B$17,2,FALSE))</f>
        <v/>
      </c>
      <c r="I254">
        <f>INT((ROW()-2)/Settings!$B$6)+2</f>
        <v>23</v>
      </c>
      <c r="J254">
        <f>MOD(ROW()-2,Settings!$B$6)+1</f>
        <v>1</v>
      </c>
    </row>
    <row r="255" spans="1:10" x14ac:dyDescent="0.3">
      <c r="A255" t="str">
        <f>IF(OR(INDEX(Matches!$I$2:$I$25,I255-1)="",INDEX(Matches!$J$2:$J$25,I255-1)=""),"",IF(J255&lt;=INDEX(Matches!$I$2:$I$25,I255-1)+INDEX(Matches!$J$2:$J$25,I255-1),INDEX(Matches!$A$2:$A$25,I255-1),""))</f>
        <v/>
      </c>
      <c r="B255" t="str">
        <f>IF(A255="","",IF(J255&lt;=INDEX(Matches!$I$2:$I$25,I255-1),INDEX(Matches!$G$2:$G$25,I255-1),INDEX(Matches!$H$2:$H$25,I255-1)))</f>
        <v/>
      </c>
      <c r="C255" t="str">
        <f>IF(A255="","",COUNTIFS($A$2:A255,A255,$B$2:B255,B255))</f>
        <v/>
      </c>
      <c r="D255" s="2" t="str">
        <f t="shared" si="9"/>
        <v/>
      </c>
      <c r="E255" s="2"/>
      <c r="F255" t="str">
        <f t="shared" si="10"/>
        <v/>
      </c>
      <c r="G255" t="str">
        <f t="shared" si="11"/>
        <v/>
      </c>
      <c r="H255" t="str">
        <f>IF(F255="","",VLOOKUP(F255,Validation!$A$2:$B$17,2,FALSE))</f>
        <v/>
      </c>
      <c r="I255">
        <f>INT((ROW()-2)/Settings!$B$6)+2</f>
        <v>23</v>
      </c>
      <c r="J255">
        <f>MOD(ROW()-2,Settings!$B$6)+1</f>
        <v>2</v>
      </c>
    </row>
    <row r="256" spans="1:10" x14ac:dyDescent="0.3">
      <c r="A256" t="str">
        <f>IF(OR(INDEX(Matches!$I$2:$I$25,I256-1)="",INDEX(Matches!$J$2:$J$25,I256-1)=""),"",IF(J256&lt;=INDEX(Matches!$I$2:$I$25,I256-1)+INDEX(Matches!$J$2:$J$25,I256-1),INDEX(Matches!$A$2:$A$25,I256-1),""))</f>
        <v/>
      </c>
      <c r="B256" t="str">
        <f>IF(A256="","",IF(J256&lt;=INDEX(Matches!$I$2:$I$25,I256-1),INDEX(Matches!$G$2:$G$25,I256-1),INDEX(Matches!$H$2:$H$25,I256-1)))</f>
        <v/>
      </c>
      <c r="C256" t="str">
        <f>IF(A256="","",COUNTIFS($A$2:A256,A256,$B$2:B256,B256))</f>
        <v/>
      </c>
      <c r="D256" s="2" t="str">
        <f t="shared" si="9"/>
        <v/>
      </c>
      <c r="E256" s="2"/>
      <c r="F256" t="str">
        <f t="shared" si="10"/>
        <v/>
      </c>
      <c r="G256" t="str">
        <f t="shared" si="11"/>
        <v/>
      </c>
      <c r="H256" t="str">
        <f>IF(F256="","",VLOOKUP(F256,Validation!$A$2:$B$17,2,FALSE))</f>
        <v/>
      </c>
      <c r="I256">
        <f>INT((ROW()-2)/Settings!$B$6)+2</f>
        <v>23</v>
      </c>
      <c r="J256">
        <f>MOD(ROW()-2,Settings!$B$6)+1</f>
        <v>3</v>
      </c>
    </row>
    <row r="257" spans="1:10" x14ac:dyDescent="0.3">
      <c r="A257" t="str">
        <f>IF(OR(INDEX(Matches!$I$2:$I$25,I257-1)="",INDEX(Matches!$J$2:$J$25,I257-1)=""),"",IF(J257&lt;=INDEX(Matches!$I$2:$I$25,I257-1)+INDEX(Matches!$J$2:$J$25,I257-1),INDEX(Matches!$A$2:$A$25,I257-1),""))</f>
        <v/>
      </c>
      <c r="B257" t="str">
        <f>IF(A257="","",IF(J257&lt;=INDEX(Matches!$I$2:$I$25,I257-1),INDEX(Matches!$G$2:$G$25,I257-1),INDEX(Matches!$H$2:$H$25,I257-1)))</f>
        <v/>
      </c>
      <c r="C257" t="str">
        <f>IF(A257="","",COUNTIFS($A$2:A257,A257,$B$2:B257,B257))</f>
        <v/>
      </c>
      <c r="D257" s="2" t="str">
        <f t="shared" si="9"/>
        <v/>
      </c>
      <c r="E257" s="2"/>
      <c r="F257" t="str">
        <f t="shared" si="10"/>
        <v/>
      </c>
      <c r="G257" t="str">
        <f t="shared" si="11"/>
        <v/>
      </c>
      <c r="H257" t="str">
        <f>IF(F257="","",VLOOKUP(F257,Validation!$A$2:$B$17,2,FALSE))</f>
        <v/>
      </c>
      <c r="I257">
        <f>INT((ROW()-2)/Settings!$B$6)+2</f>
        <v>23</v>
      </c>
      <c r="J257">
        <f>MOD(ROW()-2,Settings!$B$6)+1</f>
        <v>4</v>
      </c>
    </row>
    <row r="258" spans="1:10" x14ac:dyDescent="0.3">
      <c r="A258" t="str">
        <f>IF(OR(INDEX(Matches!$I$2:$I$25,I258-1)="",INDEX(Matches!$J$2:$J$25,I258-1)=""),"",IF(J258&lt;=INDEX(Matches!$I$2:$I$25,I258-1)+INDEX(Matches!$J$2:$J$25,I258-1),INDEX(Matches!$A$2:$A$25,I258-1),""))</f>
        <v/>
      </c>
      <c r="B258" t="str">
        <f>IF(A258="","",IF(J258&lt;=INDEX(Matches!$I$2:$I$25,I258-1),INDEX(Matches!$G$2:$G$25,I258-1),INDEX(Matches!$H$2:$H$25,I258-1)))</f>
        <v/>
      </c>
      <c r="C258" t="str">
        <f>IF(A258="","",COUNTIFS($A$2:A258,A258,$B$2:B258,B258))</f>
        <v/>
      </c>
      <c r="D258" s="2" t="str">
        <f t="shared" ref="D258:D321" si="12">IF(A258="","","Goal")</f>
        <v/>
      </c>
      <c r="E258" s="2"/>
      <c r="F258" t="str">
        <f t="shared" ref="F258:F321" si="13">IF(A258="","",IF(D258="Autogol","",IF(D258="Goal",B258,"")))</f>
        <v/>
      </c>
      <c r="G258" t="str">
        <f t="shared" ref="G258:G321" si="14">IF(A258="","",IF(D258="","Manca tipo",IF(D258="Goal",IF(E258="","Manca giocatore","OK"),IF(D258="Autogol",IF(E258&lt;&gt;"","Autogol: svuota Player","OK"),"Tipo non valido"))))</f>
        <v/>
      </c>
      <c r="H258" t="str">
        <f>IF(F258="","",VLOOKUP(F258,Validation!$A$2:$B$17,2,FALSE))</f>
        <v/>
      </c>
      <c r="I258">
        <f>INT((ROW()-2)/Settings!$B$6)+2</f>
        <v>23</v>
      </c>
      <c r="J258">
        <f>MOD(ROW()-2,Settings!$B$6)+1</f>
        <v>5</v>
      </c>
    </row>
    <row r="259" spans="1:10" x14ac:dyDescent="0.3">
      <c r="A259" t="str">
        <f>IF(OR(INDEX(Matches!$I$2:$I$25,I259-1)="",INDEX(Matches!$J$2:$J$25,I259-1)=""),"",IF(J259&lt;=INDEX(Matches!$I$2:$I$25,I259-1)+INDEX(Matches!$J$2:$J$25,I259-1),INDEX(Matches!$A$2:$A$25,I259-1),""))</f>
        <v/>
      </c>
      <c r="B259" t="str">
        <f>IF(A259="","",IF(J259&lt;=INDEX(Matches!$I$2:$I$25,I259-1),INDEX(Matches!$G$2:$G$25,I259-1),INDEX(Matches!$H$2:$H$25,I259-1)))</f>
        <v/>
      </c>
      <c r="C259" t="str">
        <f>IF(A259="","",COUNTIFS($A$2:A259,A259,$B$2:B259,B259))</f>
        <v/>
      </c>
      <c r="D259" s="2" t="str">
        <f t="shared" si="12"/>
        <v/>
      </c>
      <c r="E259" s="2"/>
      <c r="F259" t="str">
        <f t="shared" si="13"/>
        <v/>
      </c>
      <c r="G259" t="str">
        <f t="shared" si="14"/>
        <v/>
      </c>
      <c r="H259" t="str">
        <f>IF(F259="","",VLOOKUP(F259,Validation!$A$2:$B$17,2,FALSE))</f>
        <v/>
      </c>
      <c r="I259">
        <f>INT((ROW()-2)/Settings!$B$6)+2</f>
        <v>23</v>
      </c>
      <c r="J259">
        <f>MOD(ROW()-2,Settings!$B$6)+1</f>
        <v>6</v>
      </c>
    </row>
    <row r="260" spans="1:10" x14ac:dyDescent="0.3">
      <c r="A260" t="str">
        <f>IF(OR(INDEX(Matches!$I$2:$I$25,I260-1)="",INDEX(Matches!$J$2:$J$25,I260-1)=""),"",IF(J260&lt;=INDEX(Matches!$I$2:$I$25,I260-1)+INDEX(Matches!$J$2:$J$25,I260-1),INDEX(Matches!$A$2:$A$25,I260-1),""))</f>
        <v/>
      </c>
      <c r="B260" t="str">
        <f>IF(A260="","",IF(J260&lt;=INDEX(Matches!$I$2:$I$25,I260-1),INDEX(Matches!$G$2:$G$25,I260-1),INDEX(Matches!$H$2:$H$25,I260-1)))</f>
        <v/>
      </c>
      <c r="C260" t="str">
        <f>IF(A260="","",COUNTIFS($A$2:A260,A260,$B$2:B260,B260))</f>
        <v/>
      </c>
      <c r="D260" s="2" t="str">
        <f t="shared" si="12"/>
        <v/>
      </c>
      <c r="E260" s="2"/>
      <c r="F260" t="str">
        <f t="shared" si="13"/>
        <v/>
      </c>
      <c r="G260" t="str">
        <f t="shared" si="14"/>
        <v/>
      </c>
      <c r="H260" t="str">
        <f>IF(F260="","",VLOOKUP(F260,Validation!$A$2:$B$17,2,FALSE))</f>
        <v/>
      </c>
      <c r="I260">
        <f>INT((ROW()-2)/Settings!$B$6)+2</f>
        <v>23</v>
      </c>
      <c r="J260">
        <f>MOD(ROW()-2,Settings!$B$6)+1</f>
        <v>7</v>
      </c>
    </row>
    <row r="261" spans="1:10" x14ac:dyDescent="0.3">
      <c r="A261" t="str">
        <f>IF(OR(INDEX(Matches!$I$2:$I$25,I261-1)="",INDEX(Matches!$J$2:$J$25,I261-1)=""),"",IF(J261&lt;=INDEX(Matches!$I$2:$I$25,I261-1)+INDEX(Matches!$J$2:$J$25,I261-1),INDEX(Matches!$A$2:$A$25,I261-1),""))</f>
        <v/>
      </c>
      <c r="B261" t="str">
        <f>IF(A261="","",IF(J261&lt;=INDEX(Matches!$I$2:$I$25,I261-1),INDEX(Matches!$G$2:$G$25,I261-1),INDEX(Matches!$H$2:$H$25,I261-1)))</f>
        <v/>
      </c>
      <c r="C261" t="str">
        <f>IF(A261="","",COUNTIFS($A$2:A261,A261,$B$2:B261,B261))</f>
        <v/>
      </c>
      <c r="D261" s="2" t="str">
        <f t="shared" si="12"/>
        <v/>
      </c>
      <c r="E261" s="2"/>
      <c r="F261" t="str">
        <f t="shared" si="13"/>
        <v/>
      </c>
      <c r="G261" t="str">
        <f t="shared" si="14"/>
        <v/>
      </c>
      <c r="H261" t="str">
        <f>IF(F261="","",VLOOKUP(F261,Validation!$A$2:$B$17,2,FALSE))</f>
        <v/>
      </c>
      <c r="I261">
        <f>INT((ROW()-2)/Settings!$B$6)+2</f>
        <v>23</v>
      </c>
      <c r="J261">
        <f>MOD(ROW()-2,Settings!$B$6)+1</f>
        <v>8</v>
      </c>
    </row>
    <row r="262" spans="1:10" x14ac:dyDescent="0.3">
      <c r="A262" t="str">
        <f>IF(OR(INDEX(Matches!$I$2:$I$25,I262-1)="",INDEX(Matches!$J$2:$J$25,I262-1)=""),"",IF(J262&lt;=INDEX(Matches!$I$2:$I$25,I262-1)+INDEX(Matches!$J$2:$J$25,I262-1),INDEX(Matches!$A$2:$A$25,I262-1),""))</f>
        <v/>
      </c>
      <c r="B262" t="str">
        <f>IF(A262="","",IF(J262&lt;=INDEX(Matches!$I$2:$I$25,I262-1),INDEX(Matches!$G$2:$G$25,I262-1),INDEX(Matches!$H$2:$H$25,I262-1)))</f>
        <v/>
      </c>
      <c r="C262" t="str">
        <f>IF(A262="","",COUNTIFS($A$2:A262,A262,$B$2:B262,B262))</f>
        <v/>
      </c>
      <c r="D262" s="2" t="str">
        <f t="shared" si="12"/>
        <v/>
      </c>
      <c r="E262" s="2"/>
      <c r="F262" t="str">
        <f t="shared" si="13"/>
        <v/>
      </c>
      <c r="G262" t="str">
        <f t="shared" si="14"/>
        <v/>
      </c>
      <c r="H262" t="str">
        <f>IF(F262="","",VLOOKUP(F262,Validation!$A$2:$B$17,2,FALSE))</f>
        <v/>
      </c>
      <c r="I262">
        <f>INT((ROW()-2)/Settings!$B$6)+2</f>
        <v>23</v>
      </c>
      <c r="J262">
        <f>MOD(ROW()-2,Settings!$B$6)+1</f>
        <v>9</v>
      </c>
    </row>
    <row r="263" spans="1:10" x14ac:dyDescent="0.3">
      <c r="A263" t="str">
        <f>IF(OR(INDEX(Matches!$I$2:$I$25,I263-1)="",INDEX(Matches!$J$2:$J$25,I263-1)=""),"",IF(J263&lt;=INDEX(Matches!$I$2:$I$25,I263-1)+INDEX(Matches!$J$2:$J$25,I263-1),INDEX(Matches!$A$2:$A$25,I263-1),""))</f>
        <v/>
      </c>
      <c r="B263" t="str">
        <f>IF(A263="","",IF(J263&lt;=INDEX(Matches!$I$2:$I$25,I263-1),INDEX(Matches!$G$2:$G$25,I263-1),INDEX(Matches!$H$2:$H$25,I263-1)))</f>
        <v/>
      </c>
      <c r="C263" t="str">
        <f>IF(A263="","",COUNTIFS($A$2:A263,A263,$B$2:B263,B263))</f>
        <v/>
      </c>
      <c r="D263" s="2" t="str">
        <f t="shared" si="12"/>
        <v/>
      </c>
      <c r="E263" s="2"/>
      <c r="F263" t="str">
        <f t="shared" si="13"/>
        <v/>
      </c>
      <c r="G263" t="str">
        <f t="shared" si="14"/>
        <v/>
      </c>
      <c r="H263" t="str">
        <f>IF(F263="","",VLOOKUP(F263,Validation!$A$2:$B$17,2,FALSE))</f>
        <v/>
      </c>
      <c r="I263">
        <f>INT((ROW()-2)/Settings!$B$6)+2</f>
        <v>23</v>
      </c>
      <c r="J263">
        <f>MOD(ROW()-2,Settings!$B$6)+1</f>
        <v>10</v>
      </c>
    </row>
    <row r="264" spans="1:10" x14ac:dyDescent="0.3">
      <c r="A264" t="str">
        <f>IF(OR(INDEX(Matches!$I$2:$I$25,I264-1)="",INDEX(Matches!$J$2:$J$25,I264-1)=""),"",IF(J264&lt;=INDEX(Matches!$I$2:$I$25,I264-1)+INDEX(Matches!$J$2:$J$25,I264-1),INDEX(Matches!$A$2:$A$25,I264-1),""))</f>
        <v/>
      </c>
      <c r="B264" t="str">
        <f>IF(A264="","",IF(J264&lt;=INDEX(Matches!$I$2:$I$25,I264-1),INDEX(Matches!$G$2:$G$25,I264-1),INDEX(Matches!$H$2:$H$25,I264-1)))</f>
        <v/>
      </c>
      <c r="C264" t="str">
        <f>IF(A264="","",COUNTIFS($A$2:A264,A264,$B$2:B264,B264))</f>
        <v/>
      </c>
      <c r="D264" s="2" t="str">
        <f t="shared" si="12"/>
        <v/>
      </c>
      <c r="E264" s="2"/>
      <c r="F264" t="str">
        <f t="shared" si="13"/>
        <v/>
      </c>
      <c r="G264" t="str">
        <f t="shared" si="14"/>
        <v/>
      </c>
      <c r="H264" t="str">
        <f>IF(F264="","",VLOOKUP(F264,Validation!$A$2:$B$17,2,FALSE))</f>
        <v/>
      </c>
      <c r="I264">
        <f>INT((ROW()-2)/Settings!$B$6)+2</f>
        <v>23</v>
      </c>
      <c r="J264">
        <f>MOD(ROW()-2,Settings!$B$6)+1</f>
        <v>11</v>
      </c>
    </row>
    <row r="265" spans="1:10" x14ac:dyDescent="0.3">
      <c r="A265" t="str">
        <f>IF(OR(INDEX(Matches!$I$2:$I$25,I265-1)="",INDEX(Matches!$J$2:$J$25,I265-1)=""),"",IF(J265&lt;=INDEX(Matches!$I$2:$I$25,I265-1)+INDEX(Matches!$J$2:$J$25,I265-1),INDEX(Matches!$A$2:$A$25,I265-1),""))</f>
        <v/>
      </c>
      <c r="B265" t="str">
        <f>IF(A265="","",IF(J265&lt;=INDEX(Matches!$I$2:$I$25,I265-1),INDEX(Matches!$G$2:$G$25,I265-1),INDEX(Matches!$H$2:$H$25,I265-1)))</f>
        <v/>
      </c>
      <c r="C265" t="str">
        <f>IF(A265="","",COUNTIFS($A$2:A265,A265,$B$2:B265,B265))</f>
        <v/>
      </c>
      <c r="D265" s="2" t="str">
        <f t="shared" si="12"/>
        <v/>
      </c>
      <c r="E265" s="2"/>
      <c r="F265" t="str">
        <f t="shared" si="13"/>
        <v/>
      </c>
      <c r="G265" t="str">
        <f t="shared" si="14"/>
        <v/>
      </c>
      <c r="H265" t="str">
        <f>IF(F265="","",VLOOKUP(F265,Validation!$A$2:$B$17,2,FALSE))</f>
        <v/>
      </c>
      <c r="I265">
        <f>INT((ROW()-2)/Settings!$B$6)+2</f>
        <v>23</v>
      </c>
      <c r="J265">
        <f>MOD(ROW()-2,Settings!$B$6)+1</f>
        <v>12</v>
      </c>
    </row>
    <row r="266" spans="1:10" x14ac:dyDescent="0.3">
      <c r="A266" t="str">
        <f>IF(OR(INDEX(Matches!$I$2:$I$25,I266-1)="",INDEX(Matches!$J$2:$J$25,I266-1)=""),"",IF(J266&lt;=INDEX(Matches!$I$2:$I$25,I266-1)+INDEX(Matches!$J$2:$J$25,I266-1),INDEX(Matches!$A$2:$A$25,I266-1),""))</f>
        <v/>
      </c>
      <c r="B266" t="str">
        <f>IF(A266="","",IF(J266&lt;=INDEX(Matches!$I$2:$I$25,I266-1),INDEX(Matches!$G$2:$G$25,I266-1),INDEX(Matches!$H$2:$H$25,I266-1)))</f>
        <v/>
      </c>
      <c r="C266" t="str">
        <f>IF(A266="","",COUNTIFS($A$2:A266,A266,$B$2:B266,B266))</f>
        <v/>
      </c>
      <c r="D266" s="2" t="str">
        <f t="shared" si="12"/>
        <v/>
      </c>
      <c r="E266" s="2"/>
      <c r="F266" t="str">
        <f t="shared" si="13"/>
        <v/>
      </c>
      <c r="G266" t="str">
        <f t="shared" si="14"/>
        <v/>
      </c>
      <c r="H266" t="str">
        <f>IF(F266="","",VLOOKUP(F266,Validation!$A$2:$B$17,2,FALSE))</f>
        <v/>
      </c>
      <c r="I266">
        <f>INT((ROW()-2)/Settings!$B$6)+2</f>
        <v>24</v>
      </c>
      <c r="J266">
        <f>MOD(ROW()-2,Settings!$B$6)+1</f>
        <v>1</v>
      </c>
    </row>
    <row r="267" spans="1:10" x14ac:dyDescent="0.3">
      <c r="A267" t="str">
        <f>IF(OR(INDEX(Matches!$I$2:$I$25,I267-1)="",INDEX(Matches!$J$2:$J$25,I267-1)=""),"",IF(J267&lt;=INDEX(Matches!$I$2:$I$25,I267-1)+INDEX(Matches!$J$2:$J$25,I267-1),INDEX(Matches!$A$2:$A$25,I267-1),""))</f>
        <v/>
      </c>
      <c r="B267" t="str">
        <f>IF(A267="","",IF(J267&lt;=INDEX(Matches!$I$2:$I$25,I267-1),INDEX(Matches!$G$2:$G$25,I267-1),INDEX(Matches!$H$2:$H$25,I267-1)))</f>
        <v/>
      </c>
      <c r="C267" t="str">
        <f>IF(A267="","",COUNTIFS($A$2:A267,A267,$B$2:B267,B267))</f>
        <v/>
      </c>
      <c r="D267" s="2" t="str">
        <f t="shared" si="12"/>
        <v/>
      </c>
      <c r="E267" s="2"/>
      <c r="F267" t="str">
        <f t="shared" si="13"/>
        <v/>
      </c>
      <c r="G267" t="str">
        <f t="shared" si="14"/>
        <v/>
      </c>
      <c r="H267" t="str">
        <f>IF(F267="","",VLOOKUP(F267,Validation!$A$2:$B$17,2,FALSE))</f>
        <v/>
      </c>
      <c r="I267">
        <f>INT((ROW()-2)/Settings!$B$6)+2</f>
        <v>24</v>
      </c>
      <c r="J267">
        <f>MOD(ROW()-2,Settings!$B$6)+1</f>
        <v>2</v>
      </c>
    </row>
    <row r="268" spans="1:10" x14ac:dyDescent="0.3">
      <c r="A268" t="str">
        <f>IF(OR(INDEX(Matches!$I$2:$I$25,I268-1)="",INDEX(Matches!$J$2:$J$25,I268-1)=""),"",IF(J268&lt;=INDEX(Matches!$I$2:$I$25,I268-1)+INDEX(Matches!$J$2:$J$25,I268-1),INDEX(Matches!$A$2:$A$25,I268-1),""))</f>
        <v/>
      </c>
      <c r="B268" t="str">
        <f>IF(A268="","",IF(J268&lt;=INDEX(Matches!$I$2:$I$25,I268-1),INDEX(Matches!$G$2:$G$25,I268-1),INDEX(Matches!$H$2:$H$25,I268-1)))</f>
        <v/>
      </c>
      <c r="C268" t="str">
        <f>IF(A268="","",COUNTIFS($A$2:A268,A268,$B$2:B268,B268))</f>
        <v/>
      </c>
      <c r="D268" s="2" t="str">
        <f t="shared" si="12"/>
        <v/>
      </c>
      <c r="E268" s="2"/>
      <c r="F268" t="str">
        <f t="shared" si="13"/>
        <v/>
      </c>
      <c r="G268" t="str">
        <f t="shared" si="14"/>
        <v/>
      </c>
      <c r="H268" t="str">
        <f>IF(F268="","",VLOOKUP(F268,Validation!$A$2:$B$17,2,FALSE))</f>
        <v/>
      </c>
      <c r="I268">
        <f>INT((ROW()-2)/Settings!$B$6)+2</f>
        <v>24</v>
      </c>
      <c r="J268">
        <f>MOD(ROW()-2,Settings!$B$6)+1</f>
        <v>3</v>
      </c>
    </row>
    <row r="269" spans="1:10" x14ac:dyDescent="0.3">
      <c r="A269" t="str">
        <f>IF(OR(INDEX(Matches!$I$2:$I$25,I269-1)="",INDEX(Matches!$J$2:$J$25,I269-1)=""),"",IF(J269&lt;=INDEX(Matches!$I$2:$I$25,I269-1)+INDEX(Matches!$J$2:$J$25,I269-1),INDEX(Matches!$A$2:$A$25,I269-1),""))</f>
        <v/>
      </c>
      <c r="B269" t="str">
        <f>IF(A269="","",IF(J269&lt;=INDEX(Matches!$I$2:$I$25,I269-1),INDEX(Matches!$G$2:$G$25,I269-1),INDEX(Matches!$H$2:$H$25,I269-1)))</f>
        <v/>
      </c>
      <c r="C269" t="str">
        <f>IF(A269="","",COUNTIFS($A$2:A269,A269,$B$2:B269,B269))</f>
        <v/>
      </c>
      <c r="D269" s="2" t="str">
        <f t="shared" si="12"/>
        <v/>
      </c>
      <c r="E269" s="2"/>
      <c r="F269" t="str">
        <f t="shared" si="13"/>
        <v/>
      </c>
      <c r="G269" t="str">
        <f t="shared" si="14"/>
        <v/>
      </c>
      <c r="H269" t="str">
        <f>IF(F269="","",VLOOKUP(F269,Validation!$A$2:$B$17,2,FALSE))</f>
        <v/>
      </c>
      <c r="I269">
        <f>INT((ROW()-2)/Settings!$B$6)+2</f>
        <v>24</v>
      </c>
      <c r="J269">
        <f>MOD(ROW()-2,Settings!$B$6)+1</f>
        <v>4</v>
      </c>
    </row>
    <row r="270" spans="1:10" x14ac:dyDescent="0.3">
      <c r="A270" t="str">
        <f>IF(OR(INDEX(Matches!$I$2:$I$25,I270-1)="",INDEX(Matches!$J$2:$J$25,I270-1)=""),"",IF(J270&lt;=INDEX(Matches!$I$2:$I$25,I270-1)+INDEX(Matches!$J$2:$J$25,I270-1),INDEX(Matches!$A$2:$A$25,I270-1),""))</f>
        <v/>
      </c>
      <c r="B270" t="str">
        <f>IF(A270="","",IF(J270&lt;=INDEX(Matches!$I$2:$I$25,I270-1),INDEX(Matches!$G$2:$G$25,I270-1),INDEX(Matches!$H$2:$H$25,I270-1)))</f>
        <v/>
      </c>
      <c r="C270" t="str">
        <f>IF(A270="","",COUNTIFS($A$2:A270,A270,$B$2:B270,B270))</f>
        <v/>
      </c>
      <c r="D270" s="2" t="str">
        <f t="shared" si="12"/>
        <v/>
      </c>
      <c r="E270" s="2"/>
      <c r="F270" t="str">
        <f t="shared" si="13"/>
        <v/>
      </c>
      <c r="G270" t="str">
        <f t="shared" si="14"/>
        <v/>
      </c>
      <c r="H270" t="str">
        <f>IF(F270="","",VLOOKUP(F270,Validation!$A$2:$B$17,2,FALSE))</f>
        <v/>
      </c>
      <c r="I270">
        <f>INT((ROW()-2)/Settings!$B$6)+2</f>
        <v>24</v>
      </c>
      <c r="J270">
        <f>MOD(ROW()-2,Settings!$B$6)+1</f>
        <v>5</v>
      </c>
    </row>
    <row r="271" spans="1:10" x14ac:dyDescent="0.3">
      <c r="A271" t="str">
        <f>IF(OR(INDEX(Matches!$I$2:$I$25,I271-1)="",INDEX(Matches!$J$2:$J$25,I271-1)=""),"",IF(J271&lt;=INDEX(Matches!$I$2:$I$25,I271-1)+INDEX(Matches!$J$2:$J$25,I271-1),INDEX(Matches!$A$2:$A$25,I271-1),""))</f>
        <v/>
      </c>
      <c r="B271" t="str">
        <f>IF(A271="","",IF(J271&lt;=INDEX(Matches!$I$2:$I$25,I271-1),INDEX(Matches!$G$2:$G$25,I271-1),INDEX(Matches!$H$2:$H$25,I271-1)))</f>
        <v/>
      </c>
      <c r="C271" t="str">
        <f>IF(A271="","",COUNTIFS($A$2:A271,A271,$B$2:B271,B271))</f>
        <v/>
      </c>
      <c r="D271" s="2" t="str">
        <f t="shared" si="12"/>
        <v/>
      </c>
      <c r="E271" s="2"/>
      <c r="F271" t="str">
        <f t="shared" si="13"/>
        <v/>
      </c>
      <c r="G271" t="str">
        <f t="shared" si="14"/>
        <v/>
      </c>
      <c r="H271" t="str">
        <f>IF(F271="","",VLOOKUP(F271,Validation!$A$2:$B$17,2,FALSE))</f>
        <v/>
      </c>
      <c r="I271">
        <f>INT((ROW()-2)/Settings!$B$6)+2</f>
        <v>24</v>
      </c>
      <c r="J271">
        <f>MOD(ROW()-2,Settings!$B$6)+1</f>
        <v>6</v>
      </c>
    </row>
    <row r="272" spans="1:10" x14ac:dyDescent="0.3">
      <c r="A272" t="str">
        <f>IF(OR(INDEX(Matches!$I$2:$I$25,I272-1)="",INDEX(Matches!$J$2:$J$25,I272-1)=""),"",IF(J272&lt;=INDEX(Matches!$I$2:$I$25,I272-1)+INDEX(Matches!$J$2:$J$25,I272-1),INDEX(Matches!$A$2:$A$25,I272-1),""))</f>
        <v/>
      </c>
      <c r="B272" t="str">
        <f>IF(A272="","",IF(J272&lt;=INDEX(Matches!$I$2:$I$25,I272-1),INDEX(Matches!$G$2:$G$25,I272-1),INDEX(Matches!$H$2:$H$25,I272-1)))</f>
        <v/>
      </c>
      <c r="C272" t="str">
        <f>IF(A272="","",COUNTIFS($A$2:A272,A272,$B$2:B272,B272))</f>
        <v/>
      </c>
      <c r="D272" s="2" t="str">
        <f t="shared" si="12"/>
        <v/>
      </c>
      <c r="E272" s="2"/>
      <c r="F272" t="str">
        <f t="shared" si="13"/>
        <v/>
      </c>
      <c r="G272" t="str">
        <f t="shared" si="14"/>
        <v/>
      </c>
      <c r="H272" t="str">
        <f>IF(F272="","",VLOOKUP(F272,Validation!$A$2:$B$17,2,FALSE))</f>
        <v/>
      </c>
      <c r="I272">
        <f>INT((ROW()-2)/Settings!$B$6)+2</f>
        <v>24</v>
      </c>
      <c r="J272">
        <f>MOD(ROW()-2,Settings!$B$6)+1</f>
        <v>7</v>
      </c>
    </row>
    <row r="273" spans="1:10" x14ac:dyDescent="0.3">
      <c r="A273" t="str">
        <f>IF(OR(INDEX(Matches!$I$2:$I$25,I273-1)="",INDEX(Matches!$J$2:$J$25,I273-1)=""),"",IF(J273&lt;=INDEX(Matches!$I$2:$I$25,I273-1)+INDEX(Matches!$J$2:$J$25,I273-1),INDEX(Matches!$A$2:$A$25,I273-1),""))</f>
        <v/>
      </c>
      <c r="B273" t="str">
        <f>IF(A273="","",IF(J273&lt;=INDEX(Matches!$I$2:$I$25,I273-1),INDEX(Matches!$G$2:$G$25,I273-1),INDEX(Matches!$H$2:$H$25,I273-1)))</f>
        <v/>
      </c>
      <c r="C273" t="str">
        <f>IF(A273="","",COUNTIFS($A$2:A273,A273,$B$2:B273,B273))</f>
        <v/>
      </c>
      <c r="D273" s="2" t="str">
        <f t="shared" si="12"/>
        <v/>
      </c>
      <c r="E273" s="2"/>
      <c r="F273" t="str">
        <f t="shared" si="13"/>
        <v/>
      </c>
      <c r="G273" t="str">
        <f t="shared" si="14"/>
        <v/>
      </c>
      <c r="H273" t="str">
        <f>IF(F273="","",VLOOKUP(F273,Validation!$A$2:$B$17,2,FALSE))</f>
        <v/>
      </c>
      <c r="I273">
        <f>INT((ROW()-2)/Settings!$B$6)+2</f>
        <v>24</v>
      </c>
      <c r="J273">
        <f>MOD(ROW()-2,Settings!$B$6)+1</f>
        <v>8</v>
      </c>
    </row>
    <row r="274" spans="1:10" x14ac:dyDescent="0.3">
      <c r="A274" t="str">
        <f>IF(OR(INDEX(Matches!$I$2:$I$25,I274-1)="",INDEX(Matches!$J$2:$J$25,I274-1)=""),"",IF(J274&lt;=INDEX(Matches!$I$2:$I$25,I274-1)+INDEX(Matches!$J$2:$J$25,I274-1),INDEX(Matches!$A$2:$A$25,I274-1),""))</f>
        <v/>
      </c>
      <c r="B274" t="str">
        <f>IF(A274="","",IF(J274&lt;=INDEX(Matches!$I$2:$I$25,I274-1),INDEX(Matches!$G$2:$G$25,I274-1),INDEX(Matches!$H$2:$H$25,I274-1)))</f>
        <v/>
      </c>
      <c r="C274" t="str">
        <f>IF(A274="","",COUNTIFS($A$2:A274,A274,$B$2:B274,B274))</f>
        <v/>
      </c>
      <c r="D274" s="2" t="str">
        <f t="shared" si="12"/>
        <v/>
      </c>
      <c r="E274" s="2"/>
      <c r="F274" t="str">
        <f t="shared" si="13"/>
        <v/>
      </c>
      <c r="G274" t="str">
        <f t="shared" si="14"/>
        <v/>
      </c>
      <c r="H274" t="str">
        <f>IF(F274="","",VLOOKUP(F274,Validation!$A$2:$B$17,2,FALSE))</f>
        <v/>
      </c>
      <c r="I274">
        <f>INT((ROW()-2)/Settings!$B$6)+2</f>
        <v>24</v>
      </c>
      <c r="J274">
        <f>MOD(ROW()-2,Settings!$B$6)+1</f>
        <v>9</v>
      </c>
    </row>
    <row r="275" spans="1:10" x14ac:dyDescent="0.3">
      <c r="A275" t="str">
        <f>IF(OR(INDEX(Matches!$I$2:$I$25,I275-1)="",INDEX(Matches!$J$2:$J$25,I275-1)=""),"",IF(J275&lt;=INDEX(Matches!$I$2:$I$25,I275-1)+INDEX(Matches!$J$2:$J$25,I275-1),INDEX(Matches!$A$2:$A$25,I275-1),""))</f>
        <v/>
      </c>
      <c r="B275" t="str">
        <f>IF(A275="","",IF(J275&lt;=INDEX(Matches!$I$2:$I$25,I275-1),INDEX(Matches!$G$2:$G$25,I275-1),INDEX(Matches!$H$2:$H$25,I275-1)))</f>
        <v/>
      </c>
      <c r="C275" t="str">
        <f>IF(A275="","",COUNTIFS($A$2:A275,A275,$B$2:B275,B275))</f>
        <v/>
      </c>
      <c r="D275" s="2" t="str">
        <f t="shared" si="12"/>
        <v/>
      </c>
      <c r="E275" s="2"/>
      <c r="F275" t="str">
        <f t="shared" si="13"/>
        <v/>
      </c>
      <c r="G275" t="str">
        <f t="shared" si="14"/>
        <v/>
      </c>
      <c r="H275" t="str">
        <f>IF(F275="","",VLOOKUP(F275,Validation!$A$2:$B$17,2,FALSE))</f>
        <v/>
      </c>
      <c r="I275">
        <f>INT((ROW()-2)/Settings!$B$6)+2</f>
        <v>24</v>
      </c>
      <c r="J275">
        <f>MOD(ROW()-2,Settings!$B$6)+1</f>
        <v>10</v>
      </c>
    </row>
    <row r="276" spans="1:10" x14ac:dyDescent="0.3">
      <c r="A276" t="str">
        <f>IF(OR(INDEX(Matches!$I$2:$I$25,I276-1)="",INDEX(Matches!$J$2:$J$25,I276-1)=""),"",IF(J276&lt;=INDEX(Matches!$I$2:$I$25,I276-1)+INDEX(Matches!$J$2:$J$25,I276-1),INDEX(Matches!$A$2:$A$25,I276-1),""))</f>
        <v/>
      </c>
      <c r="B276" t="str">
        <f>IF(A276="","",IF(J276&lt;=INDEX(Matches!$I$2:$I$25,I276-1),INDEX(Matches!$G$2:$G$25,I276-1),INDEX(Matches!$H$2:$H$25,I276-1)))</f>
        <v/>
      </c>
      <c r="C276" t="str">
        <f>IF(A276="","",COUNTIFS($A$2:A276,A276,$B$2:B276,B276))</f>
        <v/>
      </c>
      <c r="D276" s="2" t="str">
        <f t="shared" si="12"/>
        <v/>
      </c>
      <c r="E276" s="2"/>
      <c r="F276" t="str">
        <f t="shared" si="13"/>
        <v/>
      </c>
      <c r="G276" t="str">
        <f t="shared" si="14"/>
        <v/>
      </c>
      <c r="H276" t="str">
        <f>IF(F276="","",VLOOKUP(F276,Validation!$A$2:$B$17,2,FALSE))</f>
        <v/>
      </c>
      <c r="I276">
        <f>INT((ROW()-2)/Settings!$B$6)+2</f>
        <v>24</v>
      </c>
      <c r="J276">
        <f>MOD(ROW()-2,Settings!$B$6)+1</f>
        <v>11</v>
      </c>
    </row>
    <row r="277" spans="1:10" x14ac:dyDescent="0.3">
      <c r="A277" t="str">
        <f>IF(OR(INDEX(Matches!$I$2:$I$25,I277-1)="",INDEX(Matches!$J$2:$J$25,I277-1)=""),"",IF(J277&lt;=INDEX(Matches!$I$2:$I$25,I277-1)+INDEX(Matches!$J$2:$J$25,I277-1),INDEX(Matches!$A$2:$A$25,I277-1),""))</f>
        <v/>
      </c>
      <c r="B277" t="str">
        <f>IF(A277="","",IF(J277&lt;=INDEX(Matches!$I$2:$I$25,I277-1),INDEX(Matches!$G$2:$G$25,I277-1),INDEX(Matches!$H$2:$H$25,I277-1)))</f>
        <v/>
      </c>
      <c r="C277" t="str">
        <f>IF(A277="","",COUNTIFS($A$2:A277,A277,$B$2:B277,B277))</f>
        <v/>
      </c>
      <c r="D277" s="2" t="str">
        <f t="shared" si="12"/>
        <v/>
      </c>
      <c r="E277" s="2"/>
      <c r="F277" t="str">
        <f t="shared" si="13"/>
        <v/>
      </c>
      <c r="G277" t="str">
        <f t="shared" si="14"/>
        <v/>
      </c>
      <c r="H277" t="str">
        <f>IF(F277="","",VLOOKUP(F277,Validation!$A$2:$B$17,2,FALSE))</f>
        <v/>
      </c>
      <c r="I277">
        <f>INT((ROW()-2)/Settings!$B$6)+2</f>
        <v>24</v>
      </c>
      <c r="J277">
        <f>MOD(ROW()-2,Settings!$B$6)+1</f>
        <v>12</v>
      </c>
    </row>
    <row r="278" spans="1:10" x14ac:dyDescent="0.3">
      <c r="A278" t="str">
        <f>IF(OR(INDEX(Matches!$I$2:$I$25,I278-1)="",INDEX(Matches!$J$2:$J$25,I278-1)=""),"",IF(J278&lt;=INDEX(Matches!$I$2:$I$25,I278-1)+INDEX(Matches!$J$2:$J$25,I278-1),INDEX(Matches!$A$2:$A$25,I278-1),""))</f>
        <v/>
      </c>
      <c r="B278" t="str">
        <f>IF(A278="","",IF(J278&lt;=INDEX(Matches!$I$2:$I$25,I278-1),INDEX(Matches!$G$2:$G$25,I278-1),INDEX(Matches!$H$2:$H$25,I278-1)))</f>
        <v/>
      </c>
      <c r="C278" t="str">
        <f>IF(A278="","",COUNTIFS($A$2:A278,A278,$B$2:B278,B278))</f>
        <v/>
      </c>
      <c r="D278" s="2" t="str">
        <f t="shared" si="12"/>
        <v/>
      </c>
      <c r="E278" s="2"/>
      <c r="F278" t="str">
        <f t="shared" si="13"/>
        <v/>
      </c>
      <c r="G278" t="str">
        <f t="shared" si="14"/>
        <v/>
      </c>
      <c r="H278" t="str">
        <f>IF(F278="","",VLOOKUP(F278,Validation!$A$2:$B$17,2,FALSE))</f>
        <v/>
      </c>
      <c r="I278">
        <f>INT((ROW()-2)/Settings!$B$6)+2</f>
        <v>25</v>
      </c>
      <c r="J278">
        <f>MOD(ROW()-2,Settings!$B$6)+1</f>
        <v>1</v>
      </c>
    </row>
    <row r="279" spans="1:10" x14ac:dyDescent="0.3">
      <c r="A279" t="str">
        <f>IF(OR(INDEX(Matches!$I$2:$I$25,I279-1)="",INDEX(Matches!$J$2:$J$25,I279-1)=""),"",IF(J279&lt;=INDEX(Matches!$I$2:$I$25,I279-1)+INDEX(Matches!$J$2:$J$25,I279-1),INDEX(Matches!$A$2:$A$25,I279-1),""))</f>
        <v/>
      </c>
      <c r="B279" t="str">
        <f>IF(A279="","",IF(J279&lt;=INDEX(Matches!$I$2:$I$25,I279-1),INDEX(Matches!$G$2:$G$25,I279-1),INDEX(Matches!$H$2:$H$25,I279-1)))</f>
        <v/>
      </c>
      <c r="C279" t="str">
        <f>IF(A279="","",COUNTIFS($A$2:A279,A279,$B$2:B279,B279))</f>
        <v/>
      </c>
      <c r="D279" s="2" t="str">
        <f t="shared" si="12"/>
        <v/>
      </c>
      <c r="E279" s="2"/>
      <c r="F279" t="str">
        <f t="shared" si="13"/>
        <v/>
      </c>
      <c r="G279" t="str">
        <f t="shared" si="14"/>
        <v/>
      </c>
      <c r="H279" t="str">
        <f>IF(F279="","",VLOOKUP(F279,Validation!$A$2:$B$17,2,FALSE))</f>
        <v/>
      </c>
      <c r="I279">
        <f>INT((ROW()-2)/Settings!$B$6)+2</f>
        <v>25</v>
      </c>
      <c r="J279">
        <f>MOD(ROW()-2,Settings!$B$6)+1</f>
        <v>2</v>
      </c>
    </row>
    <row r="280" spans="1:10" x14ac:dyDescent="0.3">
      <c r="A280" t="str">
        <f>IF(OR(INDEX(Matches!$I$2:$I$25,I280-1)="",INDEX(Matches!$J$2:$J$25,I280-1)=""),"",IF(J280&lt;=INDEX(Matches!$I$2:$I$25,I280-1)+INDEX(Matches!$J$2:$J$25,I280-1),INDEX(Matches!$A$2:$A$25,I280-1),""))</f>
        <v/>
      </c>
      <c r="B280" t="str">
        <f>IF(A280="","",IF(J280&lt;=INDEX(Matches!$I$2:$I$25,I280-1),INDEX(Matches!$G$2:$G$25,I280-1),INDEX(Matches!$H$2:$H$25,I280-1)))</f>
        <v/>
      </c>
      <c r="C280" t="str">
        <f>IF(A280="","",COUNTIFS($A$2:A280,A280,$B$2:B280,B280))</f>
        <v/>
      </c>
      <c r="D280" s="2" t="str">
        <f t="shared" si="12"/>
        <v/>
      </c>
      <c r="E280" s="2"/>
      <c r="F280" t="str">
        <f t="shared" si="13"/>
        <v/>
      </c>
      <c r="G280" t="str">
        <f t="shared" si="14"/>
        <v/>
      </c>
      <c r="H280" t="str">
        <f>IF(F280="","",VLOOKUP(F280,Validation!$A$2:$B$17,2,FALSE))</f>
        <v/>
      </c>
      <c r="I280">
        <f>INT((ROW()-2)/Settings!$B$6)+2</f>
        <v>25</v>
      </c>
      <c r="J280">
        <f>MOD(ROW()-2,Settings!$B$6)+1</f>
        <v>3</v>
      </c>
    </row>
    <row r="281" spans="1:10" x14ac:dyDescent="0.3">
      <c r="A281" t="str">
        <f>IF(OR(INDEX(Matches!$I$2:$I$25,I281-1)="",INDEX(Matches!$J$2:$J$25,I281-1)=""),"",IF(J281&lt;=INDEX(Matches!$I$2:$I$25,I281-1)+INDEX(Matches!$J$2:$J$25,I281-1),INDEX(Matches!$A$2:$A$25,I281-1),""))</f>
        <v/>
      </c>
      <c r="B281" t="str">
        <f>IF(A281="","",IF(J281&lt;=INDEX(Matches!$I$2:$I$25,I281-1),INDEX(Matches!$G$2:$G$25,I281-1),INDEX(Matches!$H$2:$H$25,I281-1)))</f>
        <v/>
      </c>
      <c r="C281" t="str">
        <f>IF(A281="","",COUNTIFS($A$2:A281,A281,$B$2:B281,B281))</f>
        <v/>
      </c>
      <c r="D281" s="2" t="str">
        <f t="shared" si="12"/>
        <v/>
      </c>
      <c r="E281" s="2"/>
      <c r="F281" t="str">
        <f t="shared" si="13"/>
        <v/>
      </c>
      <c r="G281" t="str">
        <f t="shared" si="14"/>
        <v/>
      </c>
      <c r="H281" t="str">
        <f>IF(F281="","",VLOOKUP(F281,Validation!$A$2:$B$17,2,FALSE))</f>
        <v/>
      </c>
      <c r="I281">
        <f>INT((ROW()-2)/Settings!$B$6)+2</f>
        <v>25</v>
      </c>
      <c r="J281">
        <f>MOD(ROW()-2,Settings!$B$6)+1</f>
        <v>4</v>
      </c>
    </row>
    <row r="282" spans="1:10" x14ac:dyDescent="0.3">
      <c r="A282" t="str">
        <f>IF(OR(INDEX(Matches!$I$2:$I$25,I282-1)="",INDEX(Matches!$J$2:$J$25,I282-1)=""),"",IF(J282&lt;=INDEX(Matches!$I$2:$I$25,I282-1)+INDEX(Matches!$J$2:$J$25,I282-1),INDEX(Matches!$A$2:$A$25,I282-1),""))</f>
        <v/>
      </c>
      <c r="B282" t="str">
        <f>IF(A282="","",IF(J282&lt;=INDEX(Matches!$I$2:$I$25,I282-1),INDEX(Matches!$G$2:$G$25,I282-1),INDEX(Matches!$H$2:$H$25,I282-1)))</f>
        <v/>
      </c>
      <c r="C282" t="str">
        <f>IF(A282="","",COUNTIFS($A$2:A282,A282,$B$2:B282,B282))</f>
        <v/>
      </c>
      <c r="D282" s="2" t="str">
        <f t="shared" si="12"/>
        <v/>
      </c>
      <c r="E282" s="2"/>
      <c r="F282" t="str">
        <f t="shared" si="13"/>
        <v/>
      </c>
      <c r="G282" t="str">
        <f t="shared" si="14"/>
        <v/>
      </c>
      <c r="H282" t="str">
        <f>IF(F282="","",VLOOKUP(F282,Validation!$A$2:$B$17,2,FALSE))</f>
        <v/>
      </c>
      <c r="I282">
        <f>INT((ROW()-2)/Settings!$B$6)+2</f>
        <v>25</v>
      </c>
      <c r="J282">
        <f>MOD(ROW()-2,Settings!$B$6)+1</f>
        <v>5</v>
      </c>
    </row>
    <row r="283" spans="1:10" x14ac:dyDescent="0.3">
      <c r="A283" t="str">
        <f>IF(OR(INDEX(Matches!$I$2:$I$25,I283-1)="",INDEX(Matches!$J$2:$J$25,I283-1)=""),"",IF(J283&lt;=INDEX(Matches!$I$2:$I$25,I283-1)+INDEX(Matches!$J$2:$J$25,I283-1),INDEX(Matches!$A$2:$A$25,I283-1),""))</f>
        <v/>
      </c>
      <c r="B283" t="str">
        <f>IF(A283="","",IF(J283&lt;=INDEX(Matches!$I$2:$I$25,I283-1),INDEX(Matches!$G$2:$G$25,I283-1),INDEX(Matches!$H$2:$H$25,I283-1)))</f>
        <v/>
      </c>
      <c r="C283" t="str">
        <f>IF(A283="","",COUNTIFS($A$2:A283,A283,$B$2:B283,B283))</f>
        <v/>
      </c>
      <c r="D283" s="2" t="str">
        <f t="shared" si="12"/>
        <v/>
      </c>
      <c r="E283" s="2"/>
      <c r="F283" t="str">
        <f t="shared" si="13"/>
        <v/>
      </c>
      <c r="G283" t="str">
        <f t="shared" si="14"/>
        <v/>
      </c>
      <c r="H283" t="str">
        <f>IF(F283="","",VLOOKUP(F283,Validation!$A$2:$B$17,2,FALSE))</f>
        <v/>
      </c>
      <c r="I283">
        <f>INT((ROW()-2)/Settings!$B$6)+2</f>
        <v>25</v>
      </c>
      <c r="J283">
        <f>MOD(ROW()-2,Settings!$B$6)+1</f>
        <v>6</v>
      </c>
    </row>
    <row r="284" spans="1:10" x14ac:dyDescent="0.3">
      <c r="A284" t="str">
        <f>IF(OR(INDEX(Matches!$I$2:$I$25,I284-1)="",INDEX(Matches!$J$2:$J$25,I284-1)=""),"",IF(J284&lt;=INDEX(Matches!$I$2:$I$25,I284-1)+INDEX(Matches!$J$2:$J$25,I284-1),INDEX(Matches!$A$2:$A$25,I284-1),""))</f>
        <v/>
      </c>
      <c r="B284" t="str">
        <f>IF(A284="","",IF(J284&lt;=INDEX(Matches!$I$2:$I$25,I284-1),INDEX(Matches!$G$2:$G$25,I284-1),INDEX(Matches!$H$2:$H$25,I284-1)))</f>
        <v/>
      </c>
      <c r="C284" t="str">
        <f>IF(A284="","",COUNTIFS($A$2:A284,A284,$B$2:B284,B284))</f>
        <v/>
      </c>
      <c r="D284" s="2" t="str">
        <f t="shared" si="12"/>
        <v/>
      </c>
      <c r="E284" s="2"/>
      <c r="F284" t="str">
        <f t="shared" si="13"/>
        <v/>
      </c>
      <c r="G284" t="str">
        <f t="shared" si="14"/>
        <v/>
      </c>
      <c r="H284" t="str">
        <f>IF(F284="","",VLOOKUP(F284,Validation!$A$2:$B$17,2,FALSE))</f>
        <v/>
      </c>
      <c r="I284">
        <f>INT((ROW()-2)/Settings!$B$6)+2</f>
        <v>25</v>
      </c>
      <c r="J284">
        <f>MOD(ROW()-2,Settings!$B$6)+1</f>
        <v>7</v>
      </c>
    </row>
    <row r="285" spans="1:10" x14ac:dyDescent="0.3">
      <c r="A285" t="str">
        <f>IF(OR(INDEX(Matches!$I$2:$I$25,I285-1)="",INDEX(Matches!$J$2:$J$25,I285-1)=""),"",IF(J285&lt;=INDEX(Matches!$I$2:$I$25,I285-1)+INDEX(Matches!$J$2:$J$25,I285-1),INDEX(Matches!$A$2:$A$25,I285-1),""))</f>
        <v/>
      </c>
      <c r="B285" t="str">
        <f>IF(A285="","",IF(J285&lt;=INDEX(Matches!$I$2:$I$25,I285-1),INDEX(Matches!$G$2:$G$25,I285-1),INDEX(Matches!$H$2:$H$25,I285-1)))</f>
        <v/>
      </c>
      <c r="C285" t="str">
        <f>IF(A285="","",COUNTIFS($A$2:A285,A285,$B$2:B285,B285))</f>
        <v/>
      </c>
      <c r="D285" s="2" t="str">
        <f t="shared" si="12"/>
        <v/>
      </c>
      <c r="E285" s="2"/>
      <c r="F285" t="str">
        <f t="shared" si="13"/>
        <v/>
      </c>
      <c r="G285" t="str">
        <f t="shared" si="14"/>
        <v/>
      </c>
      <c r="H285" t="str">
        <f>IF(F285="","",VLOOKUP(F285,Validation!$A$2:$B$17,2,FALSE))</f>
        <v/>
      </c>
      <c r="I285">
        <f>INT((ROW()-2)/Settings!$B$6)+2</f>
        <v>25</v>
      </c>
      <c r="J285">
        <f>MOD(ROW()-2,Settings!$B$6)+1</f>
        <v>8</v>
      </c>
    </row>
    <row r="286" spans="1:10" x14ac:dyDescent="0.3">
      <c r="A286" t="str">
        <f>IF(OR(INDEX(Matches!$I$2:$I$25,I286-1)="",INDEX(Matches!$J$2:$J$25,I286-1)=""),"",IF(J286&lt;=INDEX(Matches!$I$2:$I$25,I286-1)+INDEX(Matches!$J$2:$J$25,I286-1),INDEX(Matches!$A$2:$A$25,I286-1),""))</f>
        <v/>
      </c>
      <c r="B286" t="str">
        <f>IF(A286="","",IF(J286&lt;=INDEX(Matches!$I$2:$I$25,I286-1),INDEX(Matches!$G$2:$G$25,I286-1),INDEX(Matches!$H$2:$H$25,I286-1)))</f>
        <v/>
      </c>
      <c r="C286" t="str">
        <f>IF(A286="","",COUNTIFS($A$2:A286,A286,$B$2:B286,B286))</f>
        <v/>
      </c>
      <c r="D286" s="2" t="str">
        <f t="shared" si="12"/>
        <v/>
      </c>
      <c r="E286" s="2"/>
      <c r="F286" t="str">
        <f t="shared" si="13"/>
        <v/>
      </c>
      <c r="G286" t="str">
        <f t="shared" si="14"/>
        <v/>
      </c>
      <c r="H286" t="str">
        <f>IF(F286="","",VLOOKUP(F286,Validation!$A$2:$B$17,2,FALSE))</f>
        <v/>
      </c>
      <c r="I286">
        <f>INT((ROW()-2)/Settings!$B$6)+2</f>
        <v>25</v>
      </c>
      <c r="J286">
        <f>MOD(ROW()-2,Settings!$B$6)+1</f>
        <v>9</v>
      </c>
    </row>
    <row r="287" spans="1:10" x14ac:dyDescent="0.3">
      <c r="A287" t="str">
        <f>IF(OR(INDEX(Matches!$I$2:$I$25,I287-1)="",INDEX(Matches!$J$2:$J$25,I287-1)=""),"",IF(J287&lt;=INDEX(Matches!$I$2:$I$25,I287-1)+INDEX(Matches!$J$2:$J$25,I287-1),INDEX(Matches!$A$2:$A$25,I287-1),""))</f>
        <v/>
      </c>
      <c r="B287" t="str">
        <f>IF(A287="","",IF(J287&lt;=INDEX(Matches!$I$2:$I$25,I287-1),INDEX(Matches!$G$2:$G$25,I287-1),INDEX(Matches!$H$2:$H$25,I287-1)))</f>
        <v/>
      </c>
      <c r="C287" t="str">
        <f>IF(A287="","",COUNTIFS($A$2:A287,A287,$B$2:B287,B287))</f>
        <v/>
      </c>
      <c r="D287" s="2" t="str">
        <f t="shared" si="12"/>
        <v/>
      </c>
      <c r="E287" s="2"/>
      <c r="F287" t="str">
        <f t="shared" si="13"/>
        <v/>
      </c>
      <c r="G287" t="str">
        <f t="shared" si="14"/>
        <v/>
      </c>
      <c r="H287" t="str">
        <f>IF(F287="","",VLOOKUP(F287,Validation!$A$2:$B$17,2,FALSE))</f>
        <v/>
      </c>
      <c r="I287">
        <f>INT((ROW()-2)/Settings!$B$6)+2</f>
        <v>25</v>
      </c>
      <c r="J287">
        <f>MOD(ROW()-2,Settings!$B$6)+1</f>
        <v>10</v>
      </c>
    </row>
    <row r="288" spans="1:10" x14ac:dyDescent="0.3">
      <c r="A288" t="str">
        <f>IF(OR(INDEX(Matches!$I$2:$I$25,I288-1)="",INDEX(Matches!$J$2:$J$25,I288-1)=""),"",IF(J288&lt;=INDEX(Matches!$I$2:$I$25,I288-1)+INDEX(Matches!$J$2:$J$25,I288-1),INDEX(Matches!$A$2:$A$25,I288-1),""))</f>
        <v/>
      </c>
      <c r="B288" t="str">
        <f>IF(A288="","",IF(J288&lt;=INDEX(Matches!$I$2:$I$25,I288-1),INDEX(Matches!$G$2:$G$25,I288-1),INDEX(Matches!$H$2:$H$25,I288-1)))</f>
        <v/>
      </c>
      <c r="C288" t="str">
        <f>IF(A288="","",COUNTIFS($A$2:A288,A288,$B$2:B288,B288))</f>
        <v/>
      </c>
      <c r="D288" s="2" t="str">
        <f t="shared" si="12"/>
        <v/>
      </c>
      <c r="E288" s="2"/>
      <c r="F288" t="str">
        <f t="shared" si="13"/>
        <v/>
      </c>
      <c r="G288" t="str">
        <f t="shared" si="14"/>
        <v/>
      </c>
      <c r="H288" t="str">
        <f>IF(F288="","",VLOOKUP(F288,Validation!$A$2:$B$17,2,FALSE))</f>
        <v/>
      </c>
      <c r="I288">
        <f>INT((ROW()-2)/Settings!$B$6)+2</f>
        <v>25</v>
      </c>
      <c r="J288">
        <f>MOD(ROW()-2,Settings!$B$6)+1</f>
        <v>11</v>
      </c>
    </row>
    <row r="289" spans="1:10" x14ac:dyDescent="0.3">
      <c r="A289" t="str">
        <f>IF(OR(INDEX(Matches!$I$2:$I$25,I289-1)="",INDEX(Matches!$J$2:$J$25,I289-1)=""),"",IF(J289&lt;=INDEX(Matches!$I$2:$I$25,I289-1)+INDEX(Matches!$J$2:$J$25,I289-1),INDEX(Matches!$A$2:$A$25,I289-1),""))</f>
        <v/>
      </c>
      <c r="B289" t="str">
        <f>IF(A289="","",IF(J289&lt;=INDEX(Matches!$I$2:$I$25,I289-1),INDEX(Matches!$G$2:$G$25,I289-1),INDEX(Matches!$H$2:$H$25,I289-1)))</f>
        <v/>
      </c>
      <c r="C289" t="str">
        <f>IF(A289="","",COUNTIFS($A$2:A289,A289,$B$2:B289,B289))</f>
        <v/>
      </c>
      <c r="D289" s="2" t="str">
        <f t="shared" si="12"/>
        <v/>
      </c>
      <c r="E289" s="2"/>
      <c r="F289" t="str">
        <f t="shared" si="13"/>
        <v/>
      </c>
      <c r="G289" t="str">
        <f t="shared" si="14"/>
        <v/>
      </c>
      <c r="H289" t="str">
        <f>IF(F289="","",VLOOKUP(F289,Validation!$A$2:$B$17,2,FALSE))</f>
        <v/>
      </c>
      <c r="I289">
        <f>INT((ROW()-2)/Settings!$B$6)+2</f>
        <v>25</v>
      </c>
      <c r="J289">
        <f>MOD(ROW()-2,Settings!$B$6)+1</f>
        <v>12</v>
      </c>
    </row>
    <row r="290" spans="1:10" x14ac:dyDescent="0.3">
      <c r="A290" t="e">
        <f>IF(OR(INDEX(Matches!$I$2:$I$25,I290-1)="",INDEX(Matches!$J$2:$J$25,I290-1)=""),"",IF(J290&lt;=INDEX(Matches!$I$2:$I$25,I290-1)+INDEX(Matches!$J$2:$J$25,I290-1),INDEX(Matches!$A$2:$A$25,I290-1),""))</f>
        <v>#REF!</v>
      </c>
      <c r="B290" t="e">
        <f>IF(A290="","",IF(J290&lt;=INDEX(Matches!$I$2:$I$25,I290-1),INDEX(Matches!$G$2:$G$25,I290-1),INDEX(Matches!$H$2:$H$25,I290-1)))</f>
        <v>#REF!</v>
      </c>
      <c r="C290" t="e">
        <f>IF(A290="","",COUNTIFS($A$2:A290,A290,$B$2:B290,B290))</f>
        <v>#REF!</v>
      </c>
      <c r="D290" s="2" t="e">
        <f t="shared" si="12"/>
        <v>#REF!</v>
      </c>
      <c r="E290" s="2"/>
      <c r="F290" t="e">
        <f t="shared" si="13"/>
        <v>#REF!</v>
      </c>
      <c r="G290" t="e">
        <f t="shared" si="14"/>
        <v>#REF!</v>
      </c>
      <c r="H290" t="e">
        <f>IF(F290="","",VLOOKUP(F290,Validation!$A$2:$B$17,2,FALSE))</f>
        <v>#REF!</v>
      </c>
      <c r="I290">
        <f>INT((ROW()-2)/Settings!$B$6)+2</f>
        <v>26</v>
      </c>
      <c r="J290">
        <f>MOD(ROW()-2,Settings!$B$6)+1</f>
        <v>1</v>
      </c>
    </row>
    <row r="291" spans="1:10" x14ac:dyDescent="0.3">
      <c r="A291" t="e">
        <f>IF(OR(INDEX(Matches!$I$2:$I$25,I291-1)="",INDEX(Matches!$J$2:$J$25,I291-1)=""),"",IF(J291&lt;=INDEX(Matches!$I$2:$I$25,I291-1)+INDEX(Matches!$J$2:$J$25,I291-1),INDEX(Matches!$A$2:$A$25,I291-1),""))</f>
        <v>#REF!</v>
      </c>
      <c r="B291" t="e">
        <f>IF(A291="","",IF(J291&lt;=INDEX(Matches!$I$2:$I$25,I291-1),INDEX(Matches!$G$2:$G$25,I291-1),INDEX(Matches!$H$2:$H$25,I291-1)))</f>
        <v>#REF!</v>
      </c>
      <c r="C291" t="e">
        <f>IF(A291="","",COUNTIFS($A$2:A291,A291,$B$2:B291,B291))</f>
        <v>#REF!</v>
      </c>
      <c r="D291" s="2" t="e">
        <f t="shared" si="12"/>
        <v>#REF!</v>
      </c>
      <c r="E291" s="2"/>
      <c r="F291" t="e">
        <f t="shared" si="13"/>
        <v>#REF!</v>
      </c>
      <c r="G291" t="e">
        <f t="shared" si="14"/>
        <v>#REF!</v>
      </c>
      <c r="H291" t="e">
        <f>IF(F291="","",VLOOKUP(F291,Validation!$A$2:$B$17,2,FALSE))</f>
        <v>#REF!</v>
      </c>
      <c r="I291">
        <f>INT((ROW()-2)/Settings!$B$6)+2</f>
        <v>26</v>
      </c>
      <c r="J291">
        <f>MOD(ROW()-2,Settings!$B$6)+1</f>
        <v>2</v>
      </c>
    </row>
    <row r="292" spans="1:10" x14ac:dyDescent="0.3">
      <c r="A292" t="e">
        <f>IF(OR(INDEX(Matches!$I$2:$I$25,I292-1)="",INDEX(Matches!$J$2:$J$25,I292-1)=""),"",IF(J292&lt;=INDEX(Matches!$I$2:$I$25,I292-1)+INDEX(Matches!$J$2:$J$25,I292-1),INDEX(Matches!$A$2:$A$25,I292-1),""))</f>
        <v>#REF!</v>
      </c>
      <c r="B292" t="e">
        <f>IF(A292="","",IF(J292&lt;=INDEX(Matches!$I$2:$I$25,I292-1),INDEX(Matches!$G$2:$G$25,I292-1),INDEX(Matches!$H$2:$H$25,I292-1)))</f>
        <v>#REF!</v>
      </c>
      <c r="C292" t="e">
        <f>IF(A292="","",COUNTIFS($A$2:A292,A292,$B$2:B292,B292))</f>
        <v>#REF!</v>
      </c>
      <c r="D292" s="2" t="e">
        <f t="shared" si="12"/>
        <v>#REF!</v>
      </c>
      <c r="E292" s="2"/>
      <c r="F292" t="e">
        <f t="shared" si="13"/>
        <v>#REF!</v>
      </c>
      <c r="G292" t="e">
        <f t="shared" si="14"/>
        <v>#REF!</v>
      </c>
      <c r="H292" t="e">
        <f>IF(F292="","",VLOOKUP(F292,Validation!$A$2:$B$17,2,FALSE))</f>
        <v>#REF!</v>
      </c>
      <c r="I292">
        <f>INT((ROW()-2)/Settings!$B$6)+2</f>
        <v>26</v>
      </c>
      <c r="J292">
        <f>MOD(ROW()-2,Settings!$B$6)+1</f>
        <v>3</v>
      </c>
    </row>
    <row r="293" spans="1:10" x14ac:dyDescent="0.3">
      <c r="A293" t="e">
        <f>IF(OR(INDEX(Matches!$I$2:$I$25,I293-1)="",INDEX(Matches!$J$2:$J$25,I293-1)=""),"",IF(J293&lt;=INDEX(Matches!$I$2:$I$25,I293-1)+INDEX(Matches!$J$2:$J$25,I293-1),INDEX(Matches!$A$2:$A$25,I293-1),""))</f>
        <v>#REF!</v>
      </c>
      <c r="B293" t="e">
        <f>IF(A293="","",IF(J293&lt;=INDEX(Matches!$I$2:$I$25,I293-1),INDEX(Matches!$G$2:$G$25,I293-1),INDEX(Matches!$H$2:$H$25,I293-1)))</f>
        <v>#REF!</v>
      </c>
      <c r="C293" t="e">
        <f>IF(A293="","",COUNTIFS($A$2:A293,A293,$B$2:B293,B293))</f>
        <v>#REF!</v>
      </c>
      <c r="D293" s="2" t="e">
        <f t="shared" si="12"/>
        <v>#REF!</v>
      </c>
      <c r="E293" s="2"/>
      <c r="F293" t="e">
        <f t="shared" si="13"/>
        <v>#REF!</v>
      </c>
      <c r="G293" t="e">
        <f t="shared" si="14"/>
        <v>#REF!</v>
      </c>
      <c r="H293" t="e">
        <f>IF(F293="","",VLOOKUP(F293,Validation!$A$2:$B$17,2,FALSE))</f>
        <v>#REF!</v>
      </c>
      <c r="I293">
        <f>INT((ROW()-2)/Settings!$B$6)+2</f>
        <v>26</v>
      </c>
      <c r="J293">
        <f>MOD(ROW()-2,Settings!$B$6)+1</f>
        <v>4</v>
      </c>
    </row>
    <row r="294" spans="1:10" x14ac:dyDescent="0.3">
      <c r="A294" t="e">
        <f>IF(OR(INDEX(Matches!$I$2:$I$25,I294-1)="",INDEX(Matches!$J$2:$J$25,I294-1)=""),"",IF(J294&lt;=INDEX(Matches!$I$2:$I$25,I294-1)+INDEX(Matches!$J$2:$J$25,I294-1),INDEX(Matches!$A$2:$A$25,I294-1),""))</f>
        <v>#REF!</v>
      </c>
      <c r="B294" t="e">
        <f>IF(A294="","",IF(J294&lt;=INDEX(Matches!$I$2:$I$25,I294-1),INDEX(Matches!$G$2:$G$25,I294-1),INDEX(Matches!$H$2:$H$25,I294-1)))</f>
        <v>#REF!</v>
      </c>
      <c r="C294" t="e">
        <f>IF(A294="","",COUNTIFS($A$2:A294,A294,$B$2:B294,B294))</f>
        <v>#REF!</v>
      </c>
      <c r="D294" s="2" t="e">
        <f t="shared" si="12"/>
        <v>#REF!</v>
      </c>
      <c r="E294" s="2"/>
      <c r="F294" t="e">
        <f t="shared" si="13"/>
        <v>#REF!</v>
      </c>
      <c r="G294" t="e">
        <f t="shared" si="14"/>
        <v>#REF!</v>
      </c>
      <c r="H294" t="e">
        <f>IF(F294="","",VLOOKUP(F294,Validation!$A$2:$B$17,2,FALSE))</f>
        <v>#REF!</v>
      </c>
      <c r="I294">
        <f>INT((ROW()-2)/Settings!$B$6)+2</f>
        <v>26</v>
      </c>
      <c r="J294">
        <f>MOD(ROW()-2,Settings!$B$6)+1</f>
        <v>5</v>
      </c>
    </row>
    <row r="295" spans="1:10" x14ac:dyDescent="0.3">
      <c r="A295" t="e">
        <f>IF(OR(INDEX(Matches!$I$2:$I$25,I295-1)="",INDEX(Matches!$J$2:$J$25,I295-1)=""),"",IF(J295&lt;=INDEX(Matches!$I$2:$I$25,I295-1)+INDEX(Matches!$J$2:$J$25,I295-1),INDEX(Matches!$A$2:$A$25,I295-1),""))</f>
        <v>#REF!</v>
      </c>
      <c r="B295" t="e">
        <f>IF(A295="","",IF(J295&lt;=INDEX(Matches!$I$2:$I$25,I295-1),INDEX(Matches!$G$2:$G$25,I295-1),INDEX(Matches!$H$2:$H$25,I295-1)))</f>
        <v>#REF!</v>
      </c>
      <c r="C295" t="e">
        <f>IF(A295="","",COUNTIFS($A$2:A295,A295,$B$2:B295,B295))</f>
        <v>#REF!</v>
      </c>
      <c r="D295" s="2" t="e">
        <f t="shared" si="12"/>
        <v>#REF!</v>
      </c>
      <c r="E295" s="2"/>
      <c r="F295" t="e">
        <f t="shared" si="13"/>
        <v>#REF!</v>
      </c>
      <c r="G295" t="e">
        <f t="shared" si="14"/>
        <v>#REF!</v>
      </c>
      <c r="H295" t="e">
        <f>IF(F295="","",VLOOKUP(F295,Validation!$A$2:$B$17,2,FALSE))</f>
        <v>#REF!</v>
      </c>
      <c r="I295">
        <f>INT((ROW()-2)/Settings!$B$6)+2</f>
        <v>26</v>
      </c>
      <c r="J295">
        <f>MOD(ROW()-2,Settings!$B$6)+1</f>
        <v>6</v>
      </c>
    </row>
    <row r="296" spans="1:10" x14ac:dyDescent="0.3">
      <c r="A296" t="e">
        <f>IF(OR(INDEX(Matches!$I$2:$I$25,I296-1)="",INDEX(Matches!$J$2:$J$25,I296-1)=""),"",IF(J296&lt;=INDEX(Matches!$I$2:$I$25,I296-1)+INDEX(Matches!$J$2:$J$25,I296-1),INDEX(Matches!$A$2:$A$25,I296-1),""))</f>
        <v>#REF!</v>
      </c>
      <c r="B296" t="e">
        <f>IF(A296="","",IF(J296&lt;=INDEX(Matches!$I$2:$I$25,I296-1),INDEX(Matches!$G$2:$G$25,I296-1),INDEX(Matches!$H$2:$H$25,I296-1)))</f>
        <v>#REF!</v>
      </c>
      <c r="C296" t="e">
        <f>IF(A296="","",COUNTIFS($A$2:A296,A296,$B$2:B296,B296))</f>
        <v>#REF!</v>
      </c>
      <c r="D296" s="2" t="e">
        <f t="shared" si="12"/>
        <v>#REF!</v>
      </c>
      <c r="E296" s="2"/>
      <c r="F296" t="e">
        <f t="shared" si="13"/>
        <v>#REF!</v>
      </c>
      <c r="G296" t="e">
        <f t="shared" si="14"/>
        <v>#REF!</v>
      </c>
      <c r="H296" t="e">
        <f>IF(F296="","",VLOOKUP(F296,Validation!$A$2:$B$17,2,FALSE))</f>
        <v>#REF!</v>
      </c>
      <c r="I296">
        <f>INT((ROW()-2)/Settings!$B$6)+2</f>
        <v>26</v>
      </c>
      <c r="J296">
        <f>MOD(ROW()-2,Settings!$B$6)+1</f>
        <v>7</v>
      </c>
    </row>
    <row r="297" spans="1:10" x14ac:dyDescent="0.3">
      <c r="A297" t="e">
        <f>IF(OR(INDEX(Matches!$I$2:$I$25,I297-1)="",INDEX(Matches!$J$2:$J$25,I297-1)=""),"",IF(J297&lt;=INDEX(Matches!$I$2:$I$25,I297-1)+INDEX(Matches!$J$2:$J$25,I297-1),INDEX(Matches!$A$2:$A$25,I297-1),""))</f>
        <v>#REF!</v>
      </c>
      <c r="B297" t="e">
        <f>IF(A297="","",IF(J297&lt;=INDEX(Matches!$I$2:$I$25,I297-1),INDEX(Matches!$G$2:$G$25,I297-1),INDEX(Matches!$H$2:$H$25,I297-1)))</f>
        <v>#REF!</v>
      </c>
      <c r="C297" t="e">
        <f>IF(A297="","",COUNTIFS($A$2:A297,A297,$B$2:B297,B297))</f>
        <v>#REF!</v>
      </c>
      <c r="D297" s="2" t="e">
        <f t="shared" si="12"/>
        <v>#REF!</v>
      </c>
      <c r="E297" s="2"/>
      <c r="F297" t="e">
        <f t="shared" si="13"/>
        <v>#REF!</v>
      </c>
      <c r="G297" t="e">
        <f t="shared" si="14"/>
        <v>#REF!</v>
      </c>
      <c r="H297" t="e">
        <f>IF(F297="","",VLOOKUP(F297,Validation!$A$2:$B$17,2,FALSE))</f>
        <v>#REF!</v>
      </c>
      <c r="I297">
        <f>INT((ROW()-2)/Settings!$B$6)+2</f>
        <v>26</v>
      </c>
      <c r="J297">
        <f>MOD(ROW()-2,Settings!$B$6)+1</f>
        <v>8</v>
      </c>
    </row>
    <row r="298" spans="1:10" x14ac:dyDescent="0.3">
      <c r="A298" t="e">
        <f>IF(OR(INDEX(Matches!$I$2:$I$25,I298-1)="",INDEX(Matches!$J$2:$J$25,I298-1)=""),"",IF(J298&lt;=INDEX(Matches!$I$2:$I$25,I298-1)+INDEX(Matches!$J$2:$J$25,I298-1),INDEX(Matches!$A$2:$A$25,I298-1),""))</f>
        <v>#REF!</v>
      </c>
      <c r="B298" t="e">
        <f>IF(A298="","",IF(J298&lt;=INDEX(Matches!$I$2:$I$25,I298-1),INDEX(Matches!$G$2:$G$25,I298-1),INDEX(Matches!$H$2:$H$25,I298-1)))</f>
        <v>#REF!</v>
      </c>
      <c r="C298" t="e">
        <f>IF(A298="","",COUNTIFS($A$2:A298,A298,$B$2:B298,B298))</f>
        <v>#REF!</v>
      </c>
      <c r="D298" s="2" t="e">
        <f t="shared" si="12"/>
        <v>#REF!</v>
      </c>
      <c r="E298" s="2"/>
      <c r="F298" t="e">
        <f t="shared" si="13"/>
        <v>#REF!</v>
      </c>
      <c r="G298" t="e">
        <f t="shared" si="14"/>
        <v>#REF!</v>
      </c>
      <c r="H298" t="e">
        <f>IF(F298="","",VLOOKUP(F298,Validation!$A$2:$B$17,2,FALSE))</f>
        <v>#REF!</v>
      </c>
      <c r="I298">
        <f>INT((ROW()-2)/Settings!$B$6)+2</f>
        <v>26</v>
      </c>
      <c r="J298">
        <f>MOD(ROW()-2,Settings!$B$6)+1</f>
        <v>9</v>
      </c>
    </row>
    <row r="299" spans="1:10" x14ac:dyDescent="0.3">
      <c r="A299" t="e">
        <f>IF(OR(INDEX(Matches!$I$2:$I$25,I299-1)="",INDEX(Matches!$J$2:$J$25,I299-1)=""),"",IF(J299&lt;=INDEX(Matches!$I$2:$I$25,I299-1)+INDEX(Matches!$J$2:$J$25,I299-1),INDEX(Matches!$A$2:$A$25,I299-1),""))</f>
        <v>#REF!</v>
      </c>
      <c r="B299" t="e">
        <f>IF(A299="","",IF(J299&lt;=INDEX(Matches!$I$2:$I$25,I299-1),INDEX(Matches!$G$2:$G$25,I299-1),INDEX(Matches!$H$2:$H$25,I299-1)))</f>
        <v>#REF!</v>
      </c>
      <c r="C299" t="e">
        <f>IF(A299="","",COUNTIFS($A$2:A299,A299,$B$2:B299,B299))</f>
        <v>#REF!</v>
      </c>
      <c r="D299" s="2" t="e">
        <f t="shared" si="12"/>
        <v>#REF!</v>
      </c>
      <c r="E299" s="2"/>
      <c r="F299" t="e">
        <f t="shared" si="13"/>
        <v>#REF!</v>
      </c>
      <c r="G299" t="e">
        <f t="shared" si="14"/>
        <v>#REF!</v>
      </c>
      <c r="H299" t="e">
        <f>IF(F299="","",VLOOKUP(F299,Validation!$A$2:$B$17,2,FALSE))</f>
        <v>#REF!</v>
      </c>
      <c r="I299">
        <f>INT((ROW()-2)/Settings!$B$6)+2</f>
        <v>26</v>
      </c>
      <c r="J299">
        <f>MOD(ROW()-2,Settings!$B$6)+1</f>
        <v>10</v>
      </c>
    </row>
    <row r="300" spans="1:10" x14ac:dyDescent="0.3">
      <c r="A300" t="e">
        <f>IF(OR(INDEX(Matches!$I$2:$I$25,I300-1)="",INDEX(Matches!$J$2:$J$25,I300-1)=""),"",IF(J300&lt;=INDEX(Matches!$I$2:$I$25,I300-1)+INDEX(Matches!$J$2:$J$25,I300-1),INDEX(Matches!$A$2:$A$25,I300-1),""))</f>
        <v>#REF!</v>
      </c>
      <c r="B300" t="e">
        <f>IF(A300="","",IF(J300&lt;=INDEX(Matches!$I$2:$I$25,I300-1),INDEX(Matches!$G$2:$G$25,I300-1),INDEX(Matches!$H$2:$H$25,I300-1)))</f>
        <v>#REF!</v>
      </c>
      <c r="C300" t="e">
        <f>IF(A300="","",COUNTIFS($A$2:A300,A300,$B$2:B300,B300))</f>
        <v>#REF!</v>
      </c>
      <c r="D300" s="2" t="e">
        <f t="shared" si="12"/>
        <v>#REF!</v>
      </c>
      <c r="E300" s="2"/>
      <c r="F300" t="e">
        <f t="shared" si="13"/>
        <v>#REF!</v>
      </c>
      <c r="G300" t="e">
        <f t="shared" si="14"/>
        <v>#REF!</v>
      </c>
      <c r="H300" t="e">
        <f>IF(F300="","",VLOOKUP(F300,Validation!$A$2:$B$17,2,FALSE))</f>
        <v>#REF!</v>
      </c>
      <c r="I300">
        <f>INT((ROW()-2)/Settings!$B$6)+2</f>
        <v>26</v>
      </c>
      <c r="J300">
        <f>MOD(ROW()-2,Settings!$B$6)+1</f>
        <v>11</v>
      </c>
    </row>
    <row r="301" spans="1:10" x14ac:dyDescent="0.3">
      <c r="A301" t="e">
        <f>IF(OR(INDEX(Matches!$I$2:$I$25,I301-1)="",INDEX(Matches!$J$2:$J$25,I301-1)=""),"",IF(J301&lt;=INDEX(Matches!$I$2:$I$25,I301-1)+INDEX(Matches!$J$2:$J$25,I301-1),INDEX(Matches!$A$2:$A$25,I301-1),""))</f>
        <v>#REF!</v>
      </c>
      <c r="B301" t="e">
        <f>IF(A301="","",IF(J301&lt;=INDEX(Matches!$I$2:$I$25,I301-1),INDEX(Matches!$G$2:$G$25,I301-1),INDEX(Matches!$H$2:$H$25,I301-1)))</f>
        <v>#REF!</v>
      </c>
      <c r="C301" t="e">
        <f>IF(A301="","",COUNTIFS($A$2:A301,A301,$B$2:B301,B301))</f>
        <v>#REF!</v>
      </c>
      <c r="D301" s="2" t="e">
        <f t="shared" si="12"/>
        <v>#REF!</v>
      </c>
      <c r="E301" s="2"/>
      <c r="F301" t="e">
        <f t="shared" si="13"/>
        <v>#REF!</v>
      </c>
      <c r="G301" t="e">
        <f t="shared" si="14"/>
        <v>#REF!</v>
      </c>
      <c r="H301" t="e">
        <f>IF(F301="","",VLOOKUP(F301,Validation!$A$2:$B$17,2,FALSE))</f>
        <v>#REF!</v>
      </c>
      <c r="I301">
        <f>INT((ROW()-2)/Settings!$B$6)+2</f>
        <v>26</v>
      </c>
      <c r="J301">
        <f>MOD(ROW()-2,Settings!$B$6)+1</f>
        <v>12</v>
      </c>
    </row>
    <row r="302" spans="1:10" x14ac:dyDescent="0.3">
      <c r="A302" t="e">
        <f>IF(OR(INDEX(Matches!$I$2:$I$25,I302-1)="",INDEX(Matches!$J$2:$J$25,I302-1)=""),"",IF(J302&lt;=INDEX(Matches!$I$2:$I$25,I302-1)+INDEX(Matches!$J$2:$J$25,I302-1),INDEX(Matches!$A$2:$A$25,I302-1),""))</f>
        <v>#REF!</v>
      </c>
      <c r="B302" t="e">
        <f>IF(A302="","",IF(J302&lt;=INDEX(Matches!$I$2:$I$25,I302-1),INDEX(Matches!$G$2:$G$25,I302-1),INDEX(Matches!$H$2:$H$25,I302-1)))</f>
        <v>#REF!</v>
      </c>
      <c r="C302" t="e">
        <f>IF(A302="","",COUNTIFS($A$2:A302,A302,$B$2:B302,B302))</f>
        <v>#REF!</v>
      </c>
      <c r="D302" s="2" t="e">
        <f t="shared" si="12"/>
        <v>#REF!</v>
      </c>
      <c r="E302" s="2"/>
      <c r="F302" t="e">
        <f t="shared" si="13"/>
        <v>#REF!</v>
      </c>
      <c r="G302" t="e">
        <f t="shared" si="14"/>
        <v>#REF!</v>
      </c>
      <c r="H302" t="e">
        <f>IF(F302="","",VLOOKUP(F302,Validation!$A$2:$B$17,2,FALSE))</f>
        <v>#REF!</v>
      </c>
      <c r="I302">
        <f>INT((ROW()-2)/Settings!$B$6)+2</f>
        <v>27</v>
      </c>
      <c r="J302">
        <f>MOD(ROW()-2,Settings!$B$6)+1</f>
        <v>1</v>
      </c>
    </row>
    <row r="303" spans="1:10" x14ac:dyDescent="0.3">
      <c r="A303" t="e">
        <f>IF(OR(INDEX(Matches!$I$2:$I$25,I303-1)="",INDEX(Matches!$J$2:$J$25,I303-1)=""),"",IF(J303&lt;=INDEX(Matches!$I$2:$I$25,I303-1)+INDEX(Matches!$J$2:$J$25,I303-1),INDEX(Matches!$A$2:$A$25,I303-1),""))</f>
        <v>#REF!</v>
      </c>
      <c r="B303" t="e">
        <f>IF(A303="","",IF(J303&lt;=INDEX(Matches!$I$2:$I$25,I303-1),INDEX(Matches!$G$2:$G$25,I303-1),INDEX(Matches!$H$2:$H$25,I303-1)))</f>
        <v>#REF!</v>
      </c>
      <c r="C303" t="e">
        <f>IF(A303="","",COUNTIFS($A$2:A303,A303,$B$2:B303,B303))</f>
        <v>#REF!</v>
      </c>
      <c r="D303" s="2" t="e">
        <f t="shared" si="12"/>
        <v>#REF!</v>
      </c>
      <c r="E303" s="2"/>
      <c r="F303" t="e">
        <f t="shared" si="13"/>
        <v>#REF!</v>
      </c>
      <c r="G303" t="e">
        <f t="shared" si="14"/>
        <v>#REF!</v>
      </c>
      <c r="H303" t="e">
        <f>IF(F303="","",VLOOKUP(F303,Validation!$A$2:$B$17,2,FALSE))</f>
        <v>#REF!</v>
      </c>
      <c r="I303">
        <f>INT((ROW()-2)/Settings!$B$6)+2</f>
        <v>27</v>
      </c>
      <c r="J303">
        <f>MOD(ROW()-2,Settings!$B$6)+1</f>
        <v>2</v>
      </c>
    </row>
    <row r="304" spans="1:10" x14ac:dyDescent="0.3">
      <c r="A304" t="e">
        <f>IF(OR(INDEX(Matches!$I$2:$I$25,I304-1)="",INDEX(Matches!$J$2:$J$25,I304-1)=""),"",IF(J304&lt;=INDEX(Matches!$I$2:$I$25,I304-1)+INDEX(Matches!$J$2:$J$25,I304-1),INDEX(Matches!$A$2:$A$25,I304-1),""))</f>
        <v>#REF!</v>
      </c>
      <c r="B304" t="e">
        <f>IF(A304="","",IF(J304&lt;=INDEX(Matches!$I$2:$I$25,I304-1),INDEX(Matches!$G$2:$G$25,I304-1),INDEX(Matches!$H$2:$H$25,I304-1)))</f>
        <v>#REF!</v>
      </c>
      <c r="C304" t="e">
        <f>IF(A304="","",COUNTIFS($A$2:A304,A304,$B$2:B304,B304))</f>
        <v>#REF!</v>
      </c>
      <c r="D304" s="2" t="e">
        <f t="shared" si="12"/>
        <v>#REF!</v>
      </c>
      <c r="E304" s="2"/>
      <c r="F304" t="e">
        <f t="shared" si="13"/>
        <v>#REF!</v>
      </c>
      <c r="G304" t="e">
        <f t="shared" si="14"/>
        <v>#REF!</v>
      </c>
      <c r="H304" t="e">
        <f>IF(F304="","",VLOOKUP(F304,Validation!$A$2:$B$17,2,FALSE))</f>
        <v>#REF!</v>
      </c>
      <c r="I304">
        <f>INT((ROW()-2)/Settings!$B$6)+2</f>
        <v>27</v>
      </c>
      <c r="J304">
        <f>MOD(ROW()-2,Settings!$B$6)+1</f>
        <v>3</v>
      </c>
    </row>
    <row r="305" spans="1:10" x14ac:dyDescent="0.3">
      <c r="A305" t="e">
        <f>IF(OR(INDEX(Matches!$I$2:$I$25,I305-1)="",INDEX(Matches!$J$2:$J$25,I305-1)=""),"",IF(J305&lt;=INDEX(Matches!$I$2:$I$25,I305-1)+INDEX(Matches!$J$2:$J$25,I305-1),INDEX(Matches!$A$2:$A$25,I305-1),""))</f>
        <v>#REF!</v>
      </c>
      <c r="B305" t="e">
        <f>IF(A305="","",IF(J305&lt;=INDEX(Matches!$I$2:$I$25,I305-1),INDEX(Matches!$G$2:$G$25,I305-1),INDEX(Matches!$H$2:$H$25,I305-1)))</f>
        <v>#REF!</v>
      </c>
      <c r="C305" t="e">
        <f>IF(A305="","",COUNTIFS($A$2:A305,A305,$B$2:B305,B305))</f>
        <v>#REF!</v>
      </c>
      <c r="D305" s="2" t="e">
        <f t="shared" si="12"/>
        <v>#REF!</v>
      </c>
      <c r="E305" s="2"/>
      <c r="F305" t="e">
        <f t="shared" si="13"/>
        <v>#REF!</v>
      </c>
      <c r="G305" t="e">
        <f t="shared" si="14"/>
        <v>#REF!</v>
      </c>
      <c r="H305" t="e">
        <f>IF(F305="","",VLOOKUP(F305,Validation!$A$2:$B$17,2,FALSE))</f>
        <v>#REF!</v>
      </c>
      <c r="I305">
        <f>INT((ROW()-2)/Settings!$B$6)+2</f>
        <v>27</v>
      </c>
      <c r="J305">
        <f>MOD(ROW()-2,Settings!$B$6)+1</f>
        <v>4</v>
      </c>
    </row>
    <row r="306" spans="1:10" x14ac:dyDescent="0.3">
      <c r="A306" t="e">
        <f>IF(OR(INDEX(Matches!$I$2:$I$25,I306-1)="",INDEX(Matches!$J$2:$J$25,I306-1)=""),"",IF(J306&lt;=INDEX(Matches!$I$2:$I$25,I306-1)+INDEX(Matches!$J$2:$J$25,I306-1),INDEX(Matches!$A$2:$A$25,I306-1),""))</f>
        <v>#REF!</v>
      </c>
      <c r="B306" t="e">
        <f>IF(A306="","",IF(J306&lt;=INDEX(Matches!$I$2:$I$25,I306-1),INDEX(Matches!$G$2:$G$25,I306-1),INDEX(Matches!$H$2:$H$25,I306-1)))</f>
        <v>#REF!</v>
      </c>
      <c r="C306" t="e">
        <f>IF(A306="","",COUNTIFS($A$2:A306,A306,$B$2:B306,B306))</f>
        <v>#REF!</v>
      </c>
      <c r="D306" s="2" t="e">
        <f t="shared" si="12"/>
        <v>#REF!</v>
      </c>
      <c r="E306" s="2"/>
      <c r="F306" t="e">
        <f t="shared" si="13"/>
        <v>#REF!</v>
      </c>
      <c r="G306" t="e">
        <f t="shared" si="14"/>
        <v>#REF!</v>
      </c>
      <c r="H306" t="e">
        <f>IF(F306="","",VLOOKUP(F306,Validation!$A$2:$B$17,2,FALSE))</f>
        <v>#REF!</v>
      </c>
      <c r="I306">
        <f>INT((ROW()-2)/Settings!$B$6)+2</f>
        <v>27</v>
      </c>
      <c r="J306">
        <f>MOD(ROW()-2,Settings!$B$6)+1</f>
        <v>5</v>
      </c>
    </row>
    <row r="307" spans="1:10" x14ac:dyDescent="0.3">
      <c r="A307" t="e">
        <f>IF(OR(INDEX(Matches!$I$2:$I$25,I307-1)="",INDEX(Matches!$J$2:$J$25,I307-1)=""),"",IF(J307&lt;=INDEX(Matches!$I$2:$I$25,I307-1)+INDEX(Matches!$J$2:$J$25,I307-1),INDEX(Matches!$A$2:$A$25,I307-1),""))</f>
        <v>#REF!</v>
      </c>
      <c r="B307" t="e">
        <f>IF(A307="","",IF(J307&lt;=INDEX(Matches!$I$2:$I$25,I307-1),INDEX(Matches!$G$2:$G$25,I307-1),INDEX(Matches!$H$2:$H$25,I307-1)))</f>
        <v>#REF!</v>
      </c>
      <c r="C307" t="e">
        <f>IF(A307="","",COUNTIFS($A$2:A307,A307,$B$2:B307,B307))</f>
        <v>#REF!</v>
      </c>
      <c r="D307" s="2" t="e">
        <f t="shared" si="12"/>
        <v>#REF!</v>
      </c>
      <c r="E307" s="2"/>
      <c r="F307" t="e">
        <f t="shared" si="13"/>
        <v>#REF!</v>
      </c>
      <c r="G307" t="e">
        <f t="shared" si="14"/>
        <v>#REF!</v>
      </c>
      <c r="H307" t="e">
        <f>IF(F307="","",VLOOKUP(F307,Validation!$A$2:$B$17,2,FALSE))</f>
        <v>#REF!</v>
      </c>
      <c r="I307">
        <f>INT((ROW()-2)/Settings!$B$6)+2</f>
        <v>27</v>
      </c>
      <c r="J307">
        <f>MOD(ROW()-2,Settings!$B$6)+1</f>
        <v>6</v>
      </c>
    </row>
    <row r="308" spans="1:10" x14ac:dyDescent="0.3">
      <c r="A308" t="e">
        <f>IF(OR(INDEX(Matches!$I$2:$I$25,I308-1)="",INDEX(Matches!$J$2:$J$25,I308-1)=""),"",IF(J308&lt;=INDEX(Matches!$I$2:$I$25,I308-1)+INDEX(Matches!$J$2:$J$25,I308-1),INDEX(Matches!$A$2:$A$25,I308-1),""))</f>
        <v>#REF!</v>
      </c>
      <c r="B308" t="e">
        <f>IF(A308="","",IF(J308&lt;=INDEX(Matches!$I$2:$I$25,I308-1),INDEX(Matches!$G$2:$G$25,I308-1),INDEX(Matches!$H$2:$H$25,I308-1)))</f>
        <v>#REF!</v>
      </c>
      <c r="C308" t="e">
        <f>IF(A308="","",COUNTIFS($A$2:A308,A308,$B$2:B308,B308))</f>
        <v>#REF!</v>
      </c>
      <c r="D308" s="2" t="e">
        <f t="shared" si="12"/>
        <v>#REF!</v>
      </c>
      <c r="E308" s="2"/>
      <c r="F308" t="e">
        <f t="shared" si="13"/>
        <v>#REF!</v>
      </c>
      <c r="G308" t="e">
        <f t="shared" si="14"/>
        <v>#REF!</v>
      </c>
      <c r="H308" t="e">
        <f>IF(F308="","",VLOOKUP(F308,Validation!$A$2:$B$17,2,FALSE))</f>
        <v>#REF!</v>
      </c>
      <c r="I308">
        <f>INT((ROW()-2)/Settings!$B$6)+2</f>
        <v>27</v>
      </c>
      <c r="J308">
        <f>MOD(ROW()-2,Settings!$B$6)+1</f>
        <v>7</v>
      </c>
    </row>
    <row r="309" spans="1:10" x14ac:dyDescent="0.3">
      <c r="A309" t="e">
        <f>IF(OR(INDEX(Matches!$I$2:$I$25,I309-1)="",INDEX(Matches!$J$2:$J$25,I309-1)=""),"",IF(J309&lt;=INDEX(Matches!$I$2:$I$25,I309-1)+INDEX(Matches!$J$2:$J$25,I309-1),INDEX(Matches!$A$2:$A$25,I309-1),""))</f>
        <v>#REF!</v>
      </c>
      <c r="B309" t="e">
        <f>IF(A309="","",IF(J309&lt;=INDEX(Matches!$I$2:$I$25,I309-1),INDEX(Matches!$G$2:$G$25,I309-1),INDEX(Matches!$H$2:$H$25,I309-1)))</f>
        <v>#REF!</v>
      </c>
      <c r="C309" t="e">
        <f>IF(A309="","",COUNTIFS($A$2:A309,A309,$B$2:B309,B309))</f>
        <v>#REF!</v>
      </c>
      <c r="D309" s="2" t="e">
        <f t="shared" si="12"/>
        <v>#REF!</v>
      </c>
      <c r="E309" s="2"/>
      <c r="F309" t="e">
        <f t="shared" si="13"/>
        <v>#REF!</v>
      </c>
      <c r="G309" t="e">
        <f t="shared" si="14"/>
        <v>#REF!</v>
      </c>
      <c r="H309" t="e">
        <f>IF(F309="","",VLOOKUP(F309,Validation!$A$2:$B$17,2,FALSE))</f>
        <v>#REF!</v>
      </c>
      <c r="I309">
        <f>INT((ROW()-2)/Settings!$B$6)+2</f>
        <v>27</v>
      </c>
      <c r="J309">
        <f>MOD(ROW()-2,Settings!$B$6)+1</f>
        <v>8</v>
      </c>
    </row>
    <row r="310" spans="1:10" x14ac:dyDescent="0.3">
      <c r="A310" t="e">
        <f>IF(OR(INDEX(Matches!$I$2:$I$25,I310-1)="",INDEX(Matches!$J$2:$J$25,I310-1)=""),"",IF(J310&lt;=INDEX(Matches!$I$2:$I$25,I310-1)+INDEX(Matches!$J$2:$J$25,I310-1),INDEX(Matches!$A$2:$A$25,I310-1),""))</f>
        <v>#REF!</v>
      </c>
      <c r="B310" t="e">
        <f>IF(A310="","",IF(J310&lt;=INDEX(Matches!$I$2:$I$25,I310-1),INDEX(Matches!$G$2:$G$25,I310-1),INDEX(Matches!$H$2:$H$25,I310-1)))</f>
        <v>#REF!</v>
      </c>
      <c r="C310" t="e">
        <f>IF(A310="","",COUNTIFS($A$2:A310,A310,$B$2:B310,B310))</f>
        <v>#REF!</v>
      </c>
      <c r="D310" s="2" t="e">
        <f t="shared" si="12"/>
        <v>#REF!</v>
      </c>
      <c r="E310" s="2"/>
      <c r="F310" t="e">
        <f t="shared" si="13"/>
        <v>#REF!</v>
      </c>
      <c r="G310" t="e">
        <f t="shared" si="14"/>
        <v>#REF!</v>
      </c>
      <c r="H310" t="e">
        <f>IF(F310="","",VLOOKUP(F310,Validation!$A$2:$B$17,2,FALSE))</f>
        <v>#REF!</v>
      </c>
      <c r="I310">
        <f>INT((ROW()-2)/Settings!$B$6)+2</f>
        <v>27</v>
      </c>
      <c r="J310">
        <f>MOD(ROW()-2,Settings!$B$6)+1</f>
        <v>9</v>
      </c>
    </row>
    <row r="311" spans="1:10" x14ac:dyDescent="0.3">
      <c r="A311" t="e">
        <f>IF(OR(INDEX(Matches!$I$2:$I$25,I311-1)="",INDEX(Matches!$J$2:$J$25,I311-1)=""),"",IF(J311&lt;=INDEX(Matches!$I$2:$I$25,I311-1)+INDEX(Matches!$J$2:$J$25,I311-1),INDEX(Matches!$A$2:$A$25,I311-1),""))</f>
        <v>#REF!</v>
      </c>
      <c r="B311" t="e">
        <f>IF(A311="","",IF(J311&lt;=INDEX(Matches!$I$2:$I$25,I311-1),INDEX(Matches!$G$2:$G$25,I311-1),INDEX(Matches!$H$2:$H$25,I311-1)))</f>
        <v>#REF!</v>
      </c>
      <c r="C311" t="e">
        <f>IF(A311="","",COUNTIFS($A$2:A311,A311,$B$2:B311,B311))</f>
        <v>#REF!</v>
      </c>
      <c r="D311" s="2" t="e">
        <f t="shared" si="12"/>
        <v>#REF!</v>
      </c>
      <c r="E311" s="2"/>
      <c r="F311" t="e">
        <f t="shared" si="13"/>
        <v>#REF!</v>
      </c>
      <c r="G311" t="e">
        <f t="shared" si="14"/>
        <v>#REF!</v>
      </c>
      <c r="H311" t="e">
        <f>IF(F311="","",VLOOKUP(F311,Validation!$A$2:$B$17,2,FALSE))</f>
        <v>#REF!</v>
      </c>
      <c r="I311">
        <f>INT((ROW()-2)/Settings!$B$6)+2</f>
        <v>27</v>
      </c>
      <c r="J311">
        <f>MOD(ROW()-2,Settings!$B$6)+1</f>
        <v>10</v>
      </c>
    </row>
    <row r="312" spans="1:10" x14ac:dyDescent="0.3">
      <c r="A312" t="e">
        <f>IF(OR(INDEX(Matches!$I$2:$I$25,I312-1)="",INDEX(Matches!$J$2:$J$25,I312-1)=""),"",IF(J312&lt;=INDEX(Matches!$I$2:$I$25,I312-1)+INDEX(Matches!$J$2:$J$25,I312-1),INDEX(Matches!$A$2:$A$25,I312-1),""))</f>
        <v>#REF!</v>
      </c>
      <c r="B312" t="e">
        <f>IF(A312="","",IF(J312&lt;=INDEX(Matches!$I$2:$I$25,I312-1),INDEX(Matches!$G$2:$G$25,I312-1),INDEX(Matches!$H$2:$H$25,I312-1)))</f>
        <v>#REF!</v>
      </c>
      <c r="C312" t="e">
        <f>IF(A312="","",COUNTIFS($A$2:A312,A312,$B$2:B312,B312))</f>
        <v>#REF!</v>
      </c>
      <c r="D312" s="2" t="e">
        <f t="shared" si="12"/>
        <v>#REF!</v>
      </c>
      <c r="E312" s="2"/>
      <c r="F312" t="e">
        <f t="shared" si="13"/>
        <v>#REF!</v>
      </c>
      <c r="G312" t="e">
        <f t="shared" si="14"/>
        <v>#REF!</v>
      </c>
      <c r="H312" t="e">
        <f>IF(F312="","",VLOOKUP(F312,Validation!$A$2:$B$17,2,FALSE))</f>
        <v>#REF!</v>
      </c>
      <c r="I312">
        <f>INT((ROW()-2)/Settings!$B$6)+2</f>
        <v>27</v>
      </c>
      <c r="J312">
        <f>MOD(ROW()-2,Settings!$B$6)+1</f>
        <v>11</v>
      </c>
    </row>
    <row r="313" spans="1:10" x14ac:dyDescent="0.3">
      <c r="A313" t="e">
        <f>IF(OR(INDEX(Matches!$I$2:$I$25,I313-1)="",INDEX(Matches!$J$2:$J$25,I313-1)=""),"",IF(J313&lt;=INDEX(Matches!$I$2:$I$25,I313-1)+INDEX(Matches!$J$2:$J$25,I313-1),INDEX(Matches!$A$2:$A$25,I313-1),""))</f>
        <v>#REF!</v>
      </c>
      <c r="B313" t="e">
        <f>IF(A313="","",IF(J313&lt;=INDEX(Matches!$I$2:$I$25,I313-1),INDEX(Matches!$G$2:$G$25,I313-1),INDEX(Matches!$H$2:$H$25,I313-1)))</f>
        <v>#REF!</v>
      </c>
      <c r="C313" t="e">
        <f>IF(A313="","",COUNTIFS($A$2:A313,A313,$B$2:B313,B313))</f>
        <v>#REF!</v>
      </c>
      <c r="D313" s="2" t="e">
        <f t="shared" si="12"/>
        <v>#REF!</v>
      </c>
      <c r="E313" s="2"/>
      <c r="F313" t="e">
        <f t="shared" si="13"/>
        <v>#REF!</v>
      </c>
      <c r="G313" t="e">
        <f t="shared" si="14"/>
        <v>#REF!</v>
      </c>
      <c r="H313" t="e">
        <f>IF(F313="","",VLOOKUP(F313,Validation!$A$2:$B$17,2,FALSE))</f>
        <v>#REF!</v>
      </c>
      <c r="I313">
        <f>INT((ROW()-2)/Settings!$B$6)+2</f>
        <v>27</v>
      </c>
      <c r="J313">
        <f>MOD(ROW()-2,Settings!$B$6)+1</f>
        <v>12</v>
      </c>
    </row>
    <row r="314" spans="1:10" x14ac:dyDescent="0.3">
      <c r="A314" t="e">
        <f>IF(OR(INDEX(Matches!$I$2:$I$25,I314-1)="",INDEX(Matches!$J$2:$J$25,I314-1)=""),"",IF(J314&lt;=INDEX(Matches!$I$2:$I$25,I314-1)+INDEX(Matches!$J$2:$J$25,I314-1),INDEX(Matches!$A$2:$A$25,I314-1),""))</f>
        <v>#REF!</v>
      </c>
      <c r="B314" t="e">
        <f>IF(A314="","",IF(J314&lt;=INDEX(Matches!$I$2:$I$25,I314-1),INDEX(Matches!$G$2:$G$25,I314-1),INDEX(Matches!$H$2:$H$25,I314-1)))</f>
        <v>#REF!</v>
      </c>
      <c r="C314" t="e">
        <f>IF(A314="","",COUNTIFS($A$2:A314,A314,$B$2:B314,B314))</f>
        <v>#REF!</v>
      </c>
      <c r="D314" s="2" t="e">
        <f t="shared" si="12"/>
        <v>#REF!</v>
      </c>
      <c r="E314" s="2"/>
      <c r="F314" t="e">
        <f t="shared" si="13"/>
        <v>#REF!</v>
      </c>
      <c r="G314" t="e">
        <f t="shared" si="14"/>
        <v>#REF!</v>
      </c>
      <c r="H314" t="e">
        <f>IF(F314="","",VLOOKUP(F314,Validation!$A$2:$B$17,2,FALSE))</f>
        <v>#REF!</v>
      </c>
      <c r="I314">
        <f>INT((ROW()-2)/Settings!$B$6)+2</f>
        <v>28</v>
      </c>
      <c r="J314">
        <f>MOD(ROW()-2,Settings!$B$6)+1</f>
        <v>1</v>
      </c>
    </row>
    <row r="315" spans="1:10" x14ac:dyDescent="0.3">
      <c r="A315" t="e">
        <f>IF(OR(INDEX(Matches!$I$2:$I$25,I315-1)="",INDEX(Matches!$J$2:$J$25,I315-1)=""),"",IF(J315&lt;=INDEX(Matches!$I$2:$I$25,I315-1)+INDEX(Matches!$J$2:$J$25,I315-1),INDEX(Matches!$A$2:$A$25,I315-1),""))</f>
        <v>#REF!</v>
      </c>
      <c r="B315" t="e">
        <f>IF(A315="","",IF(J315&lt;=INDEX(Matches!$I$2:$I$25,I315-1),INDEX(Matches!$G$2:$G$25,I315-1),INDEX(Matches!$H$2:$H$25,I315-1)))</f>
        <v>#REF!</v>
      </c>
      <c r="C315" t="e">
        <f>IF(A315="","",COUNTIFS($A$2:A315,A315,$B$2:B315,B315))</f>
        <v>#REF!</v>
      </c>
      <c r="D315" s="2" t="e">
        <f t="shared" si="12"/>
        <v>#REF!</v>
      </c>
      <c r="E315" s="2"/>
      <c r="F315" t="e">
        <f t="shared" si="13"/>
        <v>#REF!</v>
      </c>
      <c r="G315" t="e">
        <f t="shared" si="14"/>
        <v>#REF!</v>
      </c>
      <c r="H315" t="e">
        <f>IF(F315="","",VLOOKUP(F315,Validation!$A$2:$B$17,2,FALSE))</f>
        <v>#REF!</v>
      </c>
      <c r="I315">
        <f>INT((ROW()-2)/Settings!$B$6)+2</f>
        <v>28</v>
      </c>
      <c r="J315">
        <f>MOD(ROW()-2,Settings!$B$6)+1</f>
        <v>2</v>
      </c>
    </row>
    <row r="316" spans="1:10" x14ac:dyDescent="0.3">
      <c r="A316" t="e">
        <f>IF(OR(INDEX(Matches!$I$2:$I$25,I316-1)="",INDEX(Matches!$J$2:$J$25,I316-1)=""),"",IF(J316&lt;=INDEX(Matches!$I$2:$I$25,I316-1)+INDEX(Matches!$J$2:$J$25,I316-1),INDEX(Matches!$A$2:$A$25,I316-1),""))</f>
        <v>#REF!</v>
      </c>
      <c r="B316" t="e">
        <f>IF(A316="","",IF(J316&lt;=INDEX(Matches!$I$2:$I$25,I316-1),INDEX(Matches!$G$2:$G$25,I316-1),INDEX(Matches!$H$2:$H$25,I316-1)))</f>
        <v>#REF!</v>
      </c>
      <c r="C316" t="e">
        <f>IF(A316="","",COUNTIFS($A$2:A316,A316,$B$2:B316,B316))</f>
        <v>#REF!</v>
      </c>
      <c r="D316" s="2" t="e">
        <f t="shared" si="12"/>
        <v>#REF!</v>
      </c>
      <c r="E316" s="2"/>
      <c r="F316" t="e">
        <f t="shared" si="13"/>
        <v>#REF!</v>
      </c>
      <c r="G316" t="e">
        <f t="shared" si="14"/>
        <v>#REF!</v>
      </c>
      <c r="H316" t="e">
        <f>IF(F316="","",VLOOKUP(F316,Validation!$A$2:$B$17,2,FALSE))</f>
        <v>#REF!</v>
      </c>
      <c r="I316">
        <f>INT((ROW()-2)/Settings!$B$6)+2</f>
        <v>28</v>
      </c>
      <c r="J316">
        <f>MOD(ROW()-2,Settings!$B$6)+1</f>
        <v>3</v>
      </c>
    </row>
    <row r="317" spans="1:10" x14ac:dyDescent="0.3">
      <c r="A317" t="e">
        <f>IF(OR(INDEX(Matches!$I$2:$I$25,I317-1)="",INDEX(Matches!$J$2:$J$25,I317-1)=""),"",IF(J317&lt;=INDEX(Matches!$I$2:$I$25,I317-1)+INDEX(Matches!$J$2:$J$25,I317-1),INDEX(Matches!$A$2:$A$25,I317-1),""))</f>
        <v>#REF!</v>
      </c>
      <c r="B317" t="e">
        <f>IF(A317="","",IF(J317&lt;=INDEX(Matches!$I$2:$I$25,I317-1),INDEX(Matches!$G$2:$G$25,I317-1),INDEX(Matches!$H$2:$H$25,I317-1)))</f>
        <v>#REF!</v>
      </c>
      <c r="C317" t="e">
        <f>IF(A317="","",COUNTIFS($A$2:A317,A317,$B$2:B317,B317))</f>
        <v>#REF!</v>
      </c>
      <c r="D317" s="2" t="e">
        <f t="shared" si="12"/>
        <v>#REF!</v>
      </c>
      <c r="E317" s="2"/>
      <c r="F317" t="e">
        <f t="shared" si="13"/>
        <v>#REF!</v>
      </c>
      <c r="G317" t="e">
        <f t="shared" si="14"/>
        <v>#REF!</v>
      </c>
      <c r="H317" t="e">
        <f>IF(F317="","",VLOOKUP(F317,Validation!$A$2:$B$17,2,FALSE))</f>
        <v>#REF!</v>
      </c>
      <c r="I317">
        <f>INT((ROW()-2)/Settings!$B$6)+2</f>
        <v>28</v>
      </c>
      <c r="J317">
        <f>MOD(ROW()-2,Settings!$B$6)+1</f>
        <v>4</v>
      </c>
    </row>
    <row r="318" spans="1:10" x14ac:dyDescent="0.3">
      <c r="A318" t="e">
        <f>IF(OR(INDEX(Matches!$I$2:$I$25,I318-1)="",INDEX(Matches!$J$2:$J$25,I318-1)=""),"",IF(J318&lt;=INDEX(Matches!$I$2:$I$25,I318-1)+INDEX(Matches!$J$2:$J$25,I318-1),INDEX(Matches!$A$2:$A$25,I318-1),""))</f>
        <v>#REF!</v>
      </c>
      <c r="B318" t="e">
        <f>IF(A318="","",IF(J318&lt;=INDEX(Matches!$I$2:$I$25,I318-1),INDEX(Matches!$G$2:$G$25,I318-1),INDEX(Matches!$H$2:$H$25,I318-1)))</f>
        <v>#REF!</v>
      </c>
      <c r="C318" t="e">
        <f>IF(A318="","",COUNTIFS($A$2:A318,A318,$B$2:B318,B318))</f>
        <v>#REF!</v>
      </c>
      <c r="D318" s="2" t="e">
        <f t="shared" si="12"/>
        <v>#REF!</v>
      </c>
      <c r="E318" s="2"/>
      <c r="F318" t="e">
        <f t="shared" si="13"/>
        <v>#REF!</v>
      </c>
      <c r="G318" t="e">
        <f t="shared" si="14"/>
        <v>#REF!</v>
      </c>
      <c r="H318" t="e">
        <f>IF(F318="","",VLOOKUP(F318,Validation!$A$2:$B$17,2,FALSE))</f>
        <v>#REF!</v>
      </c>
      <c r="I318">
        <f>INT((ROW()-2)/Settings!$B$6)+2</f>
        <v>28</v>
      </c>
      <c r="J318">
        <f>MOD(ROW()-2,Settings!$B$6)+1</f>
        <v>5</v>
      </c>
    </row>
    <row r="319" spans="1:10" x14ac:dyDescent="0.3">
      <c r="A319" t="e">
        <f>IF(OR(INDEX(Matches!$I$2:$I$25,I319-1)="",INDEX(Matches!$J$2:$J$25,I319-1)=""),"",IF(J319&lt;=INDEX(Matches!$I$2:$I$25,I319-1)+INDEX(Matches!$J$2:$J$25,I319-1),INDEX(Matches!$A$2:$A$25,I319-1),""))</f>
        <v>#REF!</v>
      </c>
      <c r="B319" t="e">
        <f>IF(A319="","",IF(J319&lt;=INDEX(Matches!$I$2:$I$25,I319-1),INDEX(Matches!$G$2:$G$25,I319-1),INDEX(Matches!$H$2:$H$25,I319-1)))</f>
        <v>#REF!</v>
      </c>
      <c r="C319" t="e">
        <f>IF(A319="","",COUNTIFS($A$2:A319,A319,$B$2:B319,B319))</f>
        <v>#REF!</v>
      </c>
      <c r="D319" s="2" t="e">
        <f t="shared" si="12"/>
        <v>#REF!</v>
      </c>
      <c r="E319" s="2"/>
      <c r="F319" t="e">
        <f t="shared" si="13"/>
        <v>#REF!</v>
      </c>
      <c r="G319" t="e">
        <f t="shared" si="14"/>
        <v>#REF!</v>
      </c>
      <c r="H319" t="e">
        <f>IF(F319="","",VLOOKUP(F319,Validation!$A$2:$B$17,2,FALSE))</f>
        <v>#REF!</v>
      </c>
      <c r="I319">
        <f>INT((ROW()-2)/Settings!$B$6)+2</f>
        <v>28</v>
      </c>
      <c r="J319">
        <f>MOD(ROW()-2,Settings!$B$6)+1</f>
        <v>6</v>
      </c>
    </row>
    <row r="320" spans="1:10" x14ac:dyDescent="0.3">
      <c r="A320" t="e">
        <f>IF(OR(INDEX(Matches!$I$2:$I$25,I320-1)="",INDEX(Matches!$J$2:$J$25,I320-1)=""),"",IF(J320&lt;=INDEX(Matches!$I$2:$I$25,I320-1)+INDEX(Matches!$J$2:$J$25,I320-1),INDEX(Matches!$A$2:$A$25,I320-1),""))</f>
        <v>#REF!</v>
      </c>
      <c r="B320" t="e">
        <f>IF(A320="","",IF(J320&lt;=INDEX(Matches!$I$2:$I$25,I320-1),INDEX(Matches!$G$2:$G$25,I320-1),INDEX(Matches!$H$2:$H$25,I320-1)))</f>
        <v>#REF!</v>
      </c>
      <c r="C320" t="e">
        <f>IF(A320="","",COUNTIFS($A$2:A320,A320,$B$2:B320,B320))</f>
        <v>#REF!</v>
      </c>
      <c r="D320" s="2" t="e">
        <f t="shared" si="12"/>
        <v>#REF!</v>
      </c>
      <c r="E320" s="2"/>
      <c r="F320" t="e">
        <f t="shared" si="13"/>
        <v>#REF!</v>
      </c>
      <c r="G320" t="e">
        <f t="shared" si="14"/>
        <v>#REF!</v>
      </c>
      <c r="H320" t="e">
        <f>IF(F320="","",VLOOKUP(F320,Validation!$A$2:$B$17,2,FALSE))</f>
        <v>#REF!</v>
      </c>
      <c r="I320">
        <f>INT((ROW()-2)/Settings!$B$6)+2</f>
        <v>28</v>
      </c>
      <c r="J320">
        <f>MOD(ROW()-2,Settings!$B$6)+1</f>
        <v>7</v>
      </c>
    </row>
    <row r="321" spans="1:10" x14ac:dyDescent="0.3">
      <c r="A321" t="e">
        <f>IF(OR(INDEX(Matches!$I$2:$I$25,I321-1)="",INDEX(Matches!$J$2:$J$25,I321-1)=""),"",IF(J321&lt;=INDEX(Matches!$I$2:$I$25,I321-1)+INDEX(Matches!$J$2:$J$25,I321-1),INDEX(Matches!$A$2:$A$25,I321-1),""))</f>
        <v>#REF!</v>
      </c>
      <c r="B321" t="e">
        <f>IF(A321="","",IF(J321&lt;=INDEX(Matches!$I$2:$I$25,I321-1),INDEX(Matches!$G$2:$G$25,I321-1),INDEX(Matches!$H$2:$H$25,I321-1)))</f>
        <v>#REF!</v>
      </c>
      <c r="C321" t="e">
        <f>IF(A321="","",COUNTIFS($A$2:A321,A321,$B$2:B321,B321))</f>
        <v>#REF!</v>
      </c>
      <c r="D321" s="2" t="e">
        <f t="shared" si="12"/>
        <v>#REF!</v>
      </c>
      <c r="E321" s="2"/>
      <c r="F321" t="e">
        <f t="shared" si="13"/>
        <v>#REF!</v>
      </c>
      <c r="G321" t="e">
        <f t="shared" si="14"/>
        <v>#REF!</v>
      </c>
      <c r="H321" t="e">
        <f>IF(F321="","",VLOOKUP(F321,Validation!$A$2:$B$17,2,FALSE))</f>
        <v>#REF!</v>
      </c>
      <c r="I321">
        <f>INT((ROW()-2)/Settings!$B$6)+2</f>
        <v>28</v>
      </c>
      <c r="J321">
        <f>MOD(ROW()-2,Settings!$B$6)+1</f>
        <v>8</v>
      </c>
    </row>
    <row r="322" spans="1:10" x14ac:dyDescent="0.3">
      <c r="A322" t="e">
        <f>IF(OR(INDEX(Matches!$I$2:$I$25,I322-1)="",INDEX(Matches!$J$2:$J$25,I322-1)=""),"",IF(J322&lt;=INDEX(Matches!$I$2:$I$25,I322-1)+INDEX(Matches!$J$2:$J$25,I322-1),INDEX(Matches!$A$2:$A$25,I322-1),""))</f>
        <v>#REF!</v>
      </c>
      <c r="B322" t="e">
        <f>IF(A322="","",IF(J322&lt;=INDEX(Matches!$I$2:$I$25,I322-1),INDEX(Matches!$G$2:$G$25,I322-1),INDEX(Matches!$H$2:$H$25,I322-1)))</f>
        <v>#REF!</v>
      </c>
      <c r="C322" t="e">
        <f>IF(A322="","",COUNTIFS($A$2:A322,A322,$B$2:B322,B322))</f>
        <v>#REF!</v>
      </c>
      <c r="D322" s="2" t="e">
        <f t="shared" ref="D322:D361" si="15">IF(A322="","","Goal")</f>
        <v>#REF!</v>
      </c>
      <c r="E322" s="2"/>
      <c r="F322" t="e">
        <f t="shared" ref="F322:F361" si="16">IF(A322="","",IF(D322="Autogol","",IF(D322="Goal",B322,"")))</f>
        <v>#REF!</v>
      </c>
      <c r="G322" t="e">
        <f t="shared" ref="G322:G361" si="17">IF(A322="","",IF(D322="","Manca tipo",IF(D322="Goal",IF(E322="","Manca giocatore","OK"),IF(D322="Autogol",IF(E322&lt;&gt;"","Autogol: svuota Player","OK"),"Tipo non valido"))))</f>
        <v>#REF!</v>
      </c>
      <c r="H322" t="e">
        <f>IF(F322="","",VLOOKUP(F322,Validation!$A$2:$B$17,2,FALSE))</f>
        <v>#REF!</v>
      </c>
      <c r="I322">
        <f>INT((ROW()-2)/Settings!$B$6)+2</f>
        <v>28</v>
      </c>
      <c r="J322">
        <f>MOD(ROW()-2,Settings!$B$6)+1</f>
        <v>9</v>
      </c>
    </row>
    <row r="323" spans="1:10" x14ac:dyDescent="0.3">
      <c r="A323" t="e">
        <f>IF(OR(INDEX(Matches!$I$2:$I$25,I323-1)="",INDEX(Matches!$J$2:$J$25,I323-1)=""),"",IF(J323&lt;=INDEX(Matches!$I$2:$I$25,I323-1)+INDEX(Matches!$J$2:$J$25,I323-1),INDEX(Matches!$A$2:$A$25,I323-1),""))</f>
        <v>#REF!</v>
      </c>
      <c r="B323" t="e">
        <f>IF(A323="","",IF(J323&lt;=INDEX(Matches!$I$2:$I$25,I323-1),INDEX(Matches!$G$2:$G$25,I323-1),INDEX(Matches!$H$2:$H$25,I323-1)))</f>
        <v>#REF!</v>
      </c>
      <c r="C323" t="e">
        <f>IF(A323="","",COUNTIFS($A$2:A323,A323,$B$2:B323,B323))</f>
        <v>#REF!</v>
      </c>
      <c r="D323" s="2" t="e">
        <f t="shared" si="15"/>
        <v>#REF!</v>
      </c>
      <c r="E323" s="2"/>
      <c r="F323" t="e">
        <f t="shared" si="16"/>
        <v>#REF!</v>
      </c>
      <c r="G323" t="e">
        <f t="shared" si="17"/>
        <v>#REF!</v>
      </c>
      <c r="H323" t="e">
        <f>IF(F323="","",VLOOKUP(F323,Validation!$A$2:$B$17,2,FALSE))</f>
        <v>#REF!</v>
      </c>
      <c r="I323">
        <f>INT((ROW()-2)/Settings!$B$6)+2</f>
        <v>28</v>
      </c>
      <c r="J323">
        <f>MOD(ROW()-2,Settings!$B$6)+1</f>
        <v>10</v>
      </c>
    </row>
    <row r="324" spans="1:10" x14ac:dyDescent="0.3">
      <c r="A324" t="e">
        <f>IF(OR(INDEX(Matches!$I$2:$I$25,I324-1)="",INDEX(Matches!$J$2:$J$25,I324-1)=""),"",IF(J324&lt;=INDEX(Matches!$I$2:$I$25,I324-1)+INDEX(Matches!$J$2:$J$25,I324-1),INDEX(Matches!$A$2:$A$25,I324-1),""))</f>
        <v>#REF!</v>
      </c>
      <c r="B324" t="e">
        <f>IF(A324="","",IF(J324&lt;=INDEX(Matches!$I$2:$I$25,I324-1),INDEX(Matches!$G$2:$G$25,I324-1),INDEX(Matches!$H$2:$H$25,I324-1)))</f>
        <v>#REF!</v>
      </c>
      <c r="C324" t="e">
        <f>IF(A324="","",COUNTIFS($A$2:A324,A324,$B$2:B324,B324))</f>
        <v>#REF!</v>
      </c>
      <c r="D324" s="2" t="e">
        <f t="shared" si="15"/>
        <v>#REF!</v>
      </c>
      <c r="E324" s="2"/>
      <c r="F324" t="e">
        <f t="shared" si="16"/>
        <v>#REF!</v>
      </c>
      <c r="G324" t="e">
        <f t="shared" si="17"/>
        <v>#REF!</v>
      </c>
      <c r="H324" t="e">
        <f>IF(F324="","",VLOOKUP(F324,Validation!$A$2:$B$17,2,FALSE))</f>
        <v>#REF!</v>
      </c>
      <c r="I324">
        <f>INT((ROW()-2)/Settings!$B$6)+2</f>
        <v>28</v>
      </c>
      <c r="J324">
        <f>MOD(ROW()-2,Settings!$B$6)+1</f>
        <v>11</v>
      </c>
    </row>
    <row r="325" spans="1:10" x14ac:dyDescent="0.3">
      <c r="A325" t="e">
        <f>IF(OR(INDEX(Matches!$I$2:$I$25,I325-1)="",INDEX(Matches!$J$2:$J$25,I325-1)=""),"",IF(J325&lt;=INDEX(Matches!$I$2:$I$25,I325-1)+INDEX(Matches!$J$2:$J$25,I325-1),INDEX(Matches!$A$2:$A$25,I325-1),""))</f>
        <v>#REF!</v>
      </c>
      <c r="B325" t="e">
        <f>IF(A325="","",IF(J325&lt;=INDEX(Matches!$I$2:$I$25,I325-1),INDEX(Matches!$G$2:$G$25,I325-1),INDEX(Matches!$H$2:$H$25,I325-1)))</f>
        <v>#REF!</v>
      </c>
      <c r="C325" t="e">
        <f>IF(A325="","",COUNTIFS($A$2:A325,A325,$B$2:B325,B325))</f>
        <v>#REF!</v>
      </c>
      <c r="D325" s="2" t="e">
        <f t="shared" si="15"/>
        <v>#REF!</v>
      </c>
      <c r="E325" s="2"/>
      <c r="F325" t="e">
        <f t="shared" si="16"/>
        <v>#REF!</v>
      </c>
      <c r="G325" t="e">
        <f t="shared" si="17"/>
        <v>#REF!</v>
      </c>
      <c r="H325" t="e">
        <f>IF(F325="","",VLOOKUP(F325,Validation!$A$2:$B$17,2,FALSE))</f>
        <v>#REF!</v>
      </c>
      <c r="I325">
        <f>INT((ROW()-2)/Settings!$B$6)+2</f>
        <v>28</v>
      </c>
      <c r="J325">
        <f>MOD(ROW()-2,Settings!$B$6)+1</f>
        <v>12</v>
      </c>
    </row>
    <row r="326" spans="1:10" x14ac:dyDescent="0.3">
      <c r="A326" t="e">
        <f>IF(OR(INDEX(Matches!$I$2:$I$25,I326-1)="",INDEX(Matches!$J$2:$J$25,I326-1)=""),"",IF(J326&lt;=INDEX(Matches!$I$2:$I$25,I326-1)+INDEX(Matches!$J$2:$J$25,I326-1),INDEX(Matches!$A$2:$A$25,I326-1),""))</f>
        <v>#REF!</v>
      </c>
      <c r="B326" t="e">
        <f>IF(A326="","",IF(J326&lt;=INDEX(Matches!$I$2:$I$25,I326-1),INDEX(Matches!$G$2:$G$25,I326-1),INDEX(Matches!$H$2:$H$25,I326-1)))</f>
        <v>#REF!</v>
      </c>
      <c r="C326" t="e">
        <f>IF(A326="","",COUNTIFS($A$2:A326,A326,$B$2:B326,B326))</f>
        <v>#REF!</v>
      </c>
      <c r="D326" s="2" t="e">
        <f t="shared" si="15"/>
        <v>#REF!</v>
      </c>
      <c r="E326" s="2"/>
      <c r="F326" t="e">
        <f t="shared" si="16"/>
        <v>#REF!</v>
      </c>
      <c r="G326" t="e">
        <f t="shared" si="17"/>
        <v>#REF!</v>
      </c>
      <c r="H326" t="e">
        <f>IF(F326="","",VLOOKUP(F326,Validation!$A$2:$B$17,2,FALSE))</f>
        <v>#REF!</v>
      </c>
      <c r="I326">
        <f>INT((ROW()-2)/Settings!$B$6)+2</f>
        <v>29</v>
      </c>
      <c r="J326">
        <f>MOD(ROW()-2,Settings!$B$6)+1</f>
        <v>1</v>
      </c>
    </row>
    <row r="327" spans="1:10" x14ac:dyDescent="0.3">
      <c r="A327" t="e">
        <f>IF(OR(INDEX(Matches!$I$2:$I$25,I327-1)="",INDEX(Matches!$J$2:$J$25,I327-1)=""),"",IF(J327&lt;=INDEX(Matches!$I$2:$I$25,I327-1)+INDEX(Matches!$J$2:$J$25,I327-1),INDEX(Matches!$A$2:$A$25,I327-1),""))</f>
        <v>#REF!</v>
      </c>
      <c r="B327" t="e">
        <f>IF(A327="","",IF(J327&lt;=INDEX(Matches!$I$2:$I$25,I327-1),INDEX(Matches!$G$2:$G$25,I327-1),INDEX(Matches!$H$2:$H$25,I327-1)))</f>
        <v>#REF!</v>
      </c>
      <c r="C327" t="e">
        <f>IF(A327="","",COUNTIFS($A$2:A327,A327,$B$2:B327,B327))</f>
        <v>#REF!</v>
      </c>
      <c r="D327" s="2" t="e">
        <f t="shared" si="15"/>
        <v>#REF!</v>
      </c>
      <c r="E327" s="2"/>
      <c r="F327" t="e">
        <f t="shared" si="16"/>
        <v>#REF!</v>
      </c>
      <c r="G327" t="e">
        <f t="shared" si="17"/>
        <v>#REF!</v>
      </c>
      <c r="H327" t="e">
        <f>IF(F327="","",VLOOKUP(F327,Validation!$A$2:$B$17,2,FALSE))</f>
        <v>#REF!</v>
      </c>
      <c r="I327">
        <f>INT((ROW()-2)/Settings!$B$6)+2</f>
        <v>29</v>
      </c>
      <c r="J327">
        <f>MOD(ROW()-2,Settings!$B$6)+1</f>
        <v>2</v>
      </c>
    </row>
    <row r="328" spans="1:10" x14ac:dyDescent="0.3">
      <c r="A328" t="e">
        <f>IF(OR(INDEX(Matches!$I$2:$I$25,I328-1)="",INDEX(Matches!$J$2:$J$25,I328-1)=""),"",IF(J328&lt;=INDEX(Matches!$I$2:$I$25,I328-1)+INDEX(Matches!$J$2:$J$25,I328-1),INDEX(Matches!$A$2:$A$25,I328-1),""))</f>
        <v>#REF!</v>
      </c>
      <c r="B328" t="e">
        <f>IF(A328="","",IF(J328&lt;=INDEX(Matches!$I$2:$I$25,I328-1),INDEX(Matches!$G$2:$G$25,I328-1),INDEX(Matches!$H$2:$H$25,I328-1)))</f>
        <v>#REF!</v>
      </c>
      <c r="C328" t="e">
        <f>IF(A328="","",COUNTIFS($A$2:A328,A328,$B$2:B328,B328))</f>
        <v>#REF!</v>
      </c>
      <c r="D328" s="2" t="e">
        <f t="shared" si="15"/>
        <v>#REF!</v>
      </c>
      <c r="E328" s="2"/>
      <c r="F328" t="e">
        <f t="shared" si="16"/>
        <v>#REF!</v>
      </c>
      <c r="G328" t="e">
        <f t="shared" si="17"/>
        <v>#REF!</v>
      </c>
      <c r="H328" t="e">
        <f>IF(F328="","",VLOOKUP(F328,Validation!$A$2:$B$17,2,FALSE))</f>
        <v>#REF!</v>
      </c>
      <c r="I328">
        <f>INT((ROW()-2)/Settings!$B$6)+2</f>
        <v>29</v>
      </c>
      <c r="J328">
        <f>MOD(ROW()-2,Settings!$B$6)+1</f>
        <v>3</v>
      </c>
    </row>
    <row r="329" spans="1:10" x14ac:dyDescent="0.3">
      <c r="A329" t="e">
        <f>IF(OR(INDEX(Matches!$I$2:$I$25,I329-1)="",INDEX(Matches!$J$2:$J$25,I329-1)=""),"",IF(J329&lt;=INDEX(Matches!$I$2:$I$25,I329-1)+INDEX(Matches!$J$2:$J$25,I329-1),INDEX(Matches!$A$2:$A$25,I329-1),""))</f>
        <v>#REF!</v>
      </c>
      <c r="B329" t="e">
        <f>IF(A329="","",IF(J329&lt;=INDEX(Matches!$I$2:$I$25,I329-1),INDEX(Matches!$G$2:$G$25,I329-1),INDEX(Matches!$H$2:$H$25,I329-1)))</f>
        <v>#REF!</v>
      </c>
      <c r="C329" t="e">
        <f>IF(A329="","",COUNTIFS($A$2:A329,A329,$B$2:B329,B329))</f>
        <v>#REF!</v>
      </c>
      <c r="D329" s="2" t="e">
        <f t="shared" si="15"/>
        <v>#REF!</v>
      </c>
      <c r="E329" s="2"/>
      <c r="F329" t="e">
        <f t="shared" si="16"/>
        <v>#REF!</v>
      </c>
      <c r="G329" t="e">
        <f t="shared" si="17"/>
        <v>#REF!</v>
      </c>
      <c r="H329" t="e">
        <f>IF(F329="","",VLOOKUP(F329,Validation!$A$2:$B$17,2,FALSE))</f>
        <v>#REF!</v>
      </c>
      <c r="I329">
        <f>INT((ROW()-2)/Settings!$B$6)+2</f>
        <v>29</v>
      </c>
      <c r="J329">
        <f>MOD(ROW()-2,Settings!$B$6)+1</f>
        <v>4</v>
      </c>
    </row>
    <row r="330" spans="1:10" x14ac:dyDescent="0.3">
      <c r="A330" t="e">
        <f>IF(OR(INDEX(Matches!$I$2:$I$25,I330-1)="",INDEX(Matches!$J$2:$J$25,I330-1)=""),"",IF(J330&lt;=INDEX(Matches!$I$2:$I$25,I330-1)+INDEX(Matches!$J$2:$J$25,I330-1),INDEX(Matches!$A$2:$A$25,I330-1),""))</f>
        <v>#REF!</v>
      </c>
      <c r="B330" t="e">
        <f>IF(A330="","",IF(J330&lt;=INDEX(Matches!$I$2:$I$25,I330-1),INDEX(Matches!$G$2:$G$25,I330-1),INDEX(Matches!$H$2:$H$25,I330-1)))</f>
        <v>#REF!</v>
      </c>
      <c r="C330" t="e">
        <f>IF(A330="","",COUNTIFS($A$2:A330,A330,$B$2:B330,B330))</f>
        <v>#REF!</v>
      </c>
      <c r="D330" s="2" t="e">
        <f t="shared" si="15"/>
        <v>#REF!</v>
      </c>
      <c r="E330" s="2"/>
      <c r="F330" t="e">
        <f t="shared" si="16"/>
        <v>#REF!</v>
      </c>
      <c r="G330" t="e">
        <f t="shared" si="17"/>
        <v>#REF!</v>
      </c>
      <c r="H330" t="e">
        <f>IF(F330="","",VLOOKUP(F330,Validation!$A$2:$B$17,2,FALSE))</f>
        <v>#REF!</v>
      </c>
      <c r="I330">
        <f>INT((ROW()-2)/Settings!$B$6)+2</f>
        <v>29</v>
      </c>
      <c r="J330">
        <f>MOD(ROW()-2,Settings!$B$6)+1</f>
        <v>5</v>
      </c>
    </row>
    <row r="331" spans="1:10" x14ac:dyDescent="0.3">
      <c r="A331" t="e">
        <f>IF(OR(INDEX(Matches!$I$2:$I$25,I331-1)="",INDEX(Matches!$J$2:$J$25,I331-1)=""),"",IF(J331&lt;=INDEX(Matches!$I$2:$I$25,I331-1)+INDEX(Matches!$J$2:$J$25,I331-1),INDEX(Matches!$A$2:$A$25,I331-1),""))</f>
        <v>#REF!</v>
      </c>
      <c r="B331" t="e">
        <f>IF(A331="","",IF(J331&lt;=INDEX(Matches!$I$2:$I$25,I331-1),INDEX(Matches!$G$2:$G$25,I331-1),INDEX(Matches!$H$2:$H$25,I331-1)))</f>
        <v>#REF!</v>
      </c>
      <c r="C331" t="e">
        <f>IF(A331="","",COUNTIFS($A$2:A331,A331,$B$2:B331,B331))</f>
        <v>#REF!</v>
      </c>
      <c r="D331" s="2" t="e">
        <f t="shared" si="15"/>
        <v>#REF!</v>
      </c>
      <c r="E331" s="2"/>
      <c r="F331" t="e">
        <f t="shared" si="16"/>
        <v>#REF!</v>
      </c>
      <c r="G331" t="e">
        <f t="shared" si="17"/>
        <v>#REF!</v>
      </c>
      <c r="H331" t="e">
        <f>IF(F331="","",VLOOKUP(F331,Validation!$A$2:$B$17,2,FALSE))</f>
        <v>#REF!</v>
      </c>
      <c r="I331">
        <f>INT((ROW()-2)/Settings!$B$6)+2</f>
        <v>29</v>
      </c>
      <c r="J331">
        <f>MOD(ROW()-2,Settings!$B$6)+1</f>
        <v>6</v>
      </c>
    </row>
    <row r="332" spans="1:10" x14ac:dyDescent="0.3">
      <c r="A332" t="e">
        <f>IF(OR(INDEX(Matches!$I$2:$I$25,I332-1)="",INDEX(Matches!$J$2:$J$25,I332-1)=""),"",IF(J332&lt;=INDEX(Matches!$I$2:$I$25,I332-1)+INDEX(Matches!$J$2:$J$25,I332-1),INDEX(Matches!$A$2:$A$25,I332-1),""))</f>
        <v>#REF!</v>
      </c>
      <c r="B332" t="e">
        <f>IF(A332="","",IF(J332&lt;=INDEX(Matches!$I$2:$I$25,I332-1),INDEX(Matches!$G$2:$G$25,I332-1),INDEX(Matches!$H$2:$H$25,I332-1)))</f>
        <v>#REF!</v>
      </c>
      <c r="C332" t="e">
        <f>IF(A332="","",COUNTIFS($A$2:A332,A332,$B$2:B332,B332))</f>
        <v>#REF!</v>
      </c>
      <c r="D332" s="2" t="e">
        <f t="shared" si="15"/>
        <v>#REF!</v>
      </c>
      <c r="E332" s="2"/>
      <c r="F332" t="e">
        <f t="shared" si="16"/>
        <v>#REF!</v>
      </c>
      <c r="G332" t="e">
        <f t="shared" si="17"/>
        <v>#REF!</v>
      </c>
      <c r="H332" t="e">
        <f>IF(F332="","",VLOOKUP(F332,Validation!$A$2:$B$17,2,FALSE))</f>
        <v>#REF!</v>
      </c>
      <c r="I332">
        <f>INT((ROW()-2)/Settings!$B$6)+2</f>
        <v>29</v>
      </c>
      <c r="J332">
        <f>MOD(ROW()-2,Settings!$B$6)+1</f>
        <v>7</v>
      </c>
    </row>
    <row r="333" spans="1:10" x14ac:dyDescent="0.3">
      <c r="A333" t="e">
        <f>IF(OR(INDEX(Matches!$I$2:$I$25,I333-1)="",INDEX(Matches!$J$2:$J$25,I333-1)=""),"",IF(J333&lt;=INDEX(Matches!$I$2:$I$25,I333-1)+INDEX(Matches!$J$2:$J$25,I333-1),INDEX(Matches!$A$2:$A$25,I333-1),""))</f>
        <v>#REF!</v>
      </c>
      <c r="B333" t="e">
        <f>IF(A333="","",IF(J333&lt;=INDEX(Matches!$I$2:$I$25,I333-1),INDEX(Matches!$G$2:$G$25,I333-1),INDEX(Matches!$H$2:$H$25,I333-1)))</f>
        <v>#REF!</v>
      </c>
      <c r="C333" t="e">
        <f>IF(A333="","",COUNTIFS($A$2:A333,A333,$B$2:B333,B333))</f>
        <v>#REF!</v>
      </c>
      <c r="D333" s="2" t="e">
        <f t="shared" si="15"/>
        <v>#REF!</v>
      </c>
      <c r="E333" s="2"/>
      <c r="F333" t="e">
        <f t="shared" si="16"/>
        <v>#REF!</v>
      </c>
      <c r="G333" t="e">
        <f t="shared" si="17"/>
        <v>#REF!</v>
      </c>
      <c r="H333" t="e">
        <f>IF(F333="","",VLOOKUP(F333,Validation!$A$2:$B$17,2,FALSE))</f>
        <v>#REF!</v>
      </c>
      <c r="I333">
        <f>INT((ROW()-2)/Settings!$B$6)+2</f>
        <v>29</v>
      </c>
      <c r="J333">
        <f>MOD(ROW()-2,Settings!$B$6)+1</f>
        <v>8</v>
      </c>
    </row>
    <row r="334" spans="1:10" x14ac:dyDescent="0.3">
      <c r="A334" t="e">
        <f>IF(OR(INDEX(Matches!$I$2:$I$25,I334-1)="",INDEX(Matches!$J$2:$J$25,I334-1)=""),"",IF(J334&lt;=INDEX(Matches!$I$2:$I$25,I334-1)+INDEX(Matches!$J$2:$J$25,I334-1),INDEX(Matches!$A$2:$A$25,I334-1),""))</f>
        <v>#REF!</v>
      </c>
      <c r="B334" t="e">
        <f>IF(A334="","",IF(J334&lt;=INDEX(Matches!$I$2:$I$25,I334-1),INDEX(Matches!$G$2:$G$25,I334-1),INDEX(Matches!$H$2:$H$25,I334-1)))</f>
        <v>#REF!</v>
      </c>
      <c r="C334" t="e">
        <f>IF(A334="","",COUNTIFS($A$2:A334,A334,$B$2:B334,B334))</f>
        <v>#REF!</v>
      </c>
      <c r="D334" s="2" t="e">
        <f t="shared" si="15"/>
        <v>#REF!</v>
      </c>
      <c r="E334" s="2"/>
      <c r="F334" t="e">
        <f t="shared" si="16"/>
        <v>#REF!</v>
      </c>
      <c r="G334" t="e">
        <f t="shared" si="17"/>
        <v>#REF!</v>
      </c>
      <c r="H334" t="e">
        <f>IF(F334="","",VLOOKUP(F334,Validation!$A$2:$B$17,2,FALSE))</f>
        <v>#REF!</v>
      </c>
      <c r="I334">
        <f>INT((ROW()-2)/Settings!$B$6)+2</f>
        <v>29</v>
      </c>
      <c r="J334">
        <f>MOD(ROW()-2,Settings!$B$6)+1</f>
        <v>9</v>
      </c>
    </row>
    <row r="335" spans="1:10" x14ac:dyDescent="0.3">
      <c r="A335" t="e">
        <f>IF(OR(INDEX(Matches!$I$2:$I$25,I335-1)="",INDEX(Matches!$J$2:$J$25,I335-1)=""),"",IF(J335&lt;=INDEX(Matches!$I$2:$I$25,I335-1)+INDEX(Matches!$J$2:$J$25,I335-1),INDEX(Matches!$A$2:$A$25,I335-1),""))</f>
        <v>#REF!</v>
      </c>
      <c r="B335" t="e">
        <f>IF(A335="","",IF(J335&lt;=INDEX(Matches!$I$2:$I$25,I335-1),INDEX(Matches!$G$2:$G$25,I335-1),INDEX(Matches!$H$2:$H$25,I335-1)))</f>
        <v>#REF!</v>
      </c>
      <c r="C335" t="e">
        <f>IF(A335="","",COUNTIFS($A$2:A335,A335,$B$2:B335,B335))</f>
        <v>#REF!</v>
      </c>
      <c r="D335" s="2" t="e">
        <f t="shared" si="15"/>
        <v>#REF!</v>
      </c>
      <c r="E335" s="2"/>
      <c r="F335" t="e">
        <f t="shared" si="16"/>
        <v>#REF!</v>
      </c>
      <c r="G335" t="e">
        <f t="shared" si="17"/>
        <v>#REF!</v>
      </c>
      <c r="H335" t="e">
        <f>IF(F335="","",VLOOKUP(F335,Validation!$A$2:$B$17,2,FALSE))</f>
        <v>#REF!</v>
      </c>
      <c r="I335">
        <f>INT((ROW()-2)/Settings!$B$6)+2</f>
        <v>29</v>
      </c>
      <c r="J335">
        <f>MOD(ROW()-2,Settings!$B$6)+1</f>
        <v>10</v>
      </c>
    </row>
    <row r="336" spans="1:10" x14ac:dyDescent="0.3">
      <c r="A336" t="e">
        <f>IF(OR(INDEX(Matches!$I$2:$I$25,I336-1)="",INDEX(Matches!$J$2:$J$25,I336-1)=""),"",IF(J336&lt;=INDEX(Matches!$I$2:$I$25,I336-1)+INDEX(Matches!$J$2:$J$25,I336-1),INDEX(Matches!$A$2:$A$25,I336-1),""))</f>
        <v>#REF!</v>
      </c>
      <c r="B336" t="e">
        <f>IF(A336="","",IF(J336&lt;=INDEX(Matches!$I$2:$I$25,I336-1),INDEX(Matches!$G$2:$G$25,I336-1),INDEX(Matches!$H$2:$H$25,I336-1)))</f>
        <v>#REF!</v>
      </c>
      <c r="C336" t="e">
        <f>IF(A336="","",COUNTIFS($A$2:A336,A336,$B$2:B336,B336))</f>
        <v>#REF!</v>
      </c>
      <c r="D336" s="2" t="e">
        <f t="shared" si="15"/>
        <v>#REF!</v>
      </c>
      <c r="E336" s="2"/>
      <c r="F336" t="e">
        <f t="shared" si="16"/>
        <v>#REF!</v>
      </c>
      <c r="G336" t="e">
        <f t="shared" si="17"/>
        <v>#REF!</v>
      </c>
      <c r="H336" t="e">
        <f>IF(F336="","",VLOOKUP(F336,Validation!$A$2:$B$17,2,FALSE))</f>
        <v>#REF!</v>
      </c>
      <c r="I336">
        <f>INT((ROW()-2)/Settings!$B$6)+2</f>
        <v>29</v>
      </c>
      <c r="J336">
        <f>MOD(ROW()-2,Settings!$B$6)+1</f>
        <v>11</v>
      </c>
    </row>
    <row r="337" spans="1:10" x14ac:dyDescent="0.3">
      <c r="A337" t="e">
        <f>IF(OR(INDEX(Matches!$I$2:$I$25,I337-1)="",INDEX(Matches!$J$2:$J$25,I337-1)=""),"",IF(J337&lt;=INDEX(Matches!$I$2:$I$25,I337-1)+INDEX(Matches!$J$2:$J$25,I337-1),INDEX(Matches!$A$2:$A$25,I337-1),""))</f>
        <v>#REF!</v>
      </c>
      <c r="B337" t="e">
        <f>IF(A337="","",IF(J337&lt;=INDEX(Matches!$I$2:$I$25,I337-1),INDEX(Matches!$G$2:$G$25,I337-1),INDEX(Matches!$H$2:$H$25,I337-1)))</f>
        <v>#REF!</v>
      </c>
      <c r="C337" t="e">
        <f>IF(A337="","",COUNTIFS($A$2:A337,A337,$B$2:B337,B337))</f>
        <v>#REF!</v>
      </c>
      <c r="D337" s="2" t="e">
        <f t="shared" si="15"/>
        <v>#REF!</v>
      </c>
      <c r="E337" s="2"/>
      <c r="F337" t="e">
        <f t="shared" si="16"/>
        <v>#REF!</v>
      </c>
      <c r="G337" t="e">
        <f t="shared" si="17"/>
        <v>#REF!</v>
      </c>
      <c r="H337" t="e">
        <f>IF(F337="","",VLOOKUP(F337,Validation!$A$2:$B$17,2,FALSE))</f>
        <v>#REF!</v>
      </c>
      <c r="I337">
        <f>INT((ROW()-2)/Settings!$B$6)+2</f>
        <v>29</v>
      </c>
      <c r="J337">
        <f>MOD(ROW()-2,Settings!$B$6)+1</f>
        <v>12</v>
      </c>
    </row>
    <row r="338" spans="1:10" x14ac:dyDescent="0.3">
      <c r="A338" t="e">
        <f>IF(OR(INDEX(Matches!$I$2:$I$25,I338-1)="",INDEX(Matches!$J$2:$J$25,I338-1)=""),"",IF(J338&lt;=INDEX(Matches!$I$2:$I$25,I338-1)+INDEX(Matches!$J$2:$J$25,I338-1),INDEX(Matches!$A$2:$A$25,I338-1),""))</f>
        <v>#REF!</v>
      </c>
      <c r="B338" t="e">
        <f>IF(A338="","",IF(J338&lt;=INDEX(Matches!$I$2:$I$25,I338-1),INDEX(Matches!$G$2:$G$25,I338-1),INDEX(Matches!$H$2:$H$25,I338-1)))</f>
        <v>#REF!</v>
      </c>
      <c r="C338" t="e">
        <f>IF(A338="","",COUNTIFS($A$2:A338,A338,$B$2:B338,B338))</f>
        <v>#REF!</v>
      </c>
      <c r="D338" s="2" t="e">
        <f t="shared" si="15"/>
        <v>#REF!</v>
      </c>
      <c r="E338" s="2"/>
      <c r="F338" t="e">
        <f t="shared" si="16"/>
        <v>#REF!</v>
      </c>
      <c r="G338" t="e">
        <f t="shared" si="17"/>
        <v>#REF!</v>
      </c>
      <c r="H338" t="e">
        <f>IF(F338="","",VLOOKUP(F338,Validation!$A$2:$B$17,2,FALSE))</f>
        <v>#REF!</v>
      </c>
      <c r="I338">
        <f>INT((ROW()-2)/Settings!$B$6)+2</f>
        <v>30</v>
      </c>
      <c r="J338">
        <f>MOD(ROW()-2,Settings!$B$6)+1</f>
        <v>1</v>
      </c>
    </row>
    <row r="339" spans="1:10" x14ac:dyDescent="0.3">
      <c r="A339" t="e">
        <f>IF(OR(INDEX(Matches!$I$2:$I$25,I339-1)="",INDEX(Matches!$J$2:$J$25,I339-1)=""),"",IF(J339&lt;=INDEX(Matches!$I$2:$I$25,I339-1)+INDEX(Matches!$J$2:$J$25,I339-1),INDEX(Matches!$A$2:$A$25,I339-1),""))</f>
        <v>#REF!</v>
      </c>
      <c r="B339" t="e">
        <f>IF(A339="","",IF(J339&lt;=INDEX(Matches!$I$2:$I$25,I339-1),INDEX(Matches!$G$2:$G$25,I339-1),INDEX(Matches!$H$2:$H$25,I339-1)))</f>
        <v>#REF!</v>
      </c>
      <c r="C339" t="e">
        <f>IF(A339="","",COUNTIFS($A$2:A339,A339,$B$2:B339,B339))</f>
        <v>#REF!</v>
      </c>
      <c r="D339" s="2" t="e">
        <f t="shared" si="15"/>
        <v>#REF!</v>
      </c>
      <c r="E339" s="2"/>
      <c r="F339" t="e">
        <f t="shared" si="16"/>
        <v>#REF!</v>
      </c>
      <c r="G339" t="e">
        <f t="shared" si="17"/>
        <v>#REF!</v>
      </c>
      <c r="H339" t="e">
        <f>IF(F339="","",VLOOKUP(F339,Validation!$A$2:$B$17,2,FALSE))</f>
        <v>#REF!</v>
      </c>
      <c r="I339">
        <f>INT((ROW()-2)/Settings!$B$6)+2</f>
        <v>30</v>
      </c>
      <c r="J339">
        <f>MOD(ROW()-2,Settings!$B$6)+1</f>
        <v>2</v>
      </c>
    </row>
    <row r="340" spans="1:10" x14ac:dyDescent="0.3">
      <c r="A340" t="e">
        <f>IF(OR(INDEX(Matches!$I$2:$I$25,I340-1)="",INDEX(Matches!$J$2:$J$25,I340-1)=""),"",IF(J340&lt;=INDEX(Matches!$I$2:$I$25,I340-1)+INDEX(Matches!$J$2:$J$25,I340-1),INDEX(Matches!$A$2:$A$25,I340-1),""))</f>
        <v>#REF!</v>
      </c>
      <c r="B340" t="e">
        <f>IF(A340="","",IF(J340&lt;=INDEX(Matches!$I$2:$I$25,I340-1),INDEX(Matches!$G$2:$G$25,I340-1),INDEX(Matches!$H$2:$H$25,I340-1)))</f>
        <v>#REF!</v>
      </c>
      <c r="C340" t="e">
        <f>IF(A340="","",COUNTIFS($A$2:A340,A340,$B$2:B340,B340))</f>
        <v>#REF!</v>
      </c>
      <c r="D340" s="2" t="e">
        <f t="shared" si="15"/>
        <v>#REF!</v>
      </c>
      <c r="E340" s="2"/>
      <c r="F340" t="e">
        <f t="shared" si="16"/>
        <v>#REF!</v>
      </c>
      <c r="G340" t="e">
        <f t="shared" si="17"/>
        <v>#REF!</v>
      </c>
      <c r="H340" t="e">
        <f>IF(F340="","",VLOOKUP(F340,Validation!$A$2:$B$17,2,FALSE))</f>
        <v>#REF!</v>
      </c>
      <c r="I340">
        <f>INT((ROW()-2)/Settings!$B$6)+2</f>
        <v>30</v>
      </c>
      <c r="J340">
        <f>MOD(ROW()-2,Settings!$B$6)+1</f>
        <v>3</v>
      </c>
    </row>
    <row r="341" spans="1:10" x14ac:dyDescent="0.3">
      <c r="A341" t="e">
        <f>IF(OR(INDEX(Matches!$I$2:$I$25,I341-1)="",INDEX(Matches!$J$2:$J$25,I341-1)=""),"",IF(J341&lt;=INDEX(Matches!$I$2:$I$25,I341-1)+INDEX(Matches!$J$2:$J$25,I341-1),INDEX(Matches!$A$2:$A$25,I341-1),""))</f>
        <v>#REF!</v>
      </c>
      <c r="B341" t="e">
        <f>IF(A341="","",IF(J341&lt;=INDEX(Matches!$I$2:$I$25,I341-1),INDEX(Matches!$G$2:$G$25,I341-1),INDEX(Matches!$H$2:$H$25,I341-1)))</f>
        <v>#REF!</v>
      </c>
      <c r="C341" t="e">
        <f>IF(A341="","",COUNTIFS($A$2:A341,A341,$B$2:B341,B341))</f>
        <v>#REF!</v>
      </c>
      <c r="D341" s="2" t="e">
        <f t="shared" si="15"/>
        <v>#REF!</v>
      </c>
      <c r="E341" s="2"/>
      <c r="F341" t="e">
        <f t="shared" si="16"/>
        <v>#REF!</v>
      </c>
      <c r="G341" t="e">
        <f t="shared" si="17"/>
        <v>#REF!</v>
      </c>
      <c r="H341" t="e">
        <f>IF(F341="","",VLOOKUP(F341,Validation!$A$2:$B$17,2,FALSE))</f>
        <v>#REF!</v>
      </c>
      <c r="I341">
        <f>INT((ROW()-2)/Settings!$B$6)+2</f>
        <v>30</v>
      </c>
      <c r="J341">
        <f>MOD(ROW()-2,Settings!$B$6)+1</f>
        <v>4</v>
      </c>
    </row>
    <row r="342" spans="1:10" x14ac:dyDescent="0.3">
      <c r="A342" t="e">
        <f>IF(OR(INDEX(Matches!$I$2:$I$25,I342-1)="",INDEX(Matches!$J$2:$J$25,I342-1)=""),"",IF(J342&lt;=INDEX(Matches!$I$2:$I$25,I342-1)+INDEX(Matches!$J$2:$J$25,I342-1),INDEX(Matches!$A$2:$A$25,I342-1),""))</f>
        <v>#REF!</v>
      </c>
      <c r="B342" t="e">
        <f>IF(A342="","",IF(J342&lt;=INDEX(Matches!$I$2:$I$25,I342-1),INDEX(Matches!$G$2:$G$25,I342-1),INDEX(Matches!$H$2:$H$25,I342-1)))</f>
        <v>#REF!</v>
      </c>
      <c r="C342" t="e">
        <f>IF(A342="","",COUNTIFS($A$2:A342,A342,$B$2:B342,B342))</f>
        <v>#REF!</v>
      </c>
      <c r="D342" s="2" t="e">
        <f t="shared" si="15"/>
        <v>#REF!</v>
      </c>
      <c r="E342" s="2"/>
      <c r="F342" t="e">
        <f t="shared" si="16"/>
        <v>#REF!</v>
      </c>
      <c r="G342" t="e">
        <f t="shared" si="17"/>
        <v>#REF!</v>
      </c>
      <c r="H342" t="e">
        <f>IF(F342="","",VLOOKUP(F342,Validation!$A$2:$B$17,2,FALSE))</f>
        <v>#REF!</v>
      </c>
      <c r="I342">
        <f>INT((ROW()-2)/Settings!$B$6)+2</f>
        <v>30</v>
      </c>
      <c r="J342">
        <f>MOD(ROW()-2,Settings!$B$6)+1</f>
        <v>5</v>
      </c>
    </row>
    <row r="343" spans="1:10" x14ac:dyDescent="0.3">
      <c r="A343" t="e">
        <f>IF(OR(INDEX(Matches!$I$2:$I$25,I343-1)="",INDEX(Matches!$J$2:$J$25,I343-1)=""),"",IF(J343&lt;=INDEX(Matches!$I$2:$I$25,I343-1)+INDEX(Matches!$J$2:$J$25,I343-1),INDEX(Matches!$A$2:$A$25,I343-1),""))</f>
        <v>#REF!</v>
      </c>
      <c r="B343" t="e">
        <f>IF(A343="","",IF(J343&lt;=INDEX(Matches!$I$2:$I$25,I343-1),INDEX(Matches!$G$2:$G$25,I343-1),INDEX(Matches!$H$2:$H$25,I343-1)))</f>
        <v>#REF!</v>
      </c>
      <c r="C343" t="e">
        <f>IF(A343="","",COUNTIFS($A$2:A343,A343,$B$2:B343,B343))</f>
        <v>#REF!</v>
      </c>
      <c r="D343" s="2" t="e">
        <f t="shared" si="15"/>
        <v>#REF!</v>
      </c>
      <c r="E343" s="2"/>
      <c r="F343" t="e">
        <f t="shared" si="16"/>
        <v>#REF!</v>
      </c>
      <c r="G343" t="e">
        <f t="shared" si="17"/>
        <v>#REF!</v>
      </c>
      <c r="H343" t="e">
        <f>IF(F343="","",VLOOKUP(F343,Validation!$A$2:$B$17,2,FALSE))</f>
        <v>#REF!</v>
      </c>
      <c r="I343">
        <f>INT((ROW()-2)/Settings!$B$6)+2</f>
        <v>30</v>
      </c>
      <c r="J343">
        <f>MOD(ROW()-2,Settings!$B$6)+1</f>
        <v>6</v>
      </c>
    </row>
    <row r="344" spans="1:10" x14ac:dyDescent="0.3">
      <c r="A344" t="e">
        <f>IF(OR(INDEX(Matches!$I$2:$I$25,I344-1)="",INDEX(Matches!$J$2:$J$25,I344-1)=""),"",IF(J344&lt;=INDEX(Matches!$I$2:$I$25,I344-1)+INDEX(Matches!$J$2:$J$25,I344-1),INDEX(Matches!$A$2:$A$25,I344-1),""))</f>
        <v>#REF!</v>
      </c>
      <c r="B344" t="e">
        <f>IF(A344="","",IF(J344&lt;=INDEX(Matches!$I$2:$I$25,I344-1),INDEX(Matches!$G$2:$G$25,I344-1),INDEX(Matches!$H$2:$H$25,I344-1)))</f>
        <v>#REF!</v>
      </c>
      <c r="C344" t="e">
        <f>IF(A344="","",COUNTIFS($A$2:A344,A344,$B$2:B344,B344))</f>
        <v>#REF!</v>
      </c>
      <c r="D344" s="2" t="e">
        <f t="shared" si="15"/>
        <v>#REF!</v>
      </c>
      <c r="E344" s="2"/>
      <c r="F344" t="e">
        <f t="shared" si="16"/>
        <v>#REF!</v>
      </c>
      <c r="G344" t="e">
        <f t="shared" si="17"/>
        <v>#REF!</v>
      </c>
      <c r="H344" t="e">
        <f>IF(F344="","",VLOOKUP(F344,Validation!$A$2:$B$17,2,FALSE))</f>
        <v>#REF!</v>
      </c>
      <c r="I344">
        <f>INT((ROW()-2)/Settings!$B$6)+2</f>
        <v>30</v>
      </c>
      <c r="J344">
        <f>MOD(ROW()-2,Settings!$B$6)+1</f>
        <v>7</v>
      </c>
    </row>
    <row r="345" spans="1:10" x14ac:dyDescent="0.3">
      <c r="A345" t="e">
        <f>IF(OR(INDEX(Matches!$I$2:$I$25,I345-1)="",INDEX(Matches!$J$2:$J$25,I345-1)=""),"",IF(J345&lt;=INDEX(Matches!$I$2:$I$25,I345-1)+INDEX(Matches!$J$2:$J$25,I345-1),INDEX(Matches!$A$2:$A$25,I345-1),""))</f>
        <v>#REF!</v>
      </c>
      <c r="B345" t="e">
        <f>IF(A345="","",IF(J345&lt;=INDEX(Matches!$I$2:$I$25,I345-1),INDEX(Matches!$G$2:$G$25,I345-1),INDEX(Matches!$H$2:$H$25,I345-1)))</f>
        <v>#REF!</v>
      </c>
      <c r="C345" t="e">
        <f>IF(A345="","",COUNTIFS($A$2:A345,A345,$B$2:B345,B345))</f>
        <v>#REF!</v>
      </c>
      <c r="D345" s="2" t="e">
        <f t="shared" si="15"/>
        <v>#REF!</v>
      </c>
      <c r="E345" s="2"/>
      <c r="F345" t="e">
        <f t="shared" si="16"/>
        <v>#REF!</v>
      </c>
      <c r="G345" t="e">
        <f t="shared" si="17"/>
        <v>#REF!</v>
      </c>
      <c r="H345" t="e">
        <f>IF(F345="","",VLOOKUP(F345,Validation!$A$2:$B$17,2,FALSE))</f>
        <v>#REF!</v>
      </c>
      <c r="I345">
        <f>INT((ROW()-2)/Settings!$B$6)+2</f>
        <v>30</v>
      </c>
      <c r="J345">
        <f>MOD(ROW()-2,Settings!$B$6)+1</f>
        <v>8</v>
      </c>
    </row>
    <row r="346" spans="1:10" x14ac:dyDescent="0.3">
      <c r="A346" t="e">
        <f>IF(OR(INDEX(Matches!$I$2:$I$25,I346-1)="",INDEX(Matches!$J$2:$J$25,I346-1)=""),"",IF(J346&lt;=INDEX(Matches!$I$2:$I$25,I346-1)+INDEX(Matches!$J$2:$J$25,I346-1),INDEX(Matches!$A$2:$A$25,I346-1),""))</f>
        <v>#REF!</v>
      </c>
      <c r="B346" t="e">
        <f>IF(A346="","",IF(J346&lt;=INDEX(Matches!$I$2:$I$25,I346-1),INDEX(Matches!$G$2:$G$25,I346-1),INDEX(Matches!$H$2:$H$25,I346-1)))</f>
        <v>#REF!</v>
      </c>
      <c r="C346" t="e">
        <f>IF(A346="","",COUNTIFS($A$2:A346,A346,$B$2:B346,B346))</f>
        <v>#REF!</v>
      </c>
      <c r="D346" s="2" t="e">
        <f t="shared" si="15"/>
        <v>#REF!</v>
      </c>
      <c r="E346" s="2"/>
      <c r="F346" t="e">
        <f t="shared" si="16"/>
        <v>#REF!</v>
      </c>
      <c r="G346" t="e">
        <f t="shared" si="17"/>
        <v>#REF!</v>
      </c>
      <c r="H346" t="e">
        <f>IF(F346="","",VLOOKUP(F346,Validation!$A$2:$B$17,2,FALSE))</f>
        <v>#REF!</v>
      </c>
      <c r="I346">
        <f>INT((ROW()-2)/Settings!$B$6)+2</f>
        <v>30</v>
      </c>
      <c r="J346">
        <f>MOD(ROW()-2,Settings!$B$6)+1</f>
        <v>9</v>
      </c>
    </row>
    <row r="347" spans="1:10" x14ac:dyDescent="0.3">
      <c r="A347" t="e">
        <f>IF(OR(INDEX(Matches!$I$2:$I$25,I347-1)="",INDEX(Matches!$J$2:$J$25,I347-1)=""),"",IF(J347&lt;=INDEX(Matches!$I$2:$I$25,I347-1)+INDEX(Matches!$J$2:$J$25,I347-1),INDEX(Matches!$A$2:$A$25,I347-1),""))</f>
        <v>#REF!</v>
      </c>
      <c r="B347" t="e">
        <f>IF(A347="","",IF(J347&lt;=INDEX(Matches!$I$2:$I$25,I347-1),INDEX(Matches!$G$2:$G$25,I347-1),INDEX(Matches!$H$2:$H$25,I347-1)))</f>
        <v>#REF!</v>
      </c>
      <c r="C347" t="e">
        <f>IF(A347="","",COUNTIFS($A$2:A347,A347,$B$2:B347,B347))</f>
        <v>#REF!</v>
      </c>
      <c r="D347" s="2" t="e">
        <f t="shared" si="15"/>
        <v>#REF!</v>
      </c>
      <c r="E347" s="2"/>
      <c r="F347" t="e">
        <f t="shared" si="16"/>
        <v>#REF!</v>
      </c>
      <c r="G347" t="e">
        <f t="shared" si="17"/>
        <v>#REF!</v>
      </c>
      <c r="H347" t="e">
        <f>IF(F347="","",VLOOKUP(F347,Validation!$A$2:$B$17,2,FALSE))</f>
        <v>#REF!</v>
      </c>
      <c r="I347">
        <f>INT((ROW()-2)/Settings!$B$6)+2</f>
        <v>30</v>
      </c>
      <c r="J347">
        <f>MOD(ROW()-2,Settings!$B$6)+1</f>
        <v>10</v>
      </c>
    </row>
    <row r="348" spans="1:10" x14ac:dyDescent="0.3">
      <c r="A348" t="e">
        <f>IF(OR(INDEX(Matches!$I$2:$I$25,I348-1)="",INDEX(Matches!$J$2:$J$25,I348-1)=""),"",IF(J348&lt;=INDEX(Matches!$I$2:$I$25,I348-1)+INDEX(Matches!$J$2:$J$25,I348-1),INDEX(Matches!$A$2:$A$25,I348-1),""))</f>
        <v>#REF!</v>
      </c>
      <c r="B348" t="e">
        <f>IF(A348="","",IF(J348&lt;=INDEX(Matches!$I$2:$I$25,I348-1),INDEX(Matches!$G$2:$G$25,I348-1),INDEX(Matches!$H$2:$H$25,I348-1)))</f>
        <v>#REF!</v>
      </c>
      <c r="C348" t="e">
        <f>IF(A348="","",COUNTIFS($A$2:A348,A348,$B$2:B348,B348))</f>
        <v>#REF!</v>
      </c>
      <c r="D348" s="2" t="e">
        <f t="shared" si="15"/>
        <v>#REF!</v>
      </c>
      <c r="E348" s="2"/>
      <c r="F348" t="e">
        <f t="shared" si="16"/>
        <v>#REF!</v>
      </c>
      <c r="G348" t="e">
        <f t="shared" si="17"/>
        <v>#REF!</v>
      </c>
      <c r="H348" t="e">
        <f>IF(F348="","",VLOOKUP(F348,Validation!$A$2:$B$17,2,FALSE))</f>
        <v>#REF!</v>
      </c>
      <c r="I348">
        <f>INT((ROW()-2)/Settings!$B$6)+2</f>
        <v>30</v>
      </c>
      <c r="J348">
        <f>MOD(ROW()-2,Settings!$B$6)+1</f>
        <v>11</v>
      </c>
    </row>
    <row r="349" spans="1:10" x14ac:dyDescent="0.3">
      <c r="A349" t="e">
        <f>IF(OR(INDEX(Matches!$I$2:$I$25,I349-1)="",INDEX(Matches!$J$2:$J$25,I349-1)=""),"",IF(J349&lt;=INDEX(Matches!$I$2:$I$25,I349-1)+INDEX(Matches!$J$2:$J$25,I349-1),INDEX(Matches!$A$2:$A$25,I349-1),""))</f>
        <v>#REF!</v>
      </c>
      <c r="B349" t="e">
        <f>IF(A349="","",IF(J349&lt;=INDEX(Matches!$I$2:$I$25,I349-1),INDEX(Matches!$G$2:$G$25,I349-1),INDEX(Matches!$H$2:$H$25,I349-1)))</f>
        <v>#REF!</v>
      </c>
      <c r="C349" t="e">
        <f>IF(A349="","",COUNTIFS($A$2:A349,A349,$B$2:B349,B349))</f>
        <v>#REF!</v>
      </c>
      <c r="D349" s="2" t="e">
        <f t="shared" si="15"/>
        <v>#REF!</v>
      </c>
      <c r="E349" s="2"/>
      <c r="F349" t="e">
        <f t="shared" si="16"/>
        <v>#REF!</v>
      </c>
      <c r="G349" t="e">
        <f t="shared" si="17"/>
        <v>#REF!</v>
      </c>
      <c r="H349" t="e">
        <f>IF(F349="","",VLOOKUP(F349,Validation!$A$2:$B$17,2,FALSE))</f>
        <v>#REF!</v>
      </c>
      <c r="I349">
        <f>INT((ROW()-2)/Settings!$B$6)+2</f>
        <v>30</v>
      </c>
      <c r="J349">
        <f>MOD(ROW()-2,Settings!$B$6)+1</f>
        <v>12</v>
      </c>
    </row>
    <row r="350" spans="1:10" x14ac:dyDescent="0.3">
      <c r="A350" t="e">
        <f>IF(OR(INDEX(Matches!$I$2:$I$25,I350-1)="",INDEX(Matches!$J$2:$J$25,I350-1)=""),"",IF(J350&lt;=INDEX(Matches!$I$2:$I$25,I350-1)+INDEX(Matches!$J$2:$J$25,I350-1),INDEX(Matches!$A$2:$A$25,I350-1),""))</f>
        <v>#REF!</v>
      </c>
      <c r="B350" t="e">
        <f>IF(A350="","",IF(J350&lt;=INDEX(Matches!$I$2:$I$25,I350-1),INDEX(Matches!$G$2:$G$25,I350-1),INDEX(Matches!$H$2:$H$25,I350-1)))</f>
        <v>#REF!</v>
      </c>
      <c r="C350" t="e">
        <f>IF(A350="","",COUNTIFS($A$2:A350,A350,$B$2:B350,B350))</f>
        <v>#REF!</v>
      </c>
      <c r="D350" s="2" t="e">
        <f t="shared" si="15"/>
        <v>#REF!</v>
      </c>
      <c r="E350" s="2"/>
      <c r="F350" t="e">
        <f t="shared" si="16"/>
        <v>#REF!</v>
      </c>
      <c r="G350" t="e">
        <f t="shared" si="17"/>
        <v>#REF!</v>
      </c>
      <c r="H350" t="e">
        <f>IF(F350="","",VLOOKUP(F350,Validation!$A$2:$B$17,2,FALSE))</f>
        <v>#REF!</v>
      </c>
      <c r="I350">
        <f>INT((ROW()-2)/Settings!$B$6)+2</f>
        <v>31</v>
      </c>
      <c r="J350">
        <f>MOD(ROW()-2,Settings!$B$6)+1</f>
        <v>1</v>
      </c>
    </row>
    <row r="351" spans="1:10" x14ac:dyDescent="0.3">
      <c r="A351" t="e">
        <f>IF(OR(INDEX(Matches!$I$2:$I$25,I351-1)="",INDEX(Matches!$J$2:$J$25,I351-1)=""),"",IF(J351&lt;=INDEX(Matches!$I$2:$I$25,I351-1)+INDEX(Matches!$J$2:$J$25,I351-1),INDEX(Matches!$A$2:$A$25,I351-1),""))</f>
        <v>#REF!</v>
      </c>
      <c r="B351" t="e">
        <f>IF(A351="","",IF(J351&lt;=INDEX(Matches!$I$2:$I$25,I351-1),INDEX(Matches!$G$2:$G$25,I351-1),INDEX(Matches!$H$2:$H$25,I351-1)))</f>
        <v>#REF!</v>
      </c>
      <c r="C351" t="e">
        <f>IF(A351="","",COUNTIFS($A$2:A351,A351,$B$2:B351,B351))</f>
        <v>#REF!</v>
      </c>
      <c r="D351" s="2" t="e">
        <f t="shared" si="15"/>
        <v>#REF!</v>
      </c>
      <c r="E351" s="2"/>
      <c r="F351" t="e">
        <f t="shared" si="16"/>
        <v>#REF!</v>
      </c>
      <c r="G351" t="e">
        <f t="shared" si="17"/>
        <v>#REF!</v>
      </c>
      <c r="H351" t="e">
        <f>IF(F351="","",VLOOKUP(F351,Validation!$A$2:$B$17,2,FALSE))</f>
        <v>#REF!</v>
      </c>
      <c r="I351">
        <f>INT((ROW()-2)/Settings!$B$6)+2</f>
        <v>31</v>
      </c>
      <c r="J351">
        <f>MOD(ROW()-2,Settings!$B$6)+1</f>
        <v>2</v>
      </c>
    </row>
    <row r="352" spans="1:10" x14ac:dyDescent="0.3">
      <c r="A352" t="e">
        <f>IF(OR(INDEX(Matches!$I$2:$I$25,I352-1)="",INDEX(Matches!$J$2:$J$25,I352-1)=""),"",IF(J352&lt;=INDEX(Matches!$I$2:$I$25,I352-1)+INDEX(Matches!$J$2:$J$25,I352-1),INDEX(Matches!$A$2:$A$25,I352-1),""))</f>
        <v>#REF!</v>
      </c>
      <c r="B352" t="e">
        <f>IF(A352="","",IF(J352&lt;=INDEX(Matches!$I$2:$I$25,I352-1),INDEX(Matches!$G$2:$G$25,I352-1),INDEX(Matches!$H$2:$H$25,I352-1)))</f>
        <v>#REF!</v>
      </c>
      <c r="C352" t="e">
        <f>IF(A352="","",COUNTIFS($A$2:A352,A352,$B$2:B352,B352))</f>
        <v>#REF!</v>
      </c>
      <c r="D352" s="2" t="e">
        <f t="shared" si="15"/>
        <v>#REF!</v>
      </c>
      <c r="E352" s="2"/>
      <c r="F352" t="e">
        <f t="shared" si="16"/>
        <v>#REF!</v>
      </c>
      <c r="G352" t="e">
        <f t="shared" si="17"/>
        <v>#REF!</v>
      </c>
      <c r="H352" t="e">
        <f>IF(F352="","",VLOOKUP(F352,Validation!$A$2:$B$17,2,FALSE))</f>
        <v>#REF!</v>
      </c>
      <c r="I352">
        <f>INT((ROW()-2)/Settings!$B$6)+2</f>
        <v>31</v>
      </c>
      <c r="J352">
        <f>MOD(ROW()-2,Settings!$B$6)+1</f>
        <v>3</v>
      </c>
    </row>
    <row r="353" spans="1:10" x14ac:dyDescent="0.3">
      <c r="A353" t="e">
        <f>IF(OR(INDEX(Matches!$I$2:$I$25,I353-1)="",INDEX(Matches!$J$2:$J$25,I353-1)=""),"",IF(J353&lt;=INDEX(Matches!$I$2:$I$25,I353-1)+INDEX(Matches!$J$2:$J$25,I353-1),INDEX(Matches!$A$2:$A$25,I353-1),""))</f>
        <v>#REF!</v>
      </c>
      <c r="B353" t="e">
        <f>IF(A353="","",IF(J353&lt;=INDEX(Matches!$I$2:$I$25,I353-1),INDEX(Matches!$G$2:$G$25,I353-1),INDEX(Matches!$H$2:$H$25,I353-1)))</f>
        <v>#REF!</v>
      </c>
      <c r="C353" t="e">
        <f>IF(A353="","",COUNTIFS($A$2:A353,A353,$B$2:B353,B353))</f>
        <v>#REF!</v>
      </c>
      <c r="D353" s="2" t="e">
        <f t="shared" si="15"/>
        <v>#REF!</v>
      </c>
      <c r="E353" s="2"/>
      <c r="F353" t="e">
        <f t="shared" si="16"/>
        <v>#REF!</v>
      </c>
      <c r="G353" t="e">
        <f t="shared" si="17"/>
        <v>#REF!</v>
      </c>
      <c r="H353" t="e">
        <f>IF(F353="","",VLOOKUP(F353,Validation!$A$2:$B$17,2,FALSE))</f>
        <v>#REF!</v>
      </c>
      <c r="I353">
        <f>INT((ROW()-2)/Settings!$B$6)+2</f>
        <v>31</v>
      </c>
      <c r="J353">
        <f>MOD(ROW()-2,Settings!$B$6)+1</f>
        <v>4</v>
      </c>
    </row>
    <row r="354" spans="1:10" x14ac:dyDescent="0.3">
      <c r="A354" t="e">
        <f>IF(OR(INDEX(Matches!$I$2:$I$25,I354-1)="",INDEX(Matches!$J$2:$J$25,I354-1)=""),"",IF(J354&lt;=INDEX(Matches!$I$2:$I$25,I354-1)+INDEX(Matches!$J$2:$J$25,I354-1),INDEX(Matches!$A$2:$A$25,I354-1),""))</f>
        <v>#REF!</v>
      </c>
      <c r="B354" t="e">
        <f>IF(A354="","",IF(J354&lt;=INDEX(Matches!$I$2:$I$25,I354-1),INDEX(Matches!$G$2:$G$25,I354-1),INDEX(Matches!$H$2:$H$25,I354-1)))</f>
        <v>#REF!</v>
      </c>
      <c r="C354" t="e">
        <f>IF(A354="","",COUNTIFS($A$2:A354,A354,$B$2:B354,B354))</f>
        <v>#REF!</v>
      </c>
      <c r="D354" s="2" t="e">
        <f t="shared" si="15"/>
        <v>#REF!</v>
      </c>
      <c r="E354" s="2"/>
      <c r="F354" t="e">
        <f t="shared" si="16"/>
        <v>#REF!</v>
      </c>
      <c r="G354" t="e">
        <f t="shared" si="17"/>
        <v>#REF!</v>
      </c>
      <c r="H354" t="e">
        <f>IF(F354="","",VLOOKUP(F354,Validation!$A$2:$B$17,2,FALSE))</f>
        <v>#REF!</v>
      </c>
      <c r="I354">
        <f>INT((ROW()-2)/Settings!$B$6)+2</f>
        <v>31</v>
      </c>
      <c r="J354">
        <f>MOD(ROW()-2,Settings!$B$6)+1</f>
        <v>5</v>
      </c>
    </row>
    <row r="355" spans="1:10" x14ac:dyDescent="0.3">
      <c r="A355" t="e">
        <f>IF(OR(INDEX(Matches!$I$2:$I$25,I355-1)="",INDEX(Matches!$J$2:$J$25,I355-1)=""),"",IF(J355&lt;=INDEX(Matches!$I$2:$I$25,I355-1)+INDEX(Matches!$J$2:$J$25,I355-1),INDEX(Matches!$A$2:$A$25,I355-1),""))</f>
        <v>#REF!</v>
      </c>
      <c r="B355" t="e">
        <f>IF(A355="","",IF(J355&lt;=INDEX(Matches!$I$2:$I$25,I355-1),INDEX(Matches!$G$2:$G$25,I355-1),INDEX(Matches!$H$2:$H$25,I355-1)))</f>
        <v>#REF!</v>
      </c>
      <c r="C355" t="e">
        <f>IF(A355="","",COUNTIFS($A$2:A355,A355,$B$2:B355,B355))</f>
        <v>#REF!</v>
      </c>
      <c r="D355" s="2" t="e">
        <f t="shared" si="15"/>
        <v>#REF!</v>
      </c>
      <c r="E355" s="2"/>
      <c r="F355" t="e">
        <f t="shared" si="16"/>
        <v>#REF!</v>
      </c>
      <c r="G355" t="e">
        <f t="shared" si="17"/>
        <v>#REF!</v>
      </c>
      <c r="H355" t="e">
        <f>IF(F355="","",VLOOKUP(F355,Validation!$A$2:$B$17,2,FALSE))</f>
        <v>#REF!</v>
      </c>
      <c r="I355">
        <f>INT((ROW()-2)/Settings!$B$6)+2</f>
        <v>31</v>
      </c>
      <c r="J355">
        <f>MOD(ROW()-2,Settings!$B$6)+1</f>
        <v>6</v>
      </c>
    </row>
    <row r="356" spans="1:10" x14ac:dyDescent="0.3">
      <c r="A356" t="e">
        <f>IF(OR(INDEX(Matches!$I$2:$I$25,I356-1)="",INDEX(Matches!$J$2:$J$25,I356-1)=""),"",IF(J356&lt;=INDEX(Matches!$I$2:$I$25,I356-1)+INDEX(Matches!$J$2:$J$25,I356-1),INDEX(Matches!$A$2:$A$25,I356-1),""))</f>
        <v>#REF!</v>
      </c>
      <c r="B356" t="e">
        <f>IF(A356="","",IF(J356&lt;=INDEX(Matches!$I$2:$I$25,I356-1),INDEX(Matches!$G$2:$G$25,I356-1),INDEX(Matches!$H$2:$H$25,I356-1)))</f>
        <v>#REF!</v>
      </c>
      <c r="C356" t="e">
        <f>IF(A356="","",COUNTIFS($A$2:A356,A356,$B$2:B356,B356))</f>
        <v>#REF!</v>
      </c>
      <c r="D356" s="2" t="e">
        <f t="shared" si="15"/>
        <v>#REF!</v>
      </c>
      <c r="E356" s="2"/>
      <c r="F356" t="e">
        <f t="shared" si="16"/>
        <v>#REF!</v>
      </c>
      <c r="G356" t="e">
        <f t="shared" si="17"/>
        <v>#REF!</v>
      </c>
      <c r="H356" t="e">
        <f>IF(F356="","",VLOOKUP(F356,Validation!$A$2:$B$17,2,FALSE))</f>
        <v>#REF!</v>
      </c>
      <c r="I356">
        <f>INT((ROW()-2)/Settings!$B$6)+2</f>
        <v>31</v>
      </c>
      <c r="J356">
        <f>MOD(ROW()-2,Settings!$B$6)+1</f>
        <v>7</v>
      </c>
    </row>
    <row r="357" spans="1:10" x14ac:dyDescent="0.3">
      <c r="A357" t="e">
        <f>IF(OR(INDEX(Matches!$I$2:$I$25,I357-1)="",INDEX(Matches!$J$2:$J$25,I357-1)=""),"",IF(J357&lt;=INDEX(Matches!$I$2:$I$25,I357-1)+INDEX(Matches!$J$2:$J$25,I357-1),INDEX(Matches!$A$2:$A$25,I357-1),""))</f>
        <v>#REF!</v>
      </c>
      <c r="B357" t="e">
        <f>IF(A357="","",IF(J357&lt;=INDEX(Matches!$I$2:$I$25,I357-1),INDEX(Matches!$G$2:$G$25,I357-1),INDEX(Matches!$H$2:$H$25,I357-1)))</f>
        <v>#REF!</v>
      </c>
      <c r="C357" t="e">
        <f>IF(A357="","",COUNTIFS($A$2:A357,A357,$B$2:B357,B357))</f>
        <v>#REF!</v>
      </c>
      <c r="D357" s="2" t="e">
        <f t="shared" si="15"/>
        <v>#REF!</v>
      </c>
      <c r="E357" s="2"/>
      <c r="F357" t="e">
        <f t="shared" si="16"/>
        <v>#REF!</v>
      </c>
      <c r="G357" t="e">
        <f t="shared" si="17"/>
        <v>#REF!</v>
      </c>
      <c r="H357" t="e">
        <f>IF(F357="","",VLOOKUP(F357,Validation!$A$2:$B$17,2,FALSE))</f>
        <v>#REF!</v>
      </c>
      <c r="I357">
        <f>INT((ROW()-2)/Settings!$B$6)+2</f>
        <v>31</v>
      </c>
      <c r="J357">
        <f>MOD(ROW()-2,Settings!$B$6)+1</f>
        <v>8</v>
      </c>
    </row>
    <row r="358" spans="1:10" x14ac:dyDescent="0.3">
      <c r="A358" t="e">
        <f>IF(OR(INDEX(Matches!$I$2:$I$25,I358-1)="",INDEX(Matches!$J$2:$J$25,I358-1)=""),"",IF(J358&lt;=INDEX(Matches!$I$2:$I$25,I358-1)+INDEX(Matches!$J$2:$J$25,I358-1),INDEX(Matches!$A$2:$A$25,I358-1),""))</f>
        <v>#REF!</v>
      </c>
      <c r="B358" t="e">
        <f>IF(A358="","",IF(J358&lt;=INDEX(Matches!$I$2:$I$25,I358-1),INDEX(Matches!$G$2:$G$25,I358-1),INDEX(Matches!$H$2:$H$25,I358-1)))</f>
        <v>#REF!</v>
      </c>
      <c r="C358" t="e">
        <f>IF(A358="","",COUNTIFS($A$2:A358,A358,$B$2:B358,B358))</f>
        <v>#REF!</v>
      </c>
      <c r="D358" s="2" t="e">
        <f t="shared" si="15"/>
        <v>#REF!</v>
      </c>
      <c r="E358" s="2"/>
      <c r="F358" t="e">
        <f t="shared" si="16"/>
        <v>#REF!</v>
      </c>
      <c r="G358" t="e">
        <f t="shared" si="17"/>
        <v>#REF!</v>
      </c>
      <c r="H358" t="e">
        <f>IF(F358="","",VLOOKUP(F358,Validation!$A$2:$B$17,2,FALSE))</f>
        <v>#REF!</v>
      </c>
      <c r="I358">
        <f>INT((ROW()-2)/Settings!$B$6)+2</f>
        <v>31</v>
      </c>
      <c r="J358">
        <f>MOD(ROW()-2,Settings!$B$6)+1</f>
        <v>9</v>
      </c>
    </row>
    <row r="359" spans="1:10" x14ac:dyDescent="0.3">
      <c r="A359" t="e">
        <f>IF(OR(INDEX(Matches!$I$2:$I$25,I359-1)="",INDEX(Matches!$J$2:$J$25,I359-1)=""),"",IF(J359&lt;=INDEX(Matches!$I$2:$I$25,I359-1)+INDEX(Matches!$J$2:$J$25,I359-1),INDEX(Matches!$A$2:$A$25,I359-1),""))</f>
        <v>#REF!</v>
      </c>
      <c r="B359" t="e">
        <f>IF(A359="","",IF(J359&lt;=INDEX(Matches!$I$2:$I$25,I359-1),INDEX(Matches!$G$2:$G$25,I359-1),INDEX(Matches!$H$2:$H$25,I359-1)))</f>
        <v>#REF!</v>
      </c>
      <c r="C359" t="e">
        <f>IF(A359="","",COUNTIFS($A$2:A359,A359,$B$2:B359,B359))</f>
        <v>#REF!</v>
      </c>
      <c r="D359" s="2" t="e">
        <f t="shared" si="15"/>
        <v>#REF!</v>
      </c>
      <c r="E359" s="2"/>
      <c r="F359" t="e">
        <f t="shared" si="16"/>
        <v>#REF!</v>
      </c>
      <c r="G359" t="e">
        <f t="shared" si="17"/>
        <v>#REF!</v>
      </c>
      <c r="H359" t="e">
        <f>IF(F359="","",VLOOKUP(F359,Validation!$A$2:$B$17,2,FALSE))</f>
        <v>#REF!</v>
      </c>
      <c r="I359">
        <f>INT((ROW()-2)/Settings!$B$6)+2</f>
        <v>31</v>
      </c>
      <c r="J359">
        <f>MOD(ROW()-2,Settings!$B$6)+1</f>
        <v>10</v>
      </c>
    </row>
    <row r="360" spans="1:10" x14ac:dyDescent="0.3">
      <c r="A360" t="e">
        <f>IF(OR(INDEX(Matches!$I$2:$I$25,I360-1)="",INDEX(Matches!$J$2:$J$25,I360-1)=""),"",IF(J360&lt;=INDEX(Matches!$I$2:$I$25,I360-1)+INDEX(Matches!$J$2:$J$25,I360-1),INDEX(Matches!$A$2:$A$25,I360-1),""))</f>
        <v>#REF!</v>
      </c>
      <c r="B360" t="e">
        <f>IF(A360="","",IF(J360&lt;=INDEX(Matches!$I$2:$I$25,I360-1),INDEX(Matches!$G$2:$G$25,I360-1),INDEX(Matches!$H$2:$H$25,I360-1)))</f>
        <v>#REF!</v>
      </c>
      <c r="C360" t="e">
        <f>IF(A360="","",COUNTIFS($A$2:A360,A360,$B$2:B360,B360))</f>
        <v>#REF!</v>
      </c>
      <c r="D360" s="2" t="e">
        <f t="shared" si="15"/>
        <v>#REF!</v>
      </c>
      <c r="E360" s="2"/>
      <c r="F360" t="e">
        <f t="shared" si="16"/>
        <v>#REF!</v>
      </c>
      <c r="G360" t="e">
        <f t="shared" si="17"/>
        <v>#REF!</v>
      </c>
      <c r="H360" t="e">
        <f>IF(F360="","",VLOOKUP(F360,Validation!$A$2:$B$17,2,FALSE))</f>
        <v>#REF!</v>
      </c>
      <c r="I360">
        <f>INT((ROW()-2)/Settings!$B$6)+2</f>
        <v>31</v>
      </c>
      <c r="J360">
        <f>MOD(ROW()-2,Settings!$B$6)+1</f>
        <v>11</v>
      </c>
    </row>
    <row r="361" spans="1:10" x14ac:dyDescent="0.3">
      <c r="A361" t="e">
        <f>IF(OR(INDEX(Matches!$I$2:$I$25,I361-1)="",INDEX(Matches!$J$2:$J$25,I361-1)=""),"",IF(J361&lt;=INDEX(Matches!$I$2:$I$25,I361-1)+INDEX(Matches!$J$2:$J$25,I361-1),INDEX(Matches!$A$2:$A$25,I361-1),""))</f>
        <v>#REF!</v>
      </c>
      <c r="B361" t="e">
        <f>IF(A361="","",IF(J361&lt;=INDEX(Matches!$I$2:$I$25,I361-1),INDEX(Matches!$G$2:$G$25,I361-1),INDEX(Matches!$H$2:$H$25,I361-1)))</f>
        <v>#REF!</v>
      </c>
      <c r="C361" t="e">
        <f>IF(A361="","",COUNTIFS($A$2:A361,A361,$B$2:B361,B361))</f>
        <v>#REF!</v>
      </c>
      <c r="D361" s="2" t="e">
        <f t="shared" si="15"/>
        <v>#REF!</v>
      </c>
      <c r="E361" s="2"/>
      <c r="F361" t="e">
        <f t="shared" si="16"/>
        <v>#REF!</v>
      </c>
      <c r="G361" t="e">
        <f t="shared" si="17"/>
        <v>#REF!</v>
      </c>
      <c r="H361" t="e">
        <f>IF(F361="","",VLOOKUP(F361,Validation!$A$2:$B$17,2,FALSE))</f>
        <v>#REF!</v>
      </c>
      <c r="I361">
        <f>INT((ROW()-2)/Settings!$B$6)+2</f>
        <v>31</v>
      </c>
      <c r="J361">
        <f>MOD(ROW()-2,Settings!$B$6)+1</f>
        <v>12</v>
      </c>
    </row>
  </sheetData>
  <conditionalFormatting sqref="A2:K361">
    <cfRule type="expression" dxfId="1" priority="1">
      <formula>AND($A2&lt;&gt;"",$G2&lt;&gt;"OK")</formula>
    </cfRule>
    <cfRule type="expression" dxfId="0" priority="2">
      <formula>AND($A2&lt;&gt;"",$G2="OK")</formula>
    </cfRule>
  </conditionalFormatting>
  <dataValidations count="2">
    <dataValidation type="list" sqref="D2:D361" xr:uid="{00000000-0002-0000-0500-000000000000}">
      <formula1>"Goal,Autogol"</formula1>
    </dataValidation>
    <dataValidation type="list" sqref="E2:E361" xr:uid="{00000000-0002-0000-0500-000001000000}">
      <formula1>INDIRECT($H2)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58"/>
  <sheetViews>
    <sheetView workbookViewId="0"/>
  </sheetViews>
  <sheetFormatPr defaultRowHeight="14.4" x14ac:dyDescent="0.3"/>
  <cols>
    <col min="1" max="2" width="28" customWidth="1"/>
    <col min="3" max="3" width="38" customWidth="1"/>
    <col min="4" max="5" width="28" customWidth="1"/>
  </cols>
  <sheetData>
    <row r="1" spans="1:26" x14ac:dyDescent="0.3">
      <c r="A1" s="5" t="s">
        <v>567</v>
      </c>
      <c r="B1" s="5" t="s">
        <v>574</v>
      </c>
      <c r="C1" s="5" t="s">
        <v>73</v>
      </c>
      <c r="D1" s="5" t="s">
        <v>575</v>
      </c>
      <c r="E1" s="5" t="s">
        <v>576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75</v>
      </c>
      <c r="B2" t="s">
        <v>35</v>
      </c>
      <c r="C2" t="s">
        <v>77</v>
      </c>
      <c r="D2">
        <f>COUNTIFS(Goals!$D$2:$D$361,"Goal",Goals!$E$2:$E$361,C2,Goals!$F$2:$F$361,B2)</f>
        <v>0</v>
      </c>
      <c r="E2">
        <f t="shared" ref="E2:E33" si="0">D2*100000-ROW()/1000</f>
        <v>-2E-3</v>
      </c>
    </row>
    <row r="3" spans="1:26" x14ac:dyDescent="0.3">
      <c r="A3" t="s">
        <v>79</v>
      </c>
      <c r="B3" t="s">
        <v>35</v>
      </c>
      <c r="C3" t="s">
        <v>80</v>
      </c>
      <c r="D3">
        <f>COUNTIFS(Goals!$D$2:$D$361,"Goal",Goals!$E$2:$E$361,C3,Goals!$F$2:$F$361,B3)</f>
        <v>0</v>
      </c>
      <c r="E3">
        <f t="shared" si="0"/>
        <v>-3.0000000000000001E-3</v>
      </c>
    </row>
    <row r="4" spans="1:26" x14ac:dyDescent="0.3">
      <c r="A4" t="s">
        <v>82</v>
      </c>
      <c r="B4" t="s">
        <v>35</v>
      </c>
      <c r="C4" t="s">
        <v>83</v>
      </c>
      <c r="D4">
        <f>COUNTIFS(Goals!$D$2:$D$361,"Goal",Goals!$E$2:$E$361,C4,Goals!$F$2:$F$361,B4)</f>
        <v>0</v>
      </c>
      <c r="E4">
        <f t="shared" si="0"/>
        <v>-4.0000000000000001E-3</v>
      </c>
    </row>
    <row r="5" spans="1:26" x14ac:dyDescent="0.3">
      <c r="A5" t="s">
        <v>85</v>
      </c>
      <c r="B5" t="s">
        <v>35</v>
      </c>
      <c r="C5" t="s">
        <v>86</v>
      </c>
      <c r="D5">
        <f>COUNTIFS(Goals!$D$2:$D$361,"Goal",Goals!$E$2:$E$361,C5,Goals!$F$2:$F$361,B5)</f>
        <v>0</v>
      </c>
      <c r="E5">
        <f t="shared" si="0"/>
        <v>-5.0000000000000001E-3</v>
      </c>
    </row>
    <row r="6" spans="1:26" x14ac:dyDescent="0.3">
      <c r="A6" t="s">
        <v>88</v>
      </c>
      <c r="B6" t="s">
        <v>35</v>
      </c>
      <c r="C6" t="s">
        <v>89</v>
      </c>
      <c r="D6">
        <f>COUNTIFS(Goals!$D$2:$D$361,"Goal",Goals!$E$2:$E$361,C6,Goals!$F$2:$F$361,B6)</f>
        <v>0</v>
      </c>
      <c r="E6">
        <f t="shared" si="0"/>
        <v>-6.0000000000000001E-3</v>
      </c>
    </row>
    <row r="7" spans="1:26" x14ac:dyDescent="0.3">
      <c r="A7" t="s">
        <v>91</v>
      </c>
      <c r="B7" t="s">
        <v>35</v>
      </c>
      <c r="C7" t="s">
        <v>92</v>
      </c>
      <c r="D7">
        <f>COUNTIFS(Goals!$D$2:$D$361,"Goal",Goals!$E$2:$E$361,C7,Goals!$F$2:$F$361,B7)</f>
        <v>0</v>
      </c>
      <c r="E7">
        <f t="shared" si="0"/>
        <v>-7.0000000000000001E-3</v>
      </c>
    </row>
    <row r="8" spans="1:26" x14ac:dyDescent="0.3">
      <c r="A8" t="s">
        <v>94</v>
      </c>
      <c r="B8" t="s">
        <v>35</v>
      </c>
      <c r="C8" t="s">
        <v>95</v>
      </c>
      <c r="D8">
        <f>COUNTIFS(Goals!$D$2:$D$361,"Goal",Goals!$E$2:$E$361,C8,Goals!$F$2:$F$361,B8)</f>
        <v>0</v>
      </c>
      <c r="E8">
        <f t="shared" si="0"/>
        <v>-8.0000000000000002E-3</v>
      </c>
    </row>
    <row r="9" spans="1:26" x14ac:dyDescent="0.3">
      <c r="A9" t="s">
        <v>97</v>
      </c>
      <c r="B9" t="s">
        <v>35</v>
      </c>
      <c r="C9" t="s">
        <v>99</v>
      </c>
      <c r="D9">
        <f>COUNTIFS(Goals!$D$2:$D$361,"Goal",Goals!$E$2:$E$361,C9,Goals!$F$2:$F$361,B9)</f>
        <v>0</v>
      </c>
      <c r="E9">
        <f t="shared" si="0"/>
        <v>-8.9999999999999993E-3</v>
      </c>
    </row>
    <row r="10" spans="1:26" x14ac:dyDescent="0.3">
      <c r="A10" t="s">
        <v>101</v>
      </c>
      <c r="B10" t="s">
        <v>35</v>
      </c>
      <c r="C10" t="s">
        <v>102</v>
      </c>
      <c r="D10">
        <f>COUNTIFS(Goals!$D$2:$D$361,"Goal",Goals!$E$2:$E$361,C10,Goals!$F$2:$F$361,B10)</f>
        <v>0</v>
      </c>
      <c r="E10">
        <f t="shared" si="0"/>
        <v>-0.01</v>
      </c>
    </row>
    <row r="11" spans="1:26" x14ac:dyDescent="0.3">
      <c r="A11" t="s">
        <v>104</v>
      </c>
      <c r="B11" t="s">
        <v>35</v>
      </c>
      <c r="C11" t="s">
        <v>105</v>
      </c>
      <c r="D11">
        <f>COUNTIFS(Goals!$D$2:$D$361,"Goal",Goals!$E$2:$E$361,C11,Goals!$F$2:$F$361,B11)</f>
        <v>0</v>
      </c>
      <c r="E11">
        <f t="shared" si="0"/>
        <v>-1.0999999999999999E-2</v>
      </c>
    </row>
    <row r="12" spans="1:26" x14ac:dyDescent="0.3">
      <c r="A12" t="s">
        <v>107</v>
      </c>
      <c r="B12" t="s">
        <v>37</v>
      </c>
      <c r="C12" t="s">
        <v>107</v>
      </c>
      <c r="D12">
        <f>COUNTIFS(Goals!$D$2:$D$361,"Goal",Goals!$E$2:$E$361,C12,Goals!$F$2:$F$361,B12)</f>
        <v>0</v>
      </c>
      <c r="E12">
        <f t="shared" si="0"/>
        <v>-1.2E-2</v>
      </c>
    </row>
    <row r="13" spans="1:26" x14ac:dyDescent="0.3">
      <c r="A13" t="s">
        <v>109</v>
      </c>
      <c r="B13" t="s">
        <v>37</v>
      </c>
      <c r="C13" t="s">
        <v>109</v>
      </c>
      <c r="D13">
        <f>COUNTIFS(Goals!$D$2:$D$361,"Goal",Goals!$E$2:$E$361,C13,Goals!$F$2:$F$361,B13)</f>
        <v>0</v>
      </c>
      <c r="E13">
        <f t="shared" si="0"/>
        <v>-1.2999999999999999E-2</v>
      </c>
    </row>
    <row r="14" spans="1:26" x14ac:dyDescent="0.3">
      <c r="A14" t="s">
        <v>111</v>
      </c>
      <c r="B14" t="s">
        <v>37</v>
      </c>
      <c r="C14" t="s">
        <v>111</v>
      </c>
      <c r="D14">
        <f>COUNTIFS(Goals!$D$2:$D$361,"Goal",Goals!$E$2:$E$361,C14,Goals!$F$2:$F$361,B14)</f>
        <v>0</v>
      </c>
      <c r="E14">
        <f t="shared" si="0"/>
        <v>-1.4E-2</v>
      </c>
    </row>
    <row r="15" spans="1:26" x14ac:dyDescent="0.3">
      <c r="A15" t="s">
        <v>113</v>
      </c>
      <c r="B15" t="s">
        <v>37</v>
      </c>
      <c r="C15" t="s">
        <v>113</v>
      </c>
      <c r="D15">
        <f>COUNTIFS(Goals!$D$2:$D$361,"Goal",Goals!$E$2:$E$361,C15,Goals!$F$2:$F$361,B15)</f>
        <v>0</v>
      </c>
      <c r="E15">
        <f t="shared" si="0"/>
        <v>-1.4999999999999999E-2</v>
      </c>
    </row>
    <row r="16" spans="1:26" x14ac:dyDescent="0.3">
      <c r="A16" t="s">
        <v>115</v>
      </c>
      <c r="B16" t="s">
        <v>37</v>
      </c>
      <c r="C16" t="s">
        <v>115</v>
      </c>
      <c r="D16">
        <f>COUNTIFS(Goals!$D$2:$D$361,"Goal",Goals!$E$2:$E$361,C16,Goals!$F$2:$F$361,B16)</f>
        <v>0</v>
      </c>
      <c r="E16">
        <f t="shared" si="0"/>
        <v>-1.6E-2</v>
      </c>
    </row>
    <row r="17" spans="1:5" x14ac:dyDescent="0.3">
      <c r="A17" t="s">
        <v>117</v>
      </c>
      <c r="B17" t="s">
        <v>37</v>
      </c>
      <c r="C17" t="s">
        <v>117</v>
      </c>
      <c r="D17">
        <f>COUNTIFS(Goals!$D$2:$D$361,"Goal",Goals!$E$2:$E$361,C17,Goals!$F$2:$F$361,B17)</f>
        <v>0</v>
      </c>
      <c r="E17">
        <f t="shared" si="0"/>
        <v>-1.7000000000000001E-2</v>
      </c>
    </row>
    <row r="18" spans="1:5" x14ac:dyDescent="0.3">
      <c r="A18" t="s">
        <v>119</v>
      </c>
      <c r="B18" t="s">
        <v>37</v>
      </c>
      <c r="C18" t="s">
        <v>120</v>
      </c>
      <c r="D18">
        <f>COUNTIFS(Goals!$D$2:$D$361,"Goal",Goals!$E$2:$E$361,C18,Goals!$F$2:$F$361,B18)</f>
        <v>0</v>
      </c>
      <c r="E18">
        <f t="shared" si="0"/>
        <v>-1.7999999999999999E-2</v>
      </c>
    </row>
    <row r="19" spans="1:5" x14ac:dyDescent="0.3">
      <c r="A19" t="s">
        <v>122</v>
      </c>
      <c r="B19" t="s">
        <v>37</v>
      </c>
      <c r="C19" t="s">
        <v>122</v>
      </c>
      <c r="D19">
        <f>COUNTIFS(Goals!$D$2:$D$361,"Goal",Goals!$E$2:$E$361,C19,Goals!$F$2:$F$361,B19)</f>
        <v>0</v>
      </c>
      <c r="E19">
        <f t="shared" si="0"/>
        <v>-1.9E-2</v>
      </c>
    </row>
    <row r="20" spans="1:5" x14ac:dyDescent="0.3">
      <c r="A20" t="s">
        <v>124</v>
      </c>
      <c r="B20" t="s">
        <v>37</v>
      </c>
      <c r="C20" t="s">
        <v>124</v>
      </c>
      <c r="D20">
        <f>COUNTIFS(Goals!$D$2:$D$361,"Goal",Goals!$E$2:$E$361,C20,Goals!$F$2:$F$361,B20)</f>
        <v>0</v>
      </c>
      <c r="E20">
        <f t="shared" si="0"/>
        <v>-0.02</v>
      </c>
    </row>
    <row r="21" spans="1:5" x14ac:dyDescent="0.3">
      <c r="A21" t="s">
        <v>126</v>
      </c>
      <c r="B21" t="s">
        <v>37</v>
      </c>
      <c r="C21" t="s">
        <v>126</v>
      </c>
      <c r="D21">
        <f>COUNTIFS(Goals!$D$2:$D$361,"Goal",Goals!$E$2:$E$361,C21,Goals!$F$2:$F$361,B21)</f>
        <v>0</v>
      </c>
      <c r="E21">
        <f t="shared" si="0"/>
        <v>-2.1000000000000001E-2</v>
      </c>
    </row>
    <row r="22" spans="1:5" x14ac:dyDescent="0.3">
      <c r="A22" t="s">
        <v>128</v>
      </c>
      <c r="B22" t="s">
        <v>39</v>
      </c>
      <c r="C22" t="s">
        <v>128</v>
      </c>
      <c r="D22">
        <f>COUNTIFS(Goals!$D$2:$D$361,"Goal",Goals!$E$2:$E$361,C22,Goals!$F$2:$F$361,B22)</f>
        <v>0</v>
      </c>
      <c r="E22">
        <f t="shared" si="0"/>
        <v>-2.1999999999999999E-2</v>
      </c>
    </row>
    <row r="23" spans="1:5" x14ac:dyDescent="0.3">
      <c r="A23" t="s">
        <v>130</v>
      </c>
      <c r="B23" t="s">
        <v>39</v>
      </c>
      <c r="C23" t="s">
        <v>131</v>
      </c>
      <c r="D23">
        <f>COUNTIFS(Goals!$D$2:$D$361,"Goal",Goals!$E$2:$E$361,C23,Goals!$F$2:$F$361,B23)</f>
        <v>0</v>
      </c>
      <c r="E23">
        <f t="shared" si="0"/>
        <v>-2.3E-2</v>
      </c>
    </row>
    <row r="24" spans="1:5" x14ac:dyDescent="0.3">
      <c r="A24" t="s">
        <v>133</v>
      </c>
      <c r="B24" t="s">
        <v>39</v>
      </c>
      <c r="C24" t="s">
        <v>133</v>
      </c>
      <c r="D24">
        <f>COUNTIFS(Goals!$D$2:$D$361,"Goal",Goals!$E$2:$E$361,C24,Goals!$F$2:$F$361,B24)</f>
        <v>0</v>
      </c>
      <c r="E24">
        <f t="shared" si="0"/>
        <v>-2.4E-2</v>
      </c>
    </row>
    <row r="25" spans="1:5" x14ac:dyDescent="0.3">
      <c r="A25" t="s">
        <v>135</v>
      </c>
      <c r="B25" t="s">
        <v>39</v>
      </c>
      <c r="C25" t="s">
        <v>135</v>
      </c>
      <c r="D25">
        <f>COUNTIFS(Goals!$D$2:$D$361,"Goal",Goals!$E$2:$E$361,C25,Goals!$F$2:$F$361,B25)</f>
        <v>0</v>
      </c>
      <c r="E25">
        <f t="shared" si="0"/>
        <v>-2.5000000000000001E-2</v>
      </c>
    </row>
    <row r="26" spans="1:5" x14ac:dyDescent="0.3">
      <c r="A26" t="s">
        <v>137</v>
      </c>
      <c r="B26" t="s">
        <v>39</v>
      </c>
      <c r="C26" t="s">
        <v>137</v>
      </c>
      <c r="D26">
        <f>COUNTIFS(Goals!$D$2:$D$361,"Goal",Goals!$E$2:$E$361,C26,Goals!$F$2:$F$361,B26)</f>
        <v>0</v>
      </c>
      <c r="E26">
        <f t="shared" si="0"/>
        <v>-2.5999999999999999E-2</v>
      </c>
    </row>
    <row r="27" spans="1:5" x14ac:dyDescent="0.3">
      <c r="A27" t="s">
        <v>139</v>
      </c>
      <c r="B27" t="s">
        <v>39</v>
      </c>
      <c r="C27" t="s">
        <v>139</v>
      </c>
      <c r="D27">
        <f>COUNTIFS(Goals!$D$2:$D$361,"Goal",Goals!$E$2:$E$361,C27,Goals!$F$2:$F$361,B27)</f>
        <v>0</v>
      </c>
      <c r="E27">
        <f t="shared" si="0"/>
        <v>-2.7E-2</v>
      </c>
    </row>
    <row r="28" spans="1:5" x14ac:dyDescent="0.3">
      <c r="A28" t="s">
        <v>141</v>
      </c>
      <c r="B28" t="s">
        <v>39</v>
      </c>
      <c r="C28" t="s">
        <v>141</v>
      </c>
      <c r="D28">
        <f>COUNTIFS(Goals!$D$2:$D$361,"Goal",Goals!$E$2:$E$361,C28,Goals!$F$2:$F$361,B28)</f>
        <v>0</v>
      </c>
      <c r="E28">
        <f t="shared" si="0"/>
        <v>-2.8000000000000001E-2</v>
      </c>
    </row>
    <row r="29" spans="1:5" x14ac:dyDescent="0.3">
      <c r="A29" t="s">
        <v>143</v>
      </c>
      <c r="B29" t="s">
        <v>39</v>
      </c>
      <c r="C29" t="s">
        <v>143</v>
      </c>
      <c r="D29">
        <f>COUNTIFS(Goals!$D$2:$D$361,"Goal",Goals!$E$2:$E$361,C29,Goals!$F$2:$F$361,B29)</f>
        <v>0</v>
      </c>
      <c r="E29">
        <f t="shared" si="0"/>
        <v>-2.9000000000000001E-2</v>
      </c>
    </row>
    <row r="30" spans="1:5" x14ac:dyDescent="0.3">
      <c r="A30" t="s">
        <v>145</v>
      </c>
      <c r="B30" t="s">
        <v>39</v>
      </c>
      <c r="C30" t="s">
        <v>145</v>
      </c>
      <c r="D30">
        <f>COUNTIFS(Goals!$D$2:$D$361,"Goal",Goals!$E$2:$E$361,C30,Goals!$F$2:$F$361,B30)</f>
        <v>0</v>
      </c>
      <c r="E30">
        <f t="shared" si="0"/>
        <v>-0.03</v>
      </c>
    </row>
    <row r="31" spans="1:5" x14ac:dyDescent="0.3">
      <c r="A31" t="s">
        <v>147</v>
      </c>
      <c r="B31" t="s">
        <v>39</v>
      </c>
      <c r="C31" t="s">
        <v>147</v>
      </c>
      <c r="D31">
        <f>COUNTIFS(Goals!$D$2:$D$361,"Goal",Goals!$E$2:$E$361,C31,Goals!$F$2:$F$361,B31)</f>
        <v>0</v>
      </c>
      <c r="E31">
        <f t="shared" si="0"/>
        <v>-3.1E-2</v>
      </c>
    </row>
    <row r="32" spans="1:5" x14ac:dyDescent="0.3">
      <c r="A32" t="s">
        <v>149</v>
      </c>
      <c r="B32" t="s">
        <v>39</v>
      </c>
      <c r="C32" t="s">
        <v>149</v>
      </c>
      <c r="D32">
        <f>COUNTIFS(Goals!$D$2:$D$361,"Goal",Goals!$E$2:$E$361,C32,Goals!$F$2:$F$361,B32)</f>
        <v>0</v>
      </c>
      <c r="E32">
        <f t="shared" si="0"/>
        <v>-3.2000000000000001E-2</v>
      </c>
    </row>
    <row r="33" spans="1:5" x14ac:dyDescent="0.3">
      <c r="A33" t="s">
        <v>151</v>
      </c>
      <c r="B33" t="s">
        <v>39</v>
      </c>
      <c r="C33" t="s">
        <v>151</v>
      </c>
      <c r="D33">
        <f>COUNTIFS(Goals!$D$2:$D$361,"Goal",Goals!$E$2:$E$361,C33,Goals!$F$2:$F$361,B33)</f>
        <v>0</v>
      </c>
      <c r="E33">
        <f t="shared" si="0"/>
        <v>-3.3000000000000002E-2</v>
      </c>
    </row>
    <row r="34" spans="1:5" x14ac:dyDescent="0.3">
      <c r="A34" t="s">
        <v>153</v>
      </c>
      <c r="B34" t="s">
        <v>41</v>
      </c>
      <c r="C34" t="s">
        <v>154</v>
      </c>
      <c r="D34">
        <f>COUNTIFS(Goals!$D$2:$D$361,"Goal",Goals!$E$2:$E$361,C34,Goals!$F$2:$F$361,B34)</f>
        <v>0</v>
      </c>
      <c r="E34">
        <f t="shared" ref="E34:E65" si="1">D34*100000-ROW()/1000</f>
        <v>-3.4000000000000002E-2</v>
      </c>
    </row>
    <row r="35" spans="1:5" x14ac:dyDescent="0.3">
      <c r="A35" t="s">
        <v>156</v>
      </c>
      <c r="B35" t="s">
        <v>41</v>
      </c>
      <c r="C35" t="s">
        <v>157</v>
      </c>
      <c r="D35">
        <f>COUNTIFS(Goals!$D$2:$D$361,"Goal",Goals!$E$2:$E$361,C35,Goals!$F$2:$F$361,B35)</f>
        <v>0</v>
      </c>
      <c r="E35">
        <f t="shared" si="1"/>
        <v>-3.5000000000000003E-2</v>
      </c>
    </row>
    <row r="36" spans="1:5" x14ac:dyDescent="0.3">
      <c r="A36" t="s">
        <v>159</v>
      </c>
      <c r="B36" t="s">
        <v>41</v>
      </c>
      <c r="C36" t="s">
        <v>160</v>
      </c>
      <c r="D36">
        <f>COUNTIFS(Goals!$D$2:$D$361,"Goal",Goals!$E$2:$E$361,C36,Goals!$F$2:$F$361,B36)</f>
        <v>0</v>
      </c>
      <c r="E36">
        <f t="shared" si="1"/>
        <v>-3.5999999999999997E-2</v>
      </c>
    </row>
    <row r="37" spans="1:5" x14ac:dyDescent="0.3">
      <c r="A37" t="s">
        <v>162</v>
      </c>
      <c r="B37" t="s">
        <v>41</v>
      </c>
      <c r="C37" t="s">
        <v>163</v>
      </c>
      <c r="D37">
        <f>COUNTIFS(Goals!$D$2:$D$361,"Goal",Goals!$E$2:$E$361,C37,Goals!$F$2:$F$361,B37)</f>
        <v>0</v>
      </c>
      <c r="E37">
        <f t="shared" si="1"/>
        <v>-3.6999999999999998E-2</v>
      </c>
    </row>
    <row r="38" spans="1:5" x14ac:dyDescent="0.3">
      <c r="A38" t="s">
        <v>165</v>
      </c>
      <c r="B38" t="s">
        <v>41</v>
      </c>
      <c r="C38" t="s">
        <v>166</v>
      </c>
      <c r="D38">
        <f>COUNTIFS(Goals!$D$2:$D$361,"Goal",Goals!$E$2:$E$361,C38,Goals!$F$2:$F$361,B38)</f>
        <v>0</v>
      </c>
      <c r="E38">
        <f t="shared" si="1"/>
        <v>-3.7999999999999999E-2</v>
      </c>
    </row>
    <row r="39" spans="1:5" x14ac:dyDescent="0.3">
      <c r="A39" t="s">
        <v>168</v>
      </c>
      <c r="B39" t="s">
        <v>41</v>
      </c>
      <c r="C39" t="s">
        <v>169</v>
      </c>
      <c r="D39">
        <f>COUNTIFS(Goals!$D$2:$D$361,"Goal",Goals!$E$2:$E$361,C39,Goals!$F$2:$F$361,B39)</f>
        <v>0</v>
      </c>
      <c r="E39">
        <f t="shared" si="1"/>
        <v>-3.9E-2</v>
      </c>
    </row>
    <row r="40" spans="1:5" x14ac:dyDescent="0.3">
      <c r="A40" t="s">
        <v>171</v>
      </c>
      <c r="B40" t="s">
        <v>41</v>
      </c>
      <c r="C40" t="s">
        <v>172</v>
      </c>
      <c r="D40">
        <f>COUNTIFS(Goals!$D$2:$D$361,"Goal",Goals!$E$2:$E$361,C40,Goals!$F$2:$F$361,B40)</f>
        <v>0</v>
      </c>
      <c r="E40">
        <f t="shared" si="1"/>
        <v>-0.04</v>
      </c>
    </row>
    <row r="41" spans="1:5" x14ac:dyDescent="0.3">
      <c r="A41" t="s">
        <v>174</v>
      </c>
      <c r="B41" t="s">
        <v>41</v>
      </c>
      <c r="C41" t="s">
        <v>175</v>
      </c>
      <c r="D41">
        <f>COUNTIFS(Goals!$D$2:$D$361,"Goal",Goals!$E$2:$E$361,C41,Goals!$F$2:$F$361,B41)</f>
        <v>0</v>
      </c>
      <c r="E41">
        <f t="shared" si="1"/>
        <v>-4.1000000000000002E-2</v>
      </c>
    </row>
    <row r="42" spans="1:5" x14ac:dyDescent="0.3">
      <c r="A42" t="s">
        <v>177</v>
      </c>
      <c r="B42" t="s">
        <v>41</v>
      </c>
      <c r="C42" t="s">
        <v>178</v>
      </c>
      <c r="D42">
        <f>COUNTIFS(Goals!$D$2:$D$361,"Goal",Goals!$E$2:$E$361,C42,Goals!$F$2:$F$361,B42)</f>
        <v>0</v>
      </c>
      <c r="E42">
        <f t="shared" si="1"/>
        <v>-4.2000000000000003E-2</v>
      </c>
    </row>
    <row r="43" spans="1:5" x14ac:dyDescent="0.3">
      <c r="A43" t="s">
        <v>180</v>
      </c>
      <c r="B43" t="s">
        <v>44</v>
      </c>
      <c r="C43" t="s">
        <v>181</v>
      </c>
      <c r="D43">
        <f>COUNTIFS(Goals!$D$2:$D$361,"Goal",Goals!$E$2:$E$361,C43,Goals!$F$2:$F$361,B43)</f>
        <v>0</v>
      </c>
      <c r="E43">
        <f t="shared" si="1"/>
        <v>-4.2999999999999997E-2</v>
      </c>
    </row>
    <row r="44" spans="1:5" x14ac:dyDescent="0.3">
      <c r="A44" t="s">
        <v>183</v>
      </c>
      <c r="B44" t="s">
        <v>44</v>
      </c>
      <c r="C44" t="s">
        <v>184</v>
      </c>
      <c r="D44">
        <f>COUNTIFS(Goals!$D$2:$D$361,"Goal",Goals!$E$2:$E$361,C44,Goals!$F$2:$F$361,B44)</f>
        <v>0</v>
      </c>
      <c r="E44">
        <f t="shared" si="1"/>
        <v>-4.3999999999999997E-2</v>
      </c>
    </row>
    <row r="45" spans="1:5" x14ac:dyDescent="0.3">
      <c r="A45" t="s">
        <v>186</v>
      </c>
      <c r="B45" t="s">
        <v>44</v>
      </c>
      <c r="C45" t="s">
        <v>187</v>
      </c>
      <c r="D45">
        <f>COUNTIFS(Goals!$D$2:$D$361,"Goal",Goals!$E$2:$E$361,C45,Goals!$F$2:$F$361,B45)</f>
        <v>0</v>
      </c>
      <c r="E45">
        <f t="shared" si="1"/>
        <v>-4.4999999999999998E-2</v>
      </c>
    </row>
    <row r="46" spans="1:5" x14ac:dyDescent="0.3">
      <c r="A46" t="s">
        <v>189</v>
      </c>
      <c r="B46" t="s">
        <v>44</v>
      </c>
      <c r="C46" t="s">
        <v>190</v>
      </c>
      <c r="D46">
        <f>COUNTIFS(Goals!$D$2:$D$361,"Goal",Goals!$E$2:$E$361,C46,Goals!$F$2:$F$361,B46)</f>
        <v>0</v>
      </c>
      <c r="E46">
        <f t="shared" si="1"/>
        <v>-4.5999999999999999E-2</v>
      </c>
    </row>
    <row r="47" spans="1:5" x14ac:dyDescent="0.3">
      <c r="A47" t="s">
        <v>192</v>
      </c>
      <c r="B47" t="s">
        <v>44</v>
      </c>
      <c r="C47" t="s">
        <v>193</v>
      </c>
      <c r="D47">
        <f>COUNTIFS(Goals!$D$2:$D$361,"Goal",Goals!$E$2:$E$361,C47,Goals!$F$2:$F$361,B47)</f>
        <v>0</v>
      </c>
      <c r="E47">
        <f t="shared" si="1"/>
        <v>-4.7E-2</v>
      </c>
    </row>
    <row r="48" spans="1:5" x14ac:dyDescent="0.3">
      <c r="A48" t="s">
        <v>195</v>
      </c>
      <c r="B48" t="s">
        <v>44</v>
      </c>
      <c r="C48" t="s">
        <v>196</v>
      </c>
      <c r="D48">
        <f>COUNTIFS(Goals!$D$2:$D$361,"Goal",Goals!$E$2:$E$361,C48,Goals!$F$2:$F$361,B48)</f>
        <v>0</v>
      </c>
      <c r="E48">
        <f t="shared" si="1"/>
        <v>-4.8000000000000001E-2</v>
      </c>
    </row>
    <row r="49" spans="1:5" x14ac:dyDescent="0.3">
      <c r="A49" t="s">
        <v>198</v>
      </c>
      <c r="B49" t="s">
        <v>44</v>
      </c>
      <c r="C49" t="s">
        <v>199</v>
      </c>
      <c r="D49">
        <f>COUNTIFS(Goals!$D$2:$D$361,"Goal",Goals!$E$2:$E$361,C49,Goals!$F$2:$F$361,B49)</f>
        <v>0</v>
      </c>
      <c r="E49">
        <f t="shared" si="1"/>
        <v>-4.9000000000000002E-2</v>
      </c>
    </row>
    <row r="50" spans="1:5" x14ac:dyDescent="0.3">
      <c r="A50" t="s">
        <v>201</v>
      </c>
      <c r="B50" t="s">
        <v>44</v>
      </c>
      <c r="C50" t="s">
        <v>202</v>
      </c>
      <c r="D50">
        <f>COUNTIFS(Goals!$D$2:$D$361,"Goal",Goals!$E$2:$E$361,C50,Goals!$F$2:$F$361,B50)</f>
        <v>0</v>
      </c>
      <c r="E50">
        <f t="shared" si="1"/>
        <v>-0.05</v>
      </c>
    </row>
    <row r="51" spans="1:5" x14ac:dyDescent="0.3">
      <c r="A51" t="s">
        <v>204</v>
      </c>
      <c r="B51" t="s">
        <v>44</v>
      </c>
      <c r="C51" t="s">
        <v>205</v>
      </c>
      <c r="D51">
        <f>COUNTIFS(Goals!$D$2:$D$361,"Goal",Goals!$E$2:$E$361,C51,Goals!$F$2:$F$361,B51)</f>
        <v>0</v>
      </c>
      <c r="E51">
        <f t="shared" si="1"/>
        <v>-5.0999999999999997E-2</v>
      </c>
    </row>
    <row r="52" spans="1:5" x14ac:dyDescent="0.3">
      <c r="A52" t="s">
        <v>207</v>
      </c>
      <c r="B52" t="s">
        <v>46</v>
      </c>
      <c r="C52" t="s">
        <v>207</v>
      </c>
      <c r="D52">
        <f>COUNTIFS(Goals!$D$2:$D$361,"Goal",Goals!$E$2:$E$361,C52,Goals!$F$2:$F$361,B52)</f>
        <v>0</v>
      </c>
      <c r="E52">
        <f t="shared" si="1"/>
        <v>-5.1999999999999998E-2</v>
      </c>
    </row>
    <row r="53" spans="1:5" x14ac:dyDescent="0.3">
      <c r="A53" t="s">
        <v>209</v>
      </c>
      <c r="B53" t="s">
        <v>46</v>
      </c>
      <c r="C53" t="s">
        <v>209</v>
      </c>
      <c r="D53">
        <f>COUNTIFS(Goals!$D$2:$D$361,"Goal",Goals!$E$2:$E$361,C53,Goals!$F$2:$F$361,B53)</f>
        <v>0</v>
      </c>
      <c r="E53">
        <f t="shared" si="1"/>
        <v>-5.2999999999999999E-2</v>
      </c>
    </row>
    <row r="54" spans="1:5" x14ac:dyDescent="0.3">
      <c r="A54" t="s">
        <v>211</v>
      </c>
      <c r="B54" t="s">
        <v>46</v>
      </c>
      <c r="C54" t="s">
        <v>211</v>
      </c>
      <c r="D54">
        <f>COUNTIFS(Goals!$D$2:$D$361,"Goal",Goals!$E$2:$E$361,C54,Goals!$F$2:$F$361,B54)</f>
        <v>0</v>
      </c>
      <c r="E54">
        <f t="shared" si="1"/>
        <v>-5.3999999999999999E-2</v>
      </c>
    </row>
    <row r="55" spans="1:5" x14ac:dyDescent="0.3">
      <c r="A55" t="s">
        <v>213</v>
      </c>
      <c r="B55" t="s">
        <v>46</v>
      </c>
      <c r="C55" t="s">
        <v>213</v>
      </c>
      <c r="D55">
        <f>COUNTIFS(Goals!$D$2:$D$361,"Goal",Goals!$E$2:$E$361,C55,Goals!$F$2:$F$361,B55)</f>
        <v>0</v>
      </c>
      <c r="E55">
        <f t="shared" si="1"/>
        <v>-5.5E-2</v>
      </c>
    </row>
    <row r="56" spans="1:5" x14ac:dyDescent="0.3">
      <c r="A56" t="s">
        <v>215</v>
      </c>
      <c r="B56" t="s">
        <v>46</v>
      </c>
      <c r="C56" t="s">
        <v>215</v>
      </c>
      <c r="D56">
        <f>COUNTIFS(Goals!$D$2:$D$361,"Goal",Goals!$E$2:$E$361,C56,Goals!$F$2:$F$361,B56)</f>
        <v>0</v>
      </c>
      <c r="E56">
        <f t="shared" si="1"/>
        <v>-5.6000000000000001E-2</v>
      </c>
    </row>
    <row r="57" spans="1:5" x14ac:dyDescent="0.3">
      <c r="A57" t="s">
        <v>217</v>
      </c>
      <c r="B57" t="s">
        <v>46</v>
      </c>
      <c r="C57" t="s">
        <v>217</v>
      </c>
      <c r="D57">
        <f>COUNTIFS(Goals!$D$2:$D$361,"Goal",Goals!$E$2:$E$361,C57,Goals!$F$2:$F$361,B57)</f>
        <v>0</v>
      </c>
      <c r="E57">
        <f t="shared" si="1"/>
        <v>-5.7000000000000002E-2</v>
      </c>
    </row>
    <row r="58" spans="1:5" x14ac:dyDescent="0.3">
      <c r="A58" t="s">
        <v>219</v>
      </c>
      <c r="B58" t="s">
        <v>46</v>
      </c>
      <c r="C58" t="s">
        <v>219</v>
      </c>
      <c r="D58">
        <f>COUNTIFS(Goals!$D$2:$D$361,"Goal",Goals!$E$2:$E$361,C58,Goals!$F$2:$F$361,B58)</f>
        <v>0</v>
      </c>
      <c r="E58">
        <f t="shared" si="1"/>
        <v>-5.8000000000000003E-2</v>
      </c>
    </row>
    <row r="59" spans="1:5" x14ac:dyDescent="0.3">
      <c r="A59" t="s">
        <v>221</v>
      </c>
      <c r="B59" t="s">
        <v>46</v>
      </c>
      <c r="C59" t="s">
        <v>221</v>
      </c>
      <c r="D59">
        <f>COUNTIFS(Goals!$D$2:$D$361,"Goal",Goals!$E$2:$E$361,C59,Goals!$F$2:$F$361,B59)</f>
        <v>0</v>
      </c>
      <c r="E59">
        <f t="shared" si="1"/>
        <v>-5.8999999999999997E-2</v>
      </c>
    </row>
    <row r="60" spans="1:5" x14ac:dyDescent="0.3">
      <c r="A60" t="s">
        <v>223</v>
      </c>
      <c r="B60" t="s">
        <v>46</v>
      </c>
      <c r="C60" t="s">
        <v>223</v>
      </c>
      <c r="D60">
        <f>COUNTIFS(Goals!$D$2:$D$361,"Goal",Goals!$E$2:$E$361,C60,Goals!$F$2:$F$361,B60)</f>
        <v>0</v>
      </c>
      <c r="E60">
        <f t="shared" si="1"/>
        <v>-0.06</v>
      </c>
    </row>
    <row r="61" spans="1:5" x14ac:dyDescent="0.3">
      <c r="A61" t="s">
        <v>225</v>
      </c>
      <c r="B61" t="s">
        <v>46</v>
      </c>
      <c r="C61" t="s">
        <v>226</v>
      </c>
      <c r="D61">
        <f>COUNTIFS(Goals!$D$2:$D$361,"Goal",Goals!$E$2:$E$361,C61,Goals!$F$2:$F$361,B61)</f>
        <v>0</v>
      </c>
      <c r="E61">
        <f t="shared" si="1"/>
        <v>-6.0999999999999999E-2</v>
      </c>
    </row>
    <row r="62" spans="1:5" x14ac:dyDescent="0.3">
      <c r="A62" t="s">
        <v>228</v>
      </c>
      <c r="B62" t="s">
        <v>46</v>
      </c>
      <c r="C62" t="s">
        <v>228</v>
      </c>
      <c r="D62">
        <f>COUNTIFS(Goals!$D$2:$D$361,"Goal",Goals!$E$2:$E$361,C62,Goals!$F$2:$F$361,B62)</f>
        <v>0</v>
      </c>
      <c r="E62">
        <f t="shared" si="1"/>
        <v>-6.2E-2</v>
      </c>
    </row>
    <row r="63" spans="1:5" x14ac:dyDescent="0.3">
      <c r="A63" t="s">
        <v>230</v>
      </c>
      <c r="B63" t="s">
        <v>48</v>
      </c>
      <c r="C63" t="s">
        <v>231</v>
      </c>
      <c r="D63">
        <f>COUNTIFS(Goals!$D$2:$D$361,"Goal",Goals!$E$2:$E$361,C63,Goals!$F$2:$F$361,B63)</f>
        <v>0</v>
      </c>
      <c r="E63">
        <f t="shared" si="1"/>
        <v>-6.3E-2</v>
      </c>
    </row>
    <row r="64" spans="1:5" x14ac:dyDescent="0.3">
      <c r="A64" t="s">
        <v>233</v>
      </c>
      <c r="B64" t="s">
        <v>48</v>
      </c>
      <c r="C64" t="s">
        <v>234</v>
      </c>
      <c r="D64">
        <f>COUNTIFS(Goals!$D$2:$D$361,"Goal",Goals!$E$2:$E$361,C64,Goals!$F$2:$F$361,B64)</f>
        <v>0</v>
      </c>
      <c r="E64">
        <f t="shared" si="1"/>
        <v>-6.4000000000000001E-2</v>
      </c>
    </row>
    <row r="65" spans="1:5" x14ac:dyDescent="0.3">
      <c r="A65" t="s">
        <v>236</v>
      </c>
      <c r="B65" t="s">
        <v>48</v>
      </c>
      <c r="C65" t="s">
        <v>237</v>
      </c>
      <c r="D65">
        <f>COUNTIFS(Goals!$D$2:$D$361,"Goal",Goals!$E$2:$E$361,C65,Goals!$F$2:$F$361,B65)</f>
        <v>0</v>
      </c>
      <c r="E65">
        <f t="shared" si="1"/>
        <v>-6.5000000000000002E-2</v>
      </c>
    </row>
    <row r="66" spans="1:5" x14ac:dyDescent="0.3">
      <c r="A66" t="s">
        <v>239</v>
      </c>
      <c r="B66" t="s">
        <v>48</v>
      </c>
      <c r="C66" t="s">
        <v>240</v>
      </c>
      <c r="D66">
        <f>COUNTIFS(Goals!$D$2:$D$361,"Goal",Goals!$E$2:$E$361,C66,Goals!$F$2:$F$361,B66)</f>
        <v>0</v>
      </c>
      <c r="E66">
        <f t="shared" ref="E66:E97" si="2">D66*100000-ROW()/1000</f>
        <v>-6.6000000000000003E-2</v>
      </c>
    </row>
    <row r="67" spans="1:5" x14ac:dyDescent="0.3">
      <c r="A67" t="s">
        <v>242</v>
      </c>
      <c r="B67" t="s">
        <v>48</v>
      </c>
      <c r="C67" t="s">
        <v>243</v>
      </c>
      <c r="D67">
        <f>COUNTIFS(Goals!$D$2:$D$361,"Goal",Goals!$E$2:$E$361,C67,Goals!$F$2:$F$361,B67)</f>
        <v>0</v>
      </c>
      <c r="E67">
        <f t="shared" si="2"/>
        <v>-6.7000000000000004E-2</v>
      </c>
    </row>
    <row r="68" spans="1:5" x14ac:dyDescent="0.3">
      <c r="A68" t="s">
        <v>245</v>
      </c>
      <c r="B68" t="s">
        <v>48</v>
      </c>
      <c r="C68" t="s">
        <v>246</v>
      </c>
      <c r="D68">
        <f>COUNTIFS(Goals!$D$2:$D$361,"Goal",Goals!$E$2:$E$361,C68,Goals!$F$2:$F$361,B68)</f>
        <v>0</v>
      </c>
      <c r="E68">
        <f t="shared" si="2"/>
        <v>-6.8000000000000005E-2</v>
      </c>
    </row>
    <row r="69" spans="1:5" x14ac:dyDescent="0.3">
      <c r="A69" t="s">
        <v>248</v>
      </c>
      <c r="B69" t="s">
        <v>48</v>
      </c>
      <c r="C69" t="s">
        <v>249</v>
      </c>
      <c r="D69">
        <f>COUNTIFS(Goals!$D$2:$D$361,"Goal",Goals!$E$2:$E$361,C69,Goals!$F$2:$F$361,B69)</f>
        <v>0</v>
      </c>
      <c r="E69">
        <f t="shared" si="2"/>
        <v>-6.9000000000000006E-2</v>
      </c>
    </row>
    <row r="70" spans="1:5" x14ac:dyDescent="0.3">
      <c r="A70" t="s">
        <v>251</v>
      </c>
      <c r="B70" t="s">
        <v>48</v>
      </c>
      <c r="C70" t="s">
        <v>252</v>
      </c>
      <c r="D70">
        <f>COUNTIFS(Goals!$D$2:$D$361,"Goal",Goals!$E$2:$E$361,C70,Goals!$F$2:$F$361,B70)</f>
        <v>0</v>
      </c>
      <c r="E70">
        <f t="shared" si="2"/>
        <v>-7.0000000000000007E-2</v>
      </c>
    </row>
    <row r="71" spans="1:5" x14ac:dyDescent="0.3">
      <c r="A71" t="s">
        <v>254</v>
      </c>
      <c r="B71" t="s">
        <v>48</v>
      </c>
      <c r="C71" t="s">
        <v>255</v>
      </c>
      <c r="D71">
        <f>COUNTIFS(Goals!$D$2:$D$361,"Goal",Goals!$E$2:$E$361,C71,Goals!$F$2:$F$361,B71)</f>
        <v>0</v>
      </c>
      <c r="E71">
        <f t="shared" si="2"/>
        <v>-7.0999999999999994E-2</v>
      </c>
    </row>
    <row r="72" spans="1:5" x14ac:dyDescent="0.3">
      <c r="A72" t="s">
        <v>257</v>
      </c>
      <c r="B72" t="s">
        <v>48</v>
      </c>
      <c r="C72" t="s">
        <v>258</v>
      </c>
      <c r="D72">
        <f>COUNTIFS(Goals!$D$2:$D$361,"Goal",Goals!$E$2:$E$361,C72,Goals!$F$2:$F$361,B72)</f>
        <v>0</v>
      </c>
      <c r="E72">
        <f t="shared" si="2"/>
        <v>-7.1999999999999995E-2</v>
      </c>
    </row>
    <row r="73" spans="1:5" x14ac:dyDescent="0.3">
      <c r="A73" t="s">
        <v>260</v>
      </c>
      <c r="B73" t="s">
        <v>48</v>
      </c>
      <c r="C73" t="s">
        <v>261</v>
      </c>
      <c r="D73">
        <f>COUNTIFS(Goals!$D$2:$D$361,"Goal",Goals!$E$2:$E$361,C73,Goals!$F$2:$F$361,B73)</f>
        <v>0</v>
      </c>
      <c r="E73">
        <f t="shared" si="2"/>
        <v>-7.2999999999999995E-2</v>
      </c>
    </row>
    <row r="74" spans="1:5" x14ac:dyDescent="0.3">
      <c r="A74" t="s">
        <v>263</v>
      </c>
      <c r="B74" t="s">
        <v>50</v>
      </c>
      <c r="C74" t="s">
        <v>264</v>
      </c>
      <c r="D74">
        <f>COUNTIFS(Goals!$D$2:$D$361,"Goal",Goals!$E$2:$E$361,C74,Goals!$F$2:$F$361,B74)</f>
        <v>0</v>
      </c>
      <c r="E74">
        <f t="shared" si="2"/>
        <v>-7.3999999999999996E-2</v>
      </c>
    </row>
    <row r="75" spans="1:5" x14ac:dyDescent="0.3">
      <c r="A75" t="s">
        <v>266</v>
      </c>
      <c r="B75" t="s">
        <v>50</v>
      </c>
      <c r="C75" t="s">
        <v>267</v>
      </c>
      <c r="D75">
        <f>COUNTIFS(Goals!$D$2:$D$361,"Goal",Goals!$E$2:$E$361,C75,Goals!$F$2:$F$361,B75)</f>
        <v>0</v>
      </c>
      <c r="E75">
        <f t="shared" si="2"/>
        <v>-7.4999999999999997E-2</v>
      </c>
    </row>
    <row r="76" spans="1:5" x14ac:dyDescent="0.3">
      <c r="A76" t="s">
        <v>269</v>
      </c>
      <c r="B76" t="s">
        <v>50</v>
      </c>
      <c r="C76" t="s">
        <v>270</v>
      </c>
      <c r="D76">
        <f>COUNTIFS(Goals!$D$2:$D$361,"Goal",Goals!$E$2:$E$361,C76,Goals!$F$2:$F$361,B76)</f>
        <v>0</v>
      </c>
      <c r="E76">
        <f t="shared" si="2"/>
        <v>-7.5999999999999998E-2</v>
      </c>
    </row>
    <row r="77" spans="1:5" x14ac:dyDescent="0.3">
      <c r="A77" t="s">
        <v>272</v>
      </c>
      <c r="B77" t="s">
        <v>50</v>
      </c>
      <c r="C77" t="s">
        <v>273</v>
      </c>
      <c r="D77">
        <f>COUNTIFS(Goals!$D$2:$D$361,"Goal",Goals!$E$2:$E$361,C77,Goals!$F$2:$F$361,B77)</f>
        <v>0</v>
      </c>
      <c r="E77">
        <f t="shared" si="2"/>
        <v>-7.6999999999999999E-2</v>
      </c>
    </row>
    <row r="78" spans="1:5" x14ac:dyDescent="0.3">
      <c r="A78" t="s">
        <v>275</v>
      </c>
      <c r="B78" t="s">
        <v>50</v>
      </c>
      <c r="C78" t="s">
        <v>276</v>
      </c>
      <c r="D78">
        <f>COUNTIFS(Goals!$D$2:$D$361,"Goal",Goals!$E$2:$E$361,C78,Goals!$F$2:$F$361,B78)</f>
        <v>0</v>
      </c>
      <c r="E78">
        <f t="shared" si="2"/>
        <v>-7.8E-2</v>
      </c>
    </row>
    <row r="79" spans="1:5" x14ac:dyDescent="0.3">
      <c r="A79" t="s">
        <v>278</v>
      </c>
      <c r="B79" t="s">
        <v>50</v>
      </c>
      <c r="C79" t="s">
        <v>279</v>
      </c>
      <c r="D79">
        <f>COUNTIFS(Goals!$D$2:$D$361,"Goal",Goals!$E$2:$E$361,C79,Goals!$F$2:$F$361,B79)</f>
        <v>0</v>
      </c>
      <c r="E79">
        <f t="shared" si="2"/>
        <v>-7.9000000000000001E-2</v>
      </c>
    </row>
    <row r="80" spans="1:5" x14ac:dyDescent="0.3">
      <c r="A80" t="s">
        <v>281</v>
      </c>
      <c r="B80" t="s">
        <v>53</v>
      </c>
      <c r="C80" t="s">
        <v>282</v>
      </c>
      <c r="D80">
        <f>COUNTIFS(Goals!$D$2:$D$361,"Goal",Goals!$E$2:$E$361,C80,Goals!$F$2:$F$361,B80)</f>
        <v>0</v>
      </c>
      <c r="E80">
        <f t="shared" si="2"/>
        <v>-0.08</v>
      </c>
    </row>
    <row r="81" spans="1:5" x14ac:dyDescent="0.3">
      <c r="A81" t="s">
        <v>284</v>
      </c>
      <c r="B81" t="s">
        <v>53</v>
      </c>
      <c r="C81" t="s">
        <v>285</v>
      </c>
      <c r="D81">
        <f>COUNTIFS(Goals!$D$2:$D$361,"Goal",Goals!$E$2:$E$361,C81,Goals!$F$2:$F$361,B81)</f>
        <v>0</v>
      </c>
      <c r="E81">
        <f t="shared" si="2"/>
        <v>-8.1000000000000003E-2</v>
      </c>
    </row>
    <row r="82" spans="1:5" x14ac:dyDescent="0.3">
      <c r="A82" t="s">
        <v>287</v>
      </c>
      <c r="B82" t="s">
        <v>53</v>
      </c>
      <c r="C82" t="s">
        <v>288</v>
      </c>
      <c r="D82">
        <f>COUNTIFS(Goals!$D$2:$D$361,"Goal",Goals!$E$2:$E$361,C82,Goals!$F$2:$F$361,B82)</f>
        <v>0</v>
      </c>
      <c r="E82">
        <f t="shared" si="2"/>
        <v>-8.2000000000000003E-2</v>
      </c>
    </row>
    <row r="83" spans="1:5" x14ac:dyDescent="0.3">
      <c r="A83" t="s">
        <v>290</v>
      </c>
      <c r="B83" t="s">
        <v>53</v>
      </c>
      <c r="C83" t="s">
        <v>291</v>
      </c>
      <c r="D83">
        <f>COUNTIFS(Goals!$D$2:$D$361,"Goal",Goals!$E$2:$E$361,C83,Goals!$F$2:$F$361,B83)</f>
        <v>0</v>
      </c>
      <c r="E83">
        <f t="shared" si="2"/>
        <v>-8.3000000000000004E-2</v>
      </c>
    </row>
    <row r="84" spans="1:5" x14ac:dyDescent="0.3">
      <c r="A84" t="s">
        <v>293</v>
      </c>
      <c r="B84" t="s">
        <v>53</v>
      </c>
      <c r="C84" t="s">
        <v>294</v>
      </c>
      <c r="D84">
        <f>COUNTIFS(Goals!$D$2:$D$361,"Goal",Goals!$E$2:$E$361,C84,Goals!$F$2:$F$361,B84)</f>
        <v>0</v>
      </c>
      <c r="E84">
        <f t="shared" si="2"/>
        <v>-8.4000000000000005E-2</v>
      </c>
    </row>
    <row r="85" spans="1:5" x14ac:dyDescent="0.3">
      <c r="A85" t="s">
        <v>296</v>
      </c>
      <c r="B85" t="s">
        <v>53</v>
      </c>
      <c r="C85" t="s">
        <v>297</v>
      </c>
      <c r="D85">
        <f>COUNTIFS(Goals!$D$2:$D$361,"Goal",Goals!$E$2:$E$361,C85,Goals!$F$2:$F$361,B85)</f>
        <v>0</v>
      </c>
      <c r="E85">
        <f t="shared" si="2"/>
        <v>-8.5000000000000006E-2</v>
      </c>
    </row>
    <row r="86" spans="1:5" x14ac:dyDescent="0.3">
      <c r="A86" t="s">
        <v>299</v>
      </c>
      <c r="B86" t="s">
        <v>53</v>
      </c>
      <c r="C86" t="s">
        <v>300</v>
      </c>
      <c r="D86">
        <f>COUNTIFS(Goals!$D$2:$D$361,"Goal",Goals!$E$2:$E$361,C86,Goals!$F$2:$F$361,B86)</f>
        <v>0</v>
      </c>
      <c r="E86">
        <f t="shared" si="2"/>
        <v>-8.5999999999999993E-2</v>
      </c>
    </row>
    <row r="87" spans="1:5" x14ac:dyDescent="0.3">
      <c r="A87" t="s">
        <v>302</v>
      </c>
      <c r="B87" t="s">
        <v>53</v>
      </c>
      <c r="C87" t="s">
        <v>303</v>
      </c>
      <c r="D87">
        <f>COUNTIFS(Goals!$D$2:$D$361,"Goal",Goals!$E$2:$E$361,C87,Goals!$F$2:$F$361,B87)</f>
        <v>0</v>
      </c>
      <c r="E87">
        <f t="shared" si="2"/>
        <v>-8.6999999999999994E-2</v>
      </c>
    </row>
    <row r="88" spans="1:5" x14ac:dyDescent="0.3">
      <c r="A88" t="s">
        <v>305</v>
      </c>
      <c r="B88" t="s">
        <v>55</v>
      </c>
      <c r="C88" t="s">
        <v>306</v>
      </c>
      <c r="D88">
        <f>COUNTIFS(Goals!$D$2:$D$361,"Goal",Goals!$E$2:$E$361,C88,Goals!$F$2:$F$361,B88)</f>
        <v>0</v>
      </c>
      <c r="E88">
        <f t="shared" si="2"/>
        <v>-8.7999999999999995E-2</v>
      </c>
    </row>
    <row r="89" spans="1:5" x14ac:dyDescent="0.3">
      <c r="A89" t="s">
        <v>308</v>
      </c>
      <c r="B89" t="s">
        <v>55</v>
      </c>
      <c r="C89" t="s">
        <v>309</v>
      </c>
      <c r="D89">
        <f>COUNTIFS(Goals!$D$2:$D$361,"Goal",Goals!$E$2:$E$361,C89,Goals!$F$2:$F$361,B89)</f>
        <v>0</v>
      </c>
      <c r="E89">
        <f t="shared" si="2"/>
        <v>-8.8999999999999996E-2</v>
      </c>
    </row>
    <row r="90" spans="1:5" x14ac:dyDescent="0.3">
      <c r="A90" t="s">
        <v>311</v>
      </c>
      <c r="B90" t="s">
        <v>55</v>
      </c>
      <c r="C90" t="s">
        <v>312</v>
      </c>
      <c r="D90">
        <f>COUNTIFS(Goals!$D$2:$D$361,"Goal",Goals!$E$2:$E$361,C90,Goals!$F$2:$F$361,B90)</f>
        <v>0</v>
      </c>
      <c r="E90">
        <f t="shared" si="2"/>
        <v>-0.09</v>
      </c>
    </row>
    <row r="91" spans="1:5" x14ac:dyDescent="0.3">
      <c r="A91" t="s">
        <v>314</v>
      </c>
      <c r="B91" t="s">
        <v>55</v>
      </c>
      <c r="C91" t="s">
        <v>315</v>
      </c>
      <c r="D91">
        <f>COUNTIFS(Goals!$D$2:$D$361,"Goal",Goals!$E$2:$E$361,C91,Goals!$F$2:$F$361,B91)</f>
        <v>0</v>
      </c>
      <c r="E91">
        <f t="shared" si="2"/>
        <v>-9.0999999999999998E-2</v>
      </c>
    </row>
    <row r="92" spans="1:5" x14ac:dyDescent="0.3">
      <c r="A92" t="s">
        <v>317</v>
      </c>
      <c r="B92" t="s">
        <v>55</v>
      </c>
      <c r="C92" t="s">
        <v>318</v>
      </c>
      <c r="D92">
        <f>COUNTIFS(Goals!$D$2:$D$361,"Goal",Goals!$E$2:$E$361,C92,Goals!$F$2:$F$361,B92)</f>
        <v>0</v>
      </c>
      <c r="E92">
        <f t="shared" si="2"/>
        <v>-9.1999999999999998E-2</v>
      </c>
    </row>
    <row r="93" spans="1:5" x14ac:dyDescent="0.3">
      <c r="A93" t="s">
        <v>320</v>
      </c>
      <c r="B93" t="s">
        <v>55</v>
      </c>
      <c r="C93" t="s">
        <v>321</v>
      </c>
      <c r="D93">
        <f>COUNTIFS(Goals!$D$2:$D$361,"Goal",Goals!$E$2:$E$361,C93,Goals!$F$2:$F$361,B93)</f>
        <v>0</v>
      </c>
      <c r="E93">
        <f t="shared" si="2"/>
        <v>-9.2999999999999999E-2</v>
      </c>
    </row>
    <row r="94" spans="1:5" x14ac:dyDescent="0.3">
      <c r="A94" t="s">
        <v>323</v>
      </c>
      <c r="B94" t="s">
        <v>55</v>
      </c>
      <c r="C94" t="s">
        <v>324</v>
      </c>
      <c r="D94">
        <f>COUNTIFS(Goals!$D$2:$D$361,"Goal",Goals!$E$2:$E$361,C94,Goals!$F$2:$F$361,B94)</f>
        <v>0</v>
      </c>
      <c r="E94">
        <f t="shared" si="2"/>
        <v>-9.4E-2</v>
      </c>
    </row>
    <row r="95" spans="1:5" x14ac:dyDescent="0.3">
      <c r="A95" t="s">
        <v>326</v>
      </c>
      <c r="B95" t="s">
        <v>55</v>
      </c>
      <c r="C95" t="s">
        <v>327</v>
      </c>
      <c r="D95">
        <f>COUNTIFS(Goals!$D$2:$D$361,"Goal",Goals!$E$2:$E$361,C95,Goals!$F$2:$F$361,B95)</f>
        <v>0</v>
      </c>
      <c r="E95">
        <f t="shared" si="2"/>
        <v>-9.5000000000000001E-2</v>
      </c>
    </row>
    <row r="96" spans="1:5" x14ac:dyDescent="0.3">
      <c r="A96" t="s">
        <v>329</v>
      </c>
      <c r="B96" t="s">
        <v>55</v>
      </c>
      <c r="C96" t="s">
        <v>330</v>
      </c>
      <c r="D96">
        <f>COUNTIFS(Goals!$D$2:$D$361,"Goal",Goals!$E$2:$E$361,C96,Goals!$F$2:$F$361,B96)</f>
        <v>0</v>
      </c>
      <c r="E96">
        <f t="shared" si="2"/>
        <v>-9.6000000000000002E-2</v>
      </c>
    </row>
    <row r="97" spans="1:5" x14ac:dyDescent="0.3">
      <c r="A97" t="s">
        <v>332</v>
      </c>
      <c r="B97" t="s">
        <v>55</v>
      </c>
      <c r="C97" t="s">
        <v>333</v>
      </c>
      <c r="D97">
        <f>COUNTIFS(Goals!$D$2:$D$361,"Goal",Goals!$E$2:$E$361,C97,Goals!$F$2:$F$361,B97)</f>
        <v>0</v>
      </c>
      <c r="E97">
        <f t="shared" si="2"/>
        <v>-9.7000000000000003E-2</v>
      </c>
    </row>
    <row r="98" spans="1:5" x14ac:dyDescent="0.3">
      <c r="A98" t="s">
        <v>335</v>
      </c>
      <c r="B98" t="s">
        <v>57</v>
      </c>
      <c r="C98" t="s">
        <v>336</v>
      </c>
      <c r="D98">
        <f>COUNTIFS(Goals!$D$2:$D$361,"Goal",Goals!$E$2:$E$361,C98,Goals!$F$2:$F$361,B98)</f>
        <v>0</v>
      </c>
      <c r="E98">
        <f t="shared" ref="E98:E129" si="3">D98*100000-ROW()/1000</f>
        <v>-9.8000000000000004E-2</v>
      </c>
    </row>
    <row r="99" spans="1:5" x14ac:dyDescent="0.3">
      <c r="A99" t="s">
        <v>338</v>
      </c>
      <c r="B99" t="s">
        <v>57</v>
      </c>
      <c r="C99" t="s">
        <v>339</v>
      </c>
      <c r="D99">
        <f>COUNTIFS(Goals!$D$2:$D$361,"Goal",Goals!$E$2:$E$361,C99,Goals!$F$2:$F$361,B99)</f>
        <v>0</v>
      </c>
      <c r="E99">
        <f t="shared" si="3"/>
        <v>-9.9000000000000005E-2</v>
      </c>
    </row>
    <row r="100" spans="1:5" x14ac:dyDescent="0.3">
      <c r="A100" t="s">
        <v>341</v>
      </c>
      <c r="B100" t="s">
        <v>57</v>
      </c>
      <c r="C100" t="s">
        <v>342</v>
      </c>
      <c r="D100">
        <f>COUNTIFS(Goals!$D$2:$D$361,"Goal",Goals!$E$2:$E$361,C100,Goals!$F$2:$F$361,B100)</f>
        <v>0</v>
      </c>
      <c r="E100">
        <f t="shared" si="3"/>
        <v>-0.1</v>
      </c>
    </row>
    <row r="101" spans="1:5" x14ac:dyDescent="0.3">
      <c r="A101" t="s">
        <v>344</v>
      </c>
      <c r="B101" t="s">
        <v>57</v>
      </c>
      <c r="C101" t="s">
        <v>345</v>
      </c>
      <c r="D101">
        <f>COUNTIFS(Goals!$D$2:$D$361,"Goal",Goals!$E$2:$E$361,C101,Goals!$F$2:$F$361,B101)</f>
        <v>0</v>
      </c>
      <c r="E101">
        <f t="shared" si="3"/>
        <v>-0.10100000000000001</v>
      </c>
    </row>
    <row r="102" spans="1:5" x14ac:dyDescent="0.3">
      <c r="A102" t="s">
        <v>347</v>
      </c>
      <c r="B102" t="s">
        <v>57</v>
      </c>
      <c r="C102" t="s">
        <v>348</v>
      </c>
      <c r="D102">
        <f>COUNTIFS(Goals!$D$2:$D$361,"Goal",Goals!$E$2:$E$361,C102,Goals!$F$2:$F$361,B102)</f>
        <v>0</v>
      </c>
      <c r="E102">
        <f t="shared" si="3"/>
        <v>-0.10199999999999999</v>
      </c>
    </row>
    <row r="103" spans="1:5" x14ac:dyDescent="0.3">
      <c r="A103" t="s">
        <v>350</v>
      </c>
      <c r="B103" t="s">
        <v>57</v>
      </c>
      <c r="C103" t="s">
        <v>351</v>
      </c>
      <c r="D103">
        <f>COUNTIFS(Goals!$D$2:$D$361,"Goal",Goals!$E$2:$E$361,C103,Goals!$F$2:$F$361,B103)</f>
        <v>0</v>
      </c>
      <c r="E103">
        <f t="shared" si="3"/>
        <v>-0.10299999999999999</v>
      </c>
    </row>
    <row r="104" spans="1:5" x14ac:dyDescent="0.3">
      <c r="A104" t="s">
        <v>353</v>
      </c>
      <c r="B104" t="s">
        <v>57</v>
      </c>
      <c r="C104" t="s">
        <v>354</v>
      </c>
      <c r="D104">
        <f>COUNTIFS(Goals!$D$2:$D$361,"Goal",Goals!$E$2:$E$361,C104,Goals!$F$2:$F$361,B104)</f>
        <v>0</v>
      </c>
      <c r="E104">
        <f t="shared" si="3"/>
        <v>-0.104</v>
      </c>
    </row>
    <row r="105" spans="1:5" x14ac:dyDescent="0.3">
      <c r="A105" t="s">
        <v>356</v>
      </c>
      <c r="B105" t="s">
        <v>57</v>
      </c>
      <c r="C105" t="s">
        <v>357</v>
      </c>
      <c r="D105">
        <f>COUNTIFS(Goals!$D$2:$D$361,"Goal",Goals!$E$2:$E$361,C105,Goals!$F$2:$F$361,B105)</f>
        <v>0</v>
      </c>
      <c r="E105">
        <f t="shared" si="3"/>
        <v>-0.105</v>
      </c>
    </row>
    <row r="106" spans="1:5" x14ac:dyDescent="0.3">
      <c r="A106" t="s">
        <v>359</v>
      </c>
      <c r="B106" t="s">
        <v>57</v>
      </c>
      <c r="C106" t="s">
        <v>360</v>
      </c>
      <c r="D106">
        <f>COUNTIFS(Goals!$D$2:$D$361,"Goal",Goals!$E$2:$E$361,C106,Goals!$F$2:$F$361,B106)</f>
        <v>0</v>
      </c>
      <c r="E106">
        <f t="shared" si="3"/>
        <v>-0.106</v>
      </c>
    </row>
    <row r="107" spans="1:5" x14ac:dyDescent="0.3">
      <c r="A107" t="s">
        <v>362</v>
      </c>
      <c r="B107" t="s">
        <v>57</v>
      </c>
      <c r="C107" t="s">
        <v>363</v>
      </c>
      <c r="D107">
        <f>COUNTIFS(Goals!$D$2:$D$361,"Goal",Goals!$E$2:$E$361,C107,Goals!$F$2:$F$361,B107)</f>
        <v>0</v>
      </c>
      <c r="E107">
        <f t="shared" si="3"/>
        <v>-0.107</v>
      </c>
    </row>
    <row r="108" spans="1:5" x14ac:dyDescent="0.3">
      <c r="A108" t="s">
        <v>365</v>
      </c>
      <c r="B108" t="s">
        <v>59</v>
      </c>
      <c r="C108" t="s">
        <v>366</v>
      </c>
      <c r="D108">
        <f>COUNTIFS(Goals!$D$2:$D$361,"Goal",Goals!$E$2:$E$361,C108,Goals!$F$2:$F$361,B108)</f>
        <v>0</v>
      </c>
      <c r="E108">
        <f t="shared" si="3"/>
        <v>-0.108</v>
      </c>
    </row>
    <row r="109" spans="1:5" x14ac:dyDescent="0.3">
      <c r="A109" t="s">
        <v>368</v>
      </c>
      <c r="B109" t="s">
        <v>59</v>
      </c>
      <c r="C109" t="s">
        <v>369</v>
      </c>
      <c r="D109">
        <f>COUNTIFS(Goals!$D$2:$D$361,"Goal",Goals!$E$2:$E$361,C109,Goals!$F$2:$F$361,B109)</f>
        <v>0</v>
      </c>
      <c r="E109">
        <f t="shared" si="3"/>
        <v>-0.109</v>
      </c>
    </row>
    <row r="110" spans="1:5" x14ac:dyDescent="0.3">
      <c r="A110" t="s">
        <v>371</v>
      </c>
      <c r="B110" t="s">
        <v>59</v>
      </c>
      <c r="C110" t="s">
        <v>372</v>
      </c>
      <c r="D110">
        <f>COUNTIFS(Goals!$D$2:$D$361,"Goal",Goals!$E$2:$E$361,C110,Goals!$F$2:$F$361,B110)</f>
        <v>0</v>
      </c>
      <c r="E110">
        <f t="shared" si="3"/>
        <v>-0.11</v>
      </c>
    </row>
    <row r="111" spans="1:5" x14ac:dyDescent="0.3">
      <c r="A111" t="s">
        <v>374</v>
      </c>
      <c r="B111" t="s">
        <v>59</v>
      </c>
      <c r="C111" t="s">
        <v>375</v>
      </c>
      <c r="D111">
        <f>COUNTIFS(Goals!$D$2:$D$361,"Goal",Goals!$E$2:$E$361,C111,Goals!$F$2:$F$361,B111)</f>
        <v>0</v>
      </c>
      <c r="E111">
        <f t="shared" si="3"/>
        <v>-0.111</v>
      </c>
    </row>
    <row r="112" spans="1:5" x14ac:dyDescent="0.3">
      <c r="A112" t="s">
        <v>377</v>
      </c>
      <c r="B112" t="s">
        <v>59</v>
      </c>
      <c r="C112" t="s">
        <v>378</v>
      </c>
      <c r="D112">
        <f>COUNTIFS(Goals!$D$2:$D$361,"Goal",Goals!$E$2:$E$361,C112,Goals!$F$2:$F$361,B112)</f>
        <v>0</v>
      </c>
      <c r="E112">
        <f t="shared" si="3"/>
        <v>-0.112</v>
      </c>
    </row>
    <row r="113" spans="1:5" x14ac:dyDescent="0.3">
      <c r="A113" t="s">
        <v>380</v>
      </c>
      <c r="B113" t="s">
        <v>59</v>
      </c>
      <c r="C113" t="s">
        <v>381</v>
      </c>
      <c r="D113">
        <f>COUNTIFS(Goals!$D$2:$D$361,"Goal",Goals!$E$2:$E$361,C113,Goals!$F$2:$F$361,B113)</f>
        <v>0</v>
      </c>
      <c r="E113">
        <f t="shared" si="3"/>
        <v>-0.113</v>
      </c>
    </row>
    <row r="114" spans="1:5" x14ac:dyDescent="0.3">
      <c r="A114" t="s">
        <v>383</v>
      </c>
      <c r="B114" t="s">
        <v>59</v>
      </c>
      <c r="C114" t="s">
        <v>384</v>
      </c>
      <c r="D114">
        <f>COUNTIFS(Goals!$D$2:$D$361,"Goal",Goals!$E$2:$E$361,C114,Goals!$F$2:$F$361,B114)</f>
        <v>0</v>
      </c>
      <c r="E114">
        <f t="shared" si="3"/>
        <v>-0.114</v>
      </c>
    </row>
    <row r="115" spans="1:5" x14ac:dyDescent="0.3">
      <c r="A115" t="s">
        <v>386</v>
      </c>
      <c r="B115" t="s">
        <v>59</v>
      </c>
      <c r="C115" t="s">
        <v>387</v>
      </c>
      <c r="D115">
        <f>COUNTIFS(Goals!$D$2:$D$361,"Goal",Goals!$E$2:$E$361,C115,Goals!$F$2:$F$361,B115)</f>
        <v>0</v>
      </c>
      <c r="E115">
        <f t="shared" si="3"/>
        <v>-0.115</v>
      </c>
    </row>
    <row r="116" spans="1:5" x14ac:dyDescent="0.3">
      <c r="A116" t="s">
        <v>389</v>
      </c>
      <c r="B116" t="s">
        <v>59</v>
      </c>
      <c r="C116" t="s">
        <v>390</v>
      </c>
      <c r="D116">
        <f>COUNTIFS(Goals!$D$2:$D$361,"Goal",Goals!$E$2:$E$361,C116,Goals!$F$2:$F$361,B116)</f>
        <v>0</v>
      </c>
      <c r="E116">
        <f t="shared" si="3"/>
        <v>-0.11600000000000001</v>
      </c>
    </row>
    <row r="117" spans="1:5" x14ac:dyDescent="0.3">
      <c r="A117" t="s">
        <v>392</v>
      </c>
      <c r="B117" t="s">
        <v>59</v>
      </c>
      <c r="C117" t="s">
        <v>393</v>
      </c>
      <c r="D117">
        <f>COUNTIFS(Goals!$D$2:$D$361,"Goal",Goals!$E$2:$E$361,C117,Goals!$F$2:$F$361,B117)</f>
        <v>0</v>
      </c>
      <c r="E117">
        <f t="shared" si="3"/>
        <v>-0.11700000000000001</v>
      </c>
    </row>
    <row r="118" spans="1:5" x14ac:dyDescent="0.3">
      <c r="A118" t="s">
        <v>395</v>
      </c>
      <c r="B118" t="s">
        <v>62</v>
      </c>
      <c r="C118" t="s">
        <v>396</v>
      </c>
      <c r="D118">
        <f>COUNTIFS(Goals!$D$2:$D$361,"Goal",Goals!$E$2:$E$361,C118,Goals!$F$2:$F$361,B118)</f>
        <v>0</v>
      </c>
      <c r="E118">
        <f t="shared" si="3"/>
        <v>-0.11799999999999999</v>
      </c>
    </row>
    <row r="119" spans="1:5" x14ac:dyDescent="0.3">
      <c r="A119" t="s">
        <v>398</v>
      </c>
      <c r="B119" t="s">
        <v>62</v>
      </c>
      <c r="C119" t="s">
        <v>399</v>
      </c>
      <c r="D119">
        <f>COUNTIFS(Goals!$D$2:$D$361,"Goal",Goals!$E$2:$E$361,C119,Goals!$F$2:$F$361,B119)</f>
        <v>0</v>
      </c>
      <c r="E119">
        <f t="shared" si="3"/>
        <v>-0.11899999999999999</v>
      </c>
    </row>
    <row r="120" spans="1:5" x14ac:dyDescent="0.3">
      <c r="A120" t="s">
        <v>401</v>
      </c>
      <c r="B120" t="s">
        <v>62</v>
      </c>
      <c r="C120" t="s">
        <v>402</v>
      </c>
      <c r="D120">
        <f>COUNTIFS(Goals!$D$2:$D$361,"Goal",Goals!$E$2:$E$361,C120,Goals!$F$2:$F$361,B120)</f>
        <v>1</v>
      </c>
      <c r="E120">
        <f t="shared" si="3"/>
        <v>99999.88</v>
      </c>
    </row>
    <row r="121" spans="1:5" x14ac:dyDescent="0.3">
      <c r="A121" t="s">
        <v>404</v>
      </c>
      <c r="B121" t="s">
        <v>62</v>
      </c>
      <c r="C121" t="s">
        <v>405</v>
      </c>
      <c r="D121">
        <f>COUNTIFS(Goals!$D$2:$D$361,"Goal",Goals!$E$2:$E$361,C121,Goals!$F$2:$F$361,B121)</f>
        <v>0</v>
      </c>
      <c r="E121">
        <f t="shared" si="3"/>
        <v>-0.121</v>
      </c>
    </row>
    <row r="122" spans="1:5" x14ac:dyDescent="0.3">
      <c r="A122" t="s">
        <v>407</v>
      </c>
      <c r="B122" t="s">
        <v>62</v>
      </c>
      <c r="C122" t="s">
        <v>408</v>
      </c>
      <c r="D122">
        <f>COUNTIFS(Goals!$D$2:$D$361,"Goal",Goals!$E$2:$E$361,C122,Goals!$F$2:$F$361,B122)</f>
        <v>0</v>
      </c>
      <c r="E122">
        <f t="shared" si="3"/>
        <v>-0.122</v>
      </c>
    </row>
    <row r="123" spans="1:5" x14ac:dyDescent="0.3">
      <c r="A123" t="s">
        <v>410</v>
      </c>
      <c r="B123" t="s">
        <v>62</v>
      </c>
      <c r="C123" t="s">
        <v>411</v>
      </c>
      <c r="D123">
        <f>COUNTIFS(Goals!$D$2:$D$361,"Goal",Goals!$E$2:$E$361,C123,Goals!$F$2:$F$361,B123)</f>
        <v>0</v>
      </c>
      <c r="E123">
        <f t="shared" si="3"/>
        <v>-0.123</v>
      </c>
    </row>
    <row r="124" spans="1:5" x14ac:dyDescent="0.3">
      <c r="A124" t="s">
        <v>413</v>
      </c>
      <c r="B124" t="s">
        <v>62</v>
      </c>
      <c r="C124" t="s">
        <v>414</v>
      </c>
      <c r="D124">
        <f>COUNTIFS(Goals!$D$2:$D$361,"Goal",Goals!$E$2:$E$361,C124,Goals!$F$2:$F$361,B124)</f>
        <v>0</v>
      </c>
      <c r="E124">
        <f t="shared" si="3"/>
        <v>-0.124</v>
      </c>
    </row>
    <row r="125" spans="1:5" x14ac:dyDescent="0.3">
      <c r="A125" t="s">
        <v>416</v>
      </c>
      <c r="B125" t="s">
        <v>62</v>
      </c>
      <c r="C125" t="s">
        <v>417</v>
      </c>
      <c r="D125">
        <f>COUNTIFS(Goals!$D$2:$D$361,"Goal",Goals!$E$2:$E$361,C125,Goals!$F$2:$F$361,B125)</f>
        <v>0</v>
      </c>
      <c r="E125">
        <f t="shared" si="3"/>
        <v>-0.125</v>
      </c>
    </row>
    <row r="126" spans="1:5" x14ac:dyDescent="0.3">
      <c r="A126" t="s">
        <v>419</v>
      </c>
      <c r="B126" t="s">
        <v>62</v>
      </c>
      <c r="C126" t="s">
        <v>420</v>
      </c>
      <c r="D126">
        <f>COUNTIFS(Goals!$D$2:$D$361,"Goal",Goals!$E$2:$E$361,C126,Goals!$F$2:$F$361,B126)</f>
        <v>0</v>
      </c>
      <c r="E126">
        <f t="shared" si="3"/>
        <v>-0.126</v>
      </c>
    </row>
    <row r="127" spans="1:5" x14ac:dyDescent="0.3">
      <c r="A127" t="s">
        <v>422</v>
      </c>
      <c r="B127" t="s">
        <v>62</v>
      </c>
      <c r="C127" t="s">
        <v>423</v>
      </c>
      <c r="D127">
        <f>COUNTIFS(Goals!$D$2:$D$361,"Goal",Goals!$E$2:$E$361,C127,Goals!$F$2:$F$361,B127)</f>
        <v>0</v>
      </c>
      <c r="E127">
        <f t="shared" si="3"/>
        <v>-0.127</v>
      </c>
    </row>
    <row r="128" spans="1:5" x14ac:dyDescent="0.3">
      <c r="A128" t="s">
        <v>425</v>
      </c>
      <c r="B128" t="s">
        <v>62</v>
      </c>
      <c r="C128" t="s">
        <v>426</v>
      </c>
      <c r="D128">
        <f>COUNTIFS(Goals!$D$2:$D$361,"Goal",Goals!$E$2:$E$361,C128,Goals!$F$2:$F$361,B128)</f>
        <v>0</v>
      </c>
      <c r="E128">
        <f t="shared" si="3"/>
        <v>-0.128</v>
      </c>
    </row>
    <row r="129" spans="1:5" x14ac:dyDescent="0.3">
      <c r="A129" t="s">
        <v>428</v>
      </c>
      <c r="B129" t="s">
        <v>64</v>
      </c>
      <c r="C129" t="s">
        <v>429</v>
      </c>
      <c r="D129">
        <f>COUNTIFS(Goals!$D$2:$D$361,"Goal",Goals!$E$2:$E$361,C129,Goals!$F$2:$F$361,B129)</f>
        <v>0</v>
      </c>
      <c r="E129">
        <f t="shared" si="3"/>
        <v>-0.129</v>
      </c>
    </row>
    <row r="130" spans="1:5" x14ac:dyDescent="0.3">
      <c r="A130" t="s">
        <v>431</v>
      </c>
      <c r="B130" t="s">
        <v>64</v>
      </c>
      <c r="C130" t="s">
        <v>432</v>
      </c>
      <c r="D130">
        <f>COUNTIFS(Goals!$D$2:$D$361,"Goal",Goals!$E$2:$E$361,C130,Goals!$F$2:$F$361,B130)</f>
        <v>0</v>
      </c>
      <c r="E130">
        <f t="shared" ref="E130:E161" si="4">D130*100000-ROW()/1000</f>
        <v>-0.13</v>
      </c>
    </row>
    <row r="131" spans="1:5" x14ac:dyDescent="0.3">
      <c r="A131" t="s">
        <v>434</v>
      </c>
      <c r="B131" t="s">
        <v>64</v>
      </c>
      <c r="C131" t="s">
        <v>435</v>
      </c>
      <c r="D131">
        <f>COUNTIFS(Goals!$D$2:$D$361,"Goal",Goals!$E$2:$E$361,C131,Goals!$F$2:$F$361,B131)</f>
        <v>0</v>
      </c>
      <c r="E131">
        <f t="shared" si="4"/>
        <v>-0.13100000000000001</v>
      </c>
    </row>
    <row r="132" spans="1:5" x14ac:dyDescent="0.3">
      <c r="A132" t="s">
        <v>437</v>
      </c>
      <c r="B132" t="s">
        <v>64</v>
      </c>
      <c r="C132" t="s">
        <v>438</v>
      </c>
      <c r="D132">
        <f>COUNTIFS(Goals!$D$2:$D$361,"Goal",Goals!$E$2:$E$361,C132,Goals!$F$2:$F$361,B132)</f>
        <v>0</v>
      </c>
      <c r="E132">
        <f t="shared" si="4"/>
        <v>-0.13200000000000001</v>
      </c>
    </row>
    <row r="133" spans="1:5" x14ac:dyDescent="0.3">
      <c r="A133" t="s">
        <v>440</v>
      </c>
      <c r="B133" t="s">
        <v>64</v>
      </c>
      <c r="C133" t="s">
        <v>441</v>
      </c>
      <c r="D133">
        <f>COUNTIFS(Goals!$D$2:$D$361,"Goal",Goals!$E$2:$E$361,C133,Goals!$F$2:$F$361,B133)</f>
        <v>0</v>
      </c>
      <c r="E133">
        <f t="shared" si="4"/>
        <v>-0.13300000000000001</v>
      </c>
    </row>
    <row r="134" spans="1:5" x14ac:dyDescent="0.3">
      <c r="A134" t="s">
        <v>443</v>
      </c>
      <c r="B134" t="s">
        <v>64</v>
      </c>
      <c r="C134" t="s">
        <v>444</v>
      </c>
      <c r="D134">
        <f>COUNTIFS(Goals!$D$2:$D$361,"Goal",Goals!$E$2:$E$361,C134,Goals!$F$2:$F$361,B134)</f>
        <v>0</v>
      </c>
      <c r="E134">
        <f t="shared" si="4"/>
        <v>-0.13400000000000001</v>
      </c>
    </row>
    <row r="135" spans="1:5" x14ac:dyDescent="0.3">
      <c r="A135" t="s">
        <v>446</v>
      </c>
      <c r="B135" t="s">
        <v>64</v>
      </c>
      <c r="C135" t="s">
        <v>447</v>
      </c>
      <c r="D135">
        <f>COUNTIFS(Goals!$D$2:$D$361,"Goal",Goals!$E$2:$E$361,C135,Goals!$F$2:$F$361,B135)</f>
        <v>0</v>
      </c>
      <c r="E135">
        <f t="shared" si="4"/>
        <v>-0.13500000000000001</v>
      </c>
    </row>
    <row r="136" spans="1:5" x14ac:dyDescent="0.3">
      <c r="A136" t="s">
        <v>449</v>
      </c>
      <c r="B136" t="s">
        <v>64</v>
      </c>
      <c r="C136" t="s">
        <v>450</v>
      </c>
      <c r="D136">
        <f>COUNTIFS(Goals!$D$2:$D$361,"Goal",Goals!$E$2:$E$361,C136,Goals!$F$2:$F$361,B136)</f>
        <v>0</v>
      </c>
      <c r="E136">
        <f t="shared" si="4"/>
        <v>-0.13600000000000001</v>
      </c>
    </row>
    <row r="137" spans="1:5" x14ac:dyDescent="0.3">
      <c r="A137" t="s">
        <v>452</v>
      </c>
      <c r="B137" t="s">
        <v>64</v>
      </c>
      <c r="C137" t="s">
        <v>453</v>
      </c>
      <c r="D137">
        <f>COUNTIFS(Goals!$D$2:$D$361,"Goal",Goals!$E$2:$E$361,C137,Goals!$F$2:$F$361,B137)</f>
        <v>0</v>
      </c>
      <c r="E137">
        <f t="shared" si="4"/>
        <v>-0.13700000000000001</v>
      </c>
    </row>
    <row r="138" spans="1:5" x14ac:dyDescent="0.3">
      <c r="A138" t="s">
        <v>455</v>
      </c>
      <c r="B138" t="s">
        <v>64</v>
      </c>
      <c r="C138" t="s">
        <v>456</v>
      </c>
      <c r="D138">
        <f>COUNTIFS(Goals!$D$2:$D$361,"Goal",Goals!$E$2:$E$361,C138,Goals!$F$2:$F$361,B138)</f>
        <v>0</v>
      </c>
      <c r="E138">
        <f t="shared" si="4"/>
        <v>-0.13800000000000001</v>
      </c>
    </row>
    <row r="139" spans="1:5" x14ac:dyDescent="0.3">
      <c r="A139" t="s">
        <v>317</v>
      </c>
      <c r="B139" t="s">
        <v>66</v>
      </c>
      <c r="C139" t="s">
        <v>458</v>
      </c>
      <c r="D139">
        <f>COUNTIFS(Goals!$D$2:$D$361,"Goal",Goals!$E$2:$E$361,C139,Goals!$F$2:$F$361,B139)</f>
        <v>0</v>
      </c>
      <c r="E139">
        <f t="shared" si="4"/>
        <v>-0.13900000000000001</v>
      </c>
    </row>
    <row r="140" spans="1:5" x14ac:dyDescent="0.3">
      <c r="A140" t="s">
        <v>460</v>
      </c>
      <c r="B140" t="s">
        <v>66</v>
      </c>
      <c r="C140" t="s">
        <v>461</v>
      </c>
      <c r="D140">
        <f>COUNTIFS(Goals!$D$2:$D$361,"Goal",Goals!$E$2:$E$361,C140,Goals!$F$2:$F$361,B140)</f>
        <v>0</v>
      </c>
      <c r="E140">
        <f t="shared" si="4"/>
        <v>-0.14000000000000001</v>
      </c>
    </row>
    <row r="141" spans="1:5" x14ac:dyDescent="0.3">
      <c r="A141" t="s">
        <v>463</v>
      </c>
      <c r="B141" t="s">
        <v>66</v>
      </c>
      <c r="C141" t="s">
        <v>464</v>
      </c>
      <c r="D141">
        <f>COUNTIFS(Goals!$D$2:$D$361,"Goal",Goals!$E$2:$E$361,C141,Goals!$F$2:$F$361,B141)</f>
        <v>0</v>
      </c>
      <c r="E141">
        <f t="shared" si="4"/>
        <v>-0.14099999999999999</v>
      </c>
    </row>
    <row r="142" spans="1:5" x14ac:dyDescent="0.3">
      <c r="A142" t="s">
        <v>466</v>
      </c>
      <c r="B142" t="s">
        <v>66</v>
      </c>
      <c r="C142" t="s">
        <v>467</v>
      </c>
      <c r="D142">
        <f>COUNTIFS(Goals!$D$2:$D$361,"Goal",Goals!$E$2:$E$361,C142,Goals!$F$2:$F$361,B142)</f>
        <v>0</v>
      </c>
      <c r="E142">
        <f t="shared" si="4"/>
        <v>-0.14199999999999999</v>
      </c>
    </row>
    <row r="143" spans="1:5" x14ac:dyDescent="0.3">
      <c r="A143" t="s">
        <v>469</v>
      </c>
      <c r="B143" t="s">
        <v>66</v>
      </c>
      <c r="C143" t="s">
        <v>470</v>
      </c>
      <c r="D143">
        <f>COUNTIFS(Goals!$D$2:$D$361,"Goal",Goals!$E$2:$E$361,C143,Goals!$F$2:$F$361,B143)</f>
        <v>0</v>
      </c>
      <c r="E143">
        <f t="shared" si="4"/>
        <v>-0.14299999999999999</v>
      </c>
    </row>
    <row r="144" spans="1:5" x14ac:dyDescent="0.3">
      <c r="A144" t="s">
        <v>472</v>
      </c>
      <c r="B144" t="s">
        <v>66</v>
      </c>
      <c r="C144" t="s">
        <v>473</v>
      </c>
      <c r="D144">
        <f>COUNTIFS(Goals!$D$2:$D$361,"Goal",Goals!$E$2:$E$361,C144,Goals!$F$2:$F$361,B144)</f>
        <v>0</v>
      </c>
      <c r="E144">
        <f t="shared" si="4"/>
        <v>-0.14399999999999999</v>
      </c>
    </row>
    <row r="145" spans="1:5" x14ac:dyDescent="0.3">
      <c r="A145" t="s">
        <v>475</v>
      </c>
      <c r="B145" t="s">
        <v>66</v>
      </c>
      <c r="C145" t="s">
        <v>476</v>
      </c>
      <c r="D145">
        <f>COUNTIFS(Goals!$D$2:$D$361,"Goal",Goals!$E$2:$E$361,C145,Goals!$F$2:$F$361,B145)</f>
        <v>0</v>
      </c>
      <c r="E145">
        <f t="shared" si="4"/>
        <v>-0.14499999999999999</v>
      </c>
    </row>
    <row r="146" spans="1:5" x14ac:dyDescent="0.3">
      <c r="A146" t="s">
        <v>478</v>
      </c>
      <c r="B146" t="s">
        <v>66</v>
      </c>
      <c r="C146" t="s">
        <v>479</v>
      </c>
      <c r="D146">
        <f>COUNTIFS(Goals!$D$2:$D$361,"Goal",Goals!$E$2:$E$361,C146,Goals!$F$2:$F$361,B146)</f>
        <v>0</v>
      </c>
      <c r="E146">
        <f t="shared" si="4"/>
        <v>-0.14599999999999999</v>
      </c>
    </row>
    <row r="147" spans="1:5" x14ac:dyDescent="0.3">
      <c r="A147" t="s">
        <v>481</v>
      </c>
      <c r="B147" t="s">
        <v>66</v>
      </c>
      <c r="C147" t="s">
        <v>482</v>
      </c>
      <c r="D147">
        <f>COUNTIFS(Goals!$D$2:$D$361,"Goal",Goals!$E$2:$E$361,C147,Goals!$F$2:$F$361,B147)</f>
        <v>0</v>
      </c>
      <c r="E147">
        <f t="shared" si="4"/>
        <v>-0.14699999999999999</v>
      </c>
    </row>
    <row r="148" spans="1:5" x14ac:dyDescent="0.3">
      <c r="A148" t="s">
        <v>484</v>
      </c>
      <c r="B148" t="s">
        <v>66</v>
      </c>
      <c r="C148" t="s">
        <v>485</v>
      </c>
      <c r="D148">
        <f>COUNTIFS(Goals!$D$2:$D$361,"Goal",Goals!$E$2:$E$361,C148,Goals!$F$2:$F$361,B148)</f>
        <v>0</v>
      </c>
      <c r="E148">
        <f t="shared" si="4"/>
        <v>-0.14799999999999999</v>
      </c>
    </row>
    <row r="149" spans="1:5" x14ac:dyDescent="0.3">
      <c r="A149" t="s">
        <v>487</v>
      </c>
      <c r="B149" t="s">
        <v>68</v>
      </c>
      <c r="C149" t="s">
        <v>488</v>
      </c>
      <c r="D149">
        <f>COUNTIFS(Goals!$D$2:$D$361,"Goal",Goals!$E$2:$E$361,C149,Goals!$F$2:$F$361,B149)</f>
        <v>0</v>
      </c>
      <c r="E149">
        <f t="shared" si="4"/>
        <v>-0.14899999999999999</v>
      </c>
    </row>
    <row r="150" spans="1:5" x14ac:dyDescent="0.3">
      <c r="A150" t="s">
        <v>490</v>
      </c>
      <c r="B150" t="s">
        <v>68</v>
      </c>
      <c r="C150" t="s">
        <v>491</v>
      </c>
      <c r="D150">
        <f>COUNTIFS(Goals!$D$2:$D$361,"Goal",Goals!$E$2:$E$361,C150,Goals!$F$2:$F$361,B150)</f>
        <v>0</v>
      </c>
      <c r="E150">
        <f t="shared" si="4"/>
        <v>-0.15</v>
      </c>
    </row>
    <row r="151" spans="1:5" x14ac:dyDescent="0.3">
      <c r="A151" t="s">
        <v>493</v>
      </c>
      <c r="B151" t="s">
        <v>68</v>
      </c>
      <c r="C151" t="s">
        <v>494</v>
      </c>
      <c r="D151">
        <f>COUNTIFS(Goals!$D$2:$D$361,"Goal",Goals!$E$2:$E$361,C151,Goals!$F$2:$F$361,B151)</f>
        <v>0</v>
      </c>
      <c r="E151">
        <f t="shared" si="4"/>
        <v>-0.151</v>
      </c>
    </row>
    <row r="152" spans="1:5" x14ac:dyDescent="0.3">
      <c r="A152" t="s">
        <v>496</v>
      </c>
      <c r="B152" t="s">
        <v>68</v>
      </c>
      <c r="C152" t="s">
        <v>497</v>
      </c>
      <c r="D152">
        <f>COUNTIFS(Goals!$D$2:$D$361,"Goal",Goals!$E$2:$E$361,C152,Goals!$F$2:$F$361,B152)</f>
        <v>0</v>
      </c>
      <c r="E152">
        <f t="shared" si="4"/>
        <v>-0.152</v>
      </c>
    </row>
    <row r="153" spans="1:5" x14ac:dyDescent="0.3">
      <c r="A153" t="s">
        <v>499</v>
      </c>
      <c r="B153" t="s">
        <v>68</v>
      </c>
      <c r="C153" t="s">
        <v>500</v>
      </c>
      <c r="D153">
        <f>COUNTIFS(Goals!$D$2:$D$361,"Goal",Goals!$E$2:$E$361,C153,Goals!$F$2:$F$361,B153)</f>
        <v>0</v>
      </c>
      <c r="E153">
        <f t="shared" si="4"/>
        <v>-0.153</v>
      </c>
    </row>
    <row r="154" spans="1:5" x14ac:dyDescent="0.3">
      <c r="A154" t="s">
        <v>502</v>
      </c>
      <c r="B154" t="s">
        <v>68</v>
      </c>
      <c r="C154" t="s">
        <v>503</v>
      </c>
      <c r="D154">
        <f>COUNTIFS(Goals!$D$2:$D$361,"Goal",Goals!$E$2:$E$361,C154,Goals!$F$2:$F$361,B154)</f>
        <v>0</v>
      </c>
      <c r="E154">
        <f t="shared" si="4"/>
        <v>-0.154</v>
      </c>
    </row>
    <row r="155" spans="1:5" x14ac:dyDescent="0.3">
      <c r="A155" t="s">
        <v>505</v>
      </c>
      <c r="B155" t="s">
        <v>68</v>
      </c>
      <c r="C155" t="s">
        <v>506</v>
      </c>
      <c r="D155">
        <f>COUNTIFS(Goals!$D$2:$D$361,"Goal",Goals!$E$2:$E$361,C155,Goals!$F$2:$F$361,B155)</f>
        <v>0</v>
      </c>
      <c r="E155">
        <f t="shared" si="4"/>
        <v>-0.155</v>
      </c>
    </row>
    <row r="156" spans="1:5" x14ac:dyDescent="0.3">
      <c r="A156" t="s">
        <v>508</v>
      </c>
      <c r="B156" t="s">
        <v>68</v>
      </c>
      <c r="C156" t="s">
        <v>509</v>
      </c>
      <c r="D156">
        <f>COUNTIFS(Goals!$D$2:$D$361,"Goal",Goals!$E$2:$E$361,C156,Goals!$F$2:$F$361,B156)</f>
        <v>0</v>
      </c>
      <c r="E156">
        <f t="shared" si="4"/>
        <v>-0.156</v>
      </c>
    </row>
    <row r="157" spans="1:5" x14ac:dyDescent="0.3">
      <c r="A157" t="s">
        <v>511</v>
      </c>
      <c r="B157" t="s">
        <v>68</v>
      </c>
      <c r="C157" t="s">
        <v>512</v>
      </c>
      <c r="D157">
        <f>COUNTIFS(Goals!$D$2:$D$361,"Goal",Goals!$E$2:$E$361,C157,Goals!$F$2:$F$361,B157)</f>
        <v>0</v>
      </c>
      <c r="E157">
        <f t="shared" si="4"/>
        <v>-0.157</v>
      </c>
    </row>
    <row r="158" spans="1:5" x14ac:dyDescent="0.3">
      <c r="A158" t="s">
        <v>514</v>
      </c>
      <c r="B158" t="s">
        <v>68</v>
      </c>
      <c r="C158" t="s">
        <v>515</v>
      </c>
      <c r="D158">
        <f>COUNTIFS(Goals!$D$2:$D$361,"Goal",Goals!$E$2:$E$361,C158,Goals!$F$2:$F$361,B158)</f>
        <v>0</v>
      </c>
      <c r="E158">
        <f t="shared" si="4"/>
        <v>-0.158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1"/>
  <sheetViews>
    <sheetView workbookViewId="0"/>
  </sheetViews>
  <sheetFormatPr defaultRowHeight="14.4" x14ac:dyDescent="0.3"/>
  <cols>
    <col min="1" max="4" width="28" customWidth="1"/>
  </cols>
  <sheetData>
    <row r="1" spans="1:26" x14ac:dyDescent="0.3">
      <c r="A1" s="5" t="s">
        <v>577</v>
      </c>
      <c r="B1" s="5" t="s">
        <v>567</v>
      </c>
      <c r="C1" s="5" t="s">
        <v>574</v>
      </c>
      <c r="D1" s="5" t="s">
        <v>575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>
        <f>IFERROR(IF(INDEX(ScorerData!$D$2:$D$158,MATCH(LARGE(ScorerData!$E$2:$E$158,1),ScorerData!$E$2:$E$158,0))&gt;0,1,""),"")</f>
        <v>1</v>
      </c>
      <c r="B2" t="str">
        <f>IF($A2="","",INDEX(ScorerData!$A$2:$A$158,MATCH(LARGE(ScorerData!$E$2:$E$158,$A2),ScorerData!$E$2:$E$158,0)))</f>
        <v>STEFANO BRAGHIN</v>
      </c>
      <c r="C2" t="str">
        <f>IF($A2="","",INDEX(ScorerData!$B$2:$B$158,MATCH(LARGE(ScorerData!$E$2:$E$158,$A2),ScorerData!$E$2:$E$158,0)))</f>
        <v>All Blacks</v>
      </c>
      <c r="D2">
        <f>IF($A2="","",INDEX(ScorerData!$D$2:$D$158,MATCH(LARGE(ScorerData!$E$2:$E$158,$A2),ScorerData!$E$2:$E$158,0)))</f>
        <v>1</v>
      </c>
    </row>
    <row r="3" spans="1:26" x14ac:dyDescent="0.3">
      <c r="A3" t="str">
        <f>IFERROR(IF(INDEX(ScorerData!$D$2:$D$158,MATCH(LARGE(ScorerData!$E$2:$E$158,2),ScorerData!$E$2:$E$158,0))&gt;0,2,""),"")</f>
        <v/>
      </c>
      <c r="B3" t="str">
        <f>IF($A3="","",INDEX(ScorerData!$A$2:$A$158,MATCH(LARGE(ScorerData!$E$2:$E$158,$A3),ScorerData!$E$2:$E$158,0)))</f>
        <v/>
      </c>
      <c r="C3" t="str">
        <f>IF($A3="","",INDEX(ScorerData!$B$2:$B$158,MATCH(LARGE(ScorerData!$E$2:$E$158,$A3),ScorerData!$E$2:$E$158,0)))</f>
        <v/>
      </c>
      <c r="D3" t="str">
        <f>IF($A3="","",INDEX(ScorerData!$D$2:$D$158,MATCH(LARGE(ScorerData!$E$2:$E$158,$A3),ScorerData!$E$2:$E$158,0)))</f>
        <v/>
      </c>
    </row>
    <row r="4" spans="1:26" x14ac:dyDescent="0.3">
      <c r="A4" t="str">
        <f>IFERROR(IF(INDEX(ScorerData!$D$2:$D$158,MATCH(LARGE(ScorerData!$E$2:$E$158,3),ScorerData!$E$2:$E$158,0))&gt;0,3,""),"")</f>
        <v/>
      </c>
      <c r="B4" t="str">
        <f>IF($A4="","",INDEX(ScorerData!$A$2:$A$158,MATCH(LARGE(ScorerData!$E$2:$E$158,$A4),ScorerData!$E$2:$E$158,0)))</f>
        <v/>
      </c>
      <c r="C4" t="str">
        <f>IF($A4="","",INDEX(ScorerData!$B$2:$B$158,MATCH(LARGE(ScorerData!$E$2:$E$158,$A4),ScorerData!$E$2:$E$158,0)))</f>
        <v/>
      </c>
      <c r="D4" t="str">
        <f>IF($A4="","",INDEX(ScorerData!$D$2:$D$158,MATCH(LARGE(ScorerData!$E$2:$E$158,$A4),ScorerData!$E$2:$E$158,0)))</f>
        <v/>
      </c>
    </row>
    <row r="5" spans="1:26" x14ac:dyDescent="0.3">
      <c r="A5" t="str">
        <f>IFERROR(IF(INDEX(ScorerData!$D$2:$D$158,MATCH(LARGE(ScorerData!$E$2:$E$158,4),ScorerData!$E$2:$E$158,0))&gt;0,4,""),"")</f>
        <v/>
      </c>
      <c r="B5" t="str">
        <f>IF($A5="","",INDEX(ScorerData!$A$2:$A$158,MATCH(LARGE(ScorerData!$E$2:$E$158,$A5),ScorerData!$E$2:$E$158,0)))</f>
        <v/>
      </c>
      <c r="C5" t="str">
        <f>IF($A5="","",INDEX(ScorerData!$B$2:$B$158,MATCH(LARGE(ScorerData!$E$2:$E$158,$A5),ScorerData!$E$2:$E$158,0)))</f>
        <v/>
      </c>
      <c r="D5" t="str">
        <f>IF($A5="","",INDEX(ScorerData!$D$2:$D$158,MATCH(LARGE(ScorerData!$E$2:$E$158,$A5),ScorerData!$E$2:$E$158,0)))</f>
        <v/>
      </c>
    </row>
    <row r="6" spans="1:26" x14ac:dyDescent="0.3">
      <c r="A6" t="str">
        <f>IFERROR(IF(INDEX(ScorerData!$D$2:$D$158,MATCH(LARGE(ScorerData!$E$2:$E$158,5),ScorerData!$E$2:$E$158,0))&gt;0,5,""),"")</f>
        <v/>
      </c>
      <c r="B6" t="str">
        <f>IF($A6="","",INDEX(ScorerData!$A$2:$A$158,MATCH(LARGE(ScorerData!$E$2:$E$158,$A6),ScorerData!$E$2:$E$158,0)))</f>
        <v/>
      </c>
      <c r="C6" t="str">
        <f>IF($A6="","",INDEX(ScorerData!$B$2:$B$158,MATCH(LARGE(ScorerData!$E$2:$E$158,$A6),ScorerData!$E$2:$E$158,0)))</f>
        <v/>
      </c>
      <c r="D6" t="str">
        <f>IF($A6="","",INDEX(ScorerData!$D$2:$D$158,MATCH(LARGE(ScorerData!$E$2:$E$158,$A6),ScorerData!$E$2:$E$158,0)))</f>
        <v/>
      </c>
    </row>
    <row r="7" spans="1:26" x14ac:dyDescent="0.3">
      <c r="A7" t="str">
        <f>IFERROR(IF(INDEX(ScorerData!$D$2:$D$158,MATCH(LARGE(ScorerData!$E$2:$E$158,6),ScorerData!$E$2:$E$158,0))&gt;0,6,""),"")</f>
        <v/>
      </c>
      <c r="B7" t="str">
        <f>IF($A7="","",INDEX(ScorerData!$A$2:$A$158,MATCH(LARGE(ScorerData!$E$2:$E$158,$A7),ScorerData!$E$2:$E$158,0)))</f>
        <v/>
      </c>
      <c r="C7" t="str">
        <f>IF($A7="","",INDEX(ScorerData!$B$2:$B$158,MATCH(LARGE(ScorerData!$E$2:$E$158,$A7),ScorerData!$E$2:$E$158,0)))</f>
        <v/>
      </c>
      <c r="D7" t="str">
        <f>IF($A7="","",INDEX(ScorerData!$D$2:$D$158,MATCH(LARGE(ScorerData!$E$2:$E$158,$A7),ScorerData!$E$2:$E$158,0)))</f>
        <v/>
      </c>
    </row>
    <row r="8" spans="1:26" x14ac:dyDescent="0.3">
      <c r="A8" t="str">
        <f>IFERROR(IF(INDEX(ScorerData!$D$2:$D$158,MATCH(LARGE(ScorerData!$E$2:$E$158,7),ScorerData!$E$2:$E$158,0))&gt;0,7,""),"")</f>
        <v/>
      </c>
      <c r="B8" t="str">
        <f>IF($A8="","",INDEX(ScorerData!$A$2:$A$158,MATCH(LARGE(ScorerData!$E$2:$E$158,$A8),ScorerData!$E$2:$E$158,0)))</f>
        <v/>
      </c>
      <c r="C8" t="str">
        <f>IF($A8="","",INDEX(ScorerData!$B$2:$B$158,MATCH(LARGE(ScorerData!$E$2:$E$158,$A8),ScorerData!$E$2:$E$158,0)))</f>
        <v/>
      </c>
      <c r="D8" t="str">
        <f>IF($A8="","",INDEX(ScorerData!$D$2:$D$158,MATCH(LARGE(ScorerData!$E$2:$E$158,$A8),ScorerData!$E$2:$E$158,0)))</f>
        <v/>
      </c>
    </row>
    <row r="9" spans="1:26" x14ac:dyDescent="0.3">
      <c r="A9" t="str">
        <f>IFERROR(IF(INDEX(ScorerData!$D$2:$D$158,MATCH(LARGE(ScorerData!$E$2:$E$158,8),ScorerData!$E$2:$E$158,0))&gt;0,8,""),"")</f>
        <v/>
      </c>
      <c r="B9" t="str">
        <f>IF($A9="","",INDEX(ScorerData!$A$2:$A$158,MATCH(LARGE(ScorerData!$E$2:$E$158,$A9),ScorerData!$E$2:$E$158,0)))</f>
        <v/>
      </c>
      <c r="C9" t="str">
        <f>IF($A9="","",INDEX(ScorerData!$B$2:$B$158,MATCH(LARGE(ScorerData!$E$2:$E$158,$A9),ScorerData!$E$2:$E$158,0)))</f>
        <v/>
      </c>
      <c r="D9" t="str">
        <f>IF($A9="","",INDEX(ScorerData!$D$2:$D$158,MATCH(LARGE(ScorerData!$E$2:$E$158,$A9),ScorerData!$E$2:$E$158,0)))</f>
        <v/>
      </c>
    </row>
    <row r="10" spans="1:26" x14ac:dyDescent="0.3">
      <c r="A10" t="str">
        <f>IFERROR(IF(INDEX(ScorerData!$D$2:$D$158,MATCH(LARGE(ScorerData!$E$2:$E$158,9),ScorerData!$E$2:$E$158,0))&gt;0,9,""),"")</f>
        <v/>
      </c>
      <c r="B10" t="str">
        <f>IF($A10="","",INDEX(ScorerData!$A$2:$A$158,MATCH(LARGE(ScorerData!$E$2:$E$158,$A10),ScorerData!$E$2:$E$158,0)))</f>
        <v/>
      </c>
      <c r="C10" t="str">
        <f>IF($A10="","",INDEX(ScorerData!$B$2:$B$158,MATCH(LARGE(ScorerData!$E$2:$E$158,$A10),ScorerData!$E$2:$E$158,0)))</f>
        <v/>
      </c>
      <c r="D10" t="str">
        <f>IF($A10="","",INDEX(ScorerData!$D$2:$D$158,MATCH(LARGE(ScorerData!$E$2:$E$158,$A10),ScorerData!$E$2:$E$158,0)))</f>
        <v/>
      </c>
    </row>
    <row r="11" spans="1:26" x14ac:dyDescent="0.3">
      <c r="A11" t="str">
        <f>IFERROR(IF(INDEX(ScorerData!$D$2:$D$158,MATCH(LARGE(ScorerData!$E$2:$E$158,10),ScorerData!$E$2:$E$158,0))&gt;0,10,""),"")</f>
        <v/>
      </c>
      <c r="B11" t="str">
        <f>IF($A11="","",INDEX(ScorerData!$A$2:$A$158,MATCH(LARGE(ScorerData!$E$2:$E$158,$A11),ScorerData!$E$2:$E$158,0)))</f>
        <v/>
      </c>
      <c r="C11" t="str">
        <f>IF($A11="","",INDEX(ScorerData!$B$2:$B$158,MATCH(LARGE(ScorerData!$E$2:$E$158,$A11),ScorerData!$E$2:$E$158,0)))</f>
        <v/>
      </c>
      <c r="D11" t="str">
        <f>IF($A11="","",INDEX(ScorerData!$D$2:$D$158,MATCH(LARGE(ScorerData!$E$2:$E$158,$A11),ScorerData!$E$2:$E$158,0)))</f>
        <v/>
      </c>
    </row>
    <row r="12" spans="1:26" x14ac:dyDescent="0.3">
      <c r="A12" t="str">
        <f>IFERROR(IF(INDEX(ScorerData!$D$2:$D$158,MATCH(LARGE(ScorerData!$E$2:$E$158,11),ScorerData!$E$2:$E$158,0))&gt;0,11,""),"")</f>
        <v/>
      </c>
      <c r="B12" t="str">
        <f>IF($A12="","",INDEX(ScorerData!$A$2:$A$158,MATCH(LARGE(ScorerData!$E$2:$E$158,$A12),ScorerData!$E$2:$E$158,0)))</f>
        <v/>
      </c>
      <c r="C12" t="str">
        <f>IF($A12="","",INDEX(ScorerData!$B$2:$B$158,MATCH(LARGE(ScorerData!$E$2:$E$158,$A12),ScorerData!$E$2:$E$158,0)))</f>
        <v/>
      </c>
      <c r="D12" t="str">
        <f>IF($A12="","",INDEX(ScorerData!$D$2:$D$158,MATCH(LARGE(ScorerData!$E$2:$E$158,$A12),ScorerData!$E$2:$E$158,0)))</f>
        <v/>
      </c>
    </row>
    <row r="13" spans="1:26" x14ac:dyDescent="0.3">
      <c r="A13" t="str">
        <f>IFERROR(IF(INDEX(ScorerData!$D$2:$D$158,MATCH(LARGE(ScorerData!$E$2:$E$158,12),ScorerData!$E$2:$E$158,0))&gt;0,12,""),"")</f>
        <v/>
      </c>
      <c r="B13" t="str">
        <f>IF($A13="","",INDEX(ScorerData!$A$2:$A$158,MATCH(LARGE(ScorerData!$E$2:$E$158,$A13),ScorerData!$E$2:$E$158,0)))</f>
        <v/>
      </c>
      <c r="C13" t="str">
        <f>IF($A13="","",INDEX(ScorerData!$B$2:$B$158,MATCH(LARGE(ScorerData!$E$2:$E$158,$A13),ScorerData!$E$2:$E$158,0)))</f>
        <v/>
      </c>
      <c r="D13" t="str">
        <f>IF($A13="","",INDEX(ScorerData!$D$2:$D$158,MATCH(LARGE(ScorerData!$E$2:$E$158,$A13),ScorerData!$E$2:$E$158,0)))</f>
        <v/>
      </c>
    </row>
    <row r="14" spans="1:26" x14ac:dyDescent="0.3">
      <c r="A14" t="str">
        <f>IFERROR(IF(INDEX(ScorerData!$D$2:$D$158,MATCH(LARGE(ScorerData!$E$2:$E$158,13),ScorerData!$E$2:$E$158,0))&gt;0,13,""),"")</f>
        <v/>
      </c>
      <c r="B14" t="str">
        <f>IF($A14="","",INDEX(ScorerData!$A$2:$A$158,MATCH(LARGE(ScorerData!$E$2:$E$158,$A14),ScorerData!$E$2:$E$158,0)))</f>
        <v/>
      </c>
      <c r="C14" t="str">
        <f>IF($A14="","",INDEX(ScorerData!$B$2:$B$158,MATCH(LARGE(ScorerData!$E$2:$E$158,$A14),ScorerData!$E$2:$E$158,0)))</f>
        <v/>
      </c>
      <c r="D14" t="str">
        <f>IF($A14="","",INDEX(ScorerData!$D$2:$D$158,MATCH(LARGE(ScorerData!$E$2:$E$158,$A14),ScorerData!$E$2:$E$158,0)))</f>
        <v/>
      </c>
    </row>
    <row r="15" spans="1:26" x14ac:dyDescent="0.3">
      <c r="A15" t="str">
        <f>IFERROR(IF(INDEX(ScorerData!$D$2:$D$158,MATCH(LARGE(ScorerData!$E$2:$E$158,14),ScorerData!$E$2:$E$158,0))&gt;0,14,""),"")</f>
        <v/>
      </c>
      <c r="B15" t="str">
        <f>IF($A15="","",INDEX(ScorerData!$A$2:$A$158,MATCH(LARGE(ScorerData!$E$2:$E$158,$A15),ScorerData!$E$2:$E$158,0)))</f>
        <v/>
      </c>
      <c r="C15" t="str">
        <f>IF($A15="","",INDEX(ScorerData!$B$2:$B$158,MATCH(LARGE(ScorerData!$E$2:$E$158,$A15),ScorerData!$E$2:$E$158,0)))</f>
        <v/>
      </c>
      <c r="D15" t="str">
        <f>IF($A15="","",INDEX(ScorerData!$D$2:$D$158,MATCH(LARGE(ScorerData!$E$2:$E$158,$A15),ScorerData!$E$2:$E$158,0)))</f>
        <v/>
      </c>
    </row>
    <row r="16" spans="1:26" x14ac:dyDescent="0.3">
      <c r="A16" t="str">
        <f>IFERROR(IF(INDEX(ScorerData!$D$2:$D$158,MATCH(LARGE(ScorerData!$E$2:$E$158,15),ScorerData!$E$2:$E$158,0))&gt;0,15,""),"")</f>
        <v/>
      </c>
      <c r="B16" t="str">
        <f>IF($A16="","",INDEX(ScorerData!$A$2:$A$158,MATCH(LARGE(ScorerData!$E$2:$E$158,$A16),ScorerData!$E$2:$E$158,0)))</f>
        <v/>
      </c>
      <c r="C16" t="str">
        <f>IF($A16="","",INDEX(ScorerData!$B$2:$B$158,MATCH(LARGE(ScorerData!$E$2:$E$158,$A16),ScorerData!$E$2:$E$158,0)))</f>
        <v/>
      </c>
      <c r="D16" t="str">
        <f>IF($A16="","",INDEX(ScorerData!$D$2:$D$158,MATCH(LARGE(ScorerData!$E$2:$E$158,$A16),ScorerData!$E$2:$E$158,0)))</f>
        <v/>
      </c>
    </row>
    <row r="17" spans="1:4" x14ac:dyDescent="0.3">
      <c r="A17" t="str">
        <f>IFERROR(IF(INDEX(ScorerData!$D$2:$D$158,MATCH(LARGE(ScorerData!$E$2:$E$158,16),ScorerData!$E$2:$E$158,0))&gt;0,16,""),"")</f>
        <v/>
      </c>
      <c r="B17" t="str">
        <f>IF($A17="","",INDEX(ScorerData!$A$2:$A$158,MATCH(LARGE(ScorerData!$E$2:$E$158,$A17),ScorerData!$E$2:$E$158,0)))</f>
        <v/>
      </c>
      <c r="C17" t="str">
        <f>IF($A17="","",INDEX(ScorerData!$B$2:$B$158,MATCH(LARGE(ScorerData!$E$2:$E$158,$A17),ScorerData!$E$2:$E$158,0)))</f>
        <v/>
      </c>
      <c r="D17" t="str">
        <f>IF($A17="","",INDEX(ScorerData!$D$2:$D$158,MATCH(LARGE(ScorerData!$E$2:$E$158,$A17),ScorerData!$E$2:$E$158,0)))</f>
        <v/>
      </c>
    </row>
    <row r="18" spans="1:4" x14ac:dyDescent="0.3">
      <c r="A18" t="str">
        <f>IFERROR(IF(INDEX(ScorerData!$D$2:$D$158,MATCH(LARGE(ScorerData!$E$2:$E$158,17),ScorerData!$E$2:$E$158,0))&gt;0,17,""),"")</f>
        <v/>
      </c>
      <c r="B18" t="str">
        <f>IF($A18="","",INDEX(ScorerData!$A$2:$A$158,MATCH(LARGE(ScorerData!$E$2:$E$158,$A18),ScorerData!$E$2:$E$158,0)))</f>
        <v/>
      </c>
      <c r="C18" t="str">
        <f>IF($A18="","",INDEX(ScorerData!$B$2:$B$158,MATCH(LARGE(ScorerData!$E$2:$E$158,$A18),ScorerData!$E$2:$E$158,0)))</f>
        <v/>
      </c>
      <c r="D18" t="str">
        <f>IF($A18="","",INDEX(ScorerData!$D$2:$D$158,MATCH(LARGE(ScorerData!$E$2:$E$158,$A18),ScorerData!$E$2:$E$158,0)))</f>
        <v/>
      </c>
    </row>
    <row r="19" spans="1:4" x14ac:dyDescent="0.3">
      <c r="A19" t="str">
        <f>IFERROR(IF(INDEX(ScorerData!$D$2:$D$158,MATCH(LARGE(ScorerData!$E$2:$E$158,18),ScorerData!$E$2:$E$158,0))&gt;0,18,""),"")</f>
        <v/>
      </c>
      <c r="B19" t="str">
        <f>IF($A19="","",INDEX(ScorerData!$A$2:$A$158,MATCH(LARGE(ScorerData!$E$2:$E$158,$A19),ScorerData!$E$2:$E$158,0)))</f>
        <v/>
      </c>
      <c r="C19" t="str">
        <f>IF($A19="","",INDEX(ScorerData!$B$2:$B$158,MATCH(LARGE(ScorerData!$E$2:$E$158,$A19),ScorerData!$E$2:$E$158,0)))</f>
        <v/>
      </c>
      <c r="D19" t="str">
        <f>IF($A19="","",INDEX(ScorerData!$D$2:$D$158,MATCH(LARGE(ScorerData!$E$2:$E$158,$A19),ScorerData!$E$2:$E$158,0)))</f>
        <v/>
      </c>
    </row>
    <row r="20" spans="1:4" x14ac:dyDescent="0.3">
      <c r="A20" t="str">
        <f>IFERROR(IF(INDEX(ScorerData!$D$2:$D$158,MATCH(LARGE(ScorerData!$E$2:$E$158,19),ScorerData!$E$2:$E$158,0))&gt;0,19,""),"")</f>
        <v/>
      </c>
      <c r="B20" t="str">
        <f>IF($A20="","",INDEX(ScorerData!$A$2:$A$158,MATCH(LARGE(ScorerData!$E$2:$E$158,$A20),ScorerData!$E$2:$E$158,0)))</f>
        <v/>
      </c>
      <c r="C20" t="str">
        <f>IF($A20="","",INDEX(ScorerData!$B$2:$B$158,MATCH(LARGE(ScorerData!$E$2:$E$158,$A20),ScorerData!$E$2:$E$158,0)))</f>
        <v/>
      </c>
      <c r="D20" t="str">
        <f>IF($A20="","",INDEX(ScorerData!$D$2:$D$158,MATCH(LARGE(ScorerData!$E$2:$E$158,$A20),ScorerData!$E$2:$E$158,0)))</f>
        <v/>
      </c>
    </row>
    <row r="21" spans="1:4" x14ac:dyDescent="0.3">
      <c r="A21" t="str">
        <f>IFERROR(IF(INDEX(ScorerData!$D$2:$D$158,MATCH(LARGE(ScorerData!$E$2:$E$158,20),ScorerData!$E$2:$E$158,0))&gt;0,20,""),"")</f>
        <v/>
      </c>
      <c r="B21" t="str">
        <f>IF($A21="","",INDEX(ScorerData!$A$2:$A$158,MATCH(LARGE(ScorerData!$E$2:$E$158,$A21),ScorerData!$E$2:$E$158,0)))</f>
        <v/>
      </c>
      <c r="C21" t="str">
        <f>IF($A21="","",INDEX(ScorerData!$B$2:$B$158,MATCH(LARGE(ScorerData!$E$2:$E$158,$A21),ScorerData!$E$2:$E$158,0)))</f>
        <v/>
      </c>
      <c r="D21" t="str">
        <f>IF($A21="","",INDEX(ScorerData!$D$2:$D$158,MATCH(LARGE(ScorerData!$E$2:$E$158,$A21),ScorerData!$E$2:$E$158,0)))</f>
        <v/>
      </c>
    </row>
    <row r="22" spans="1:4" x14ac:dyDescent="0.3">
      <c r="A22" t="str">
        <f>IFERROR(IF(INDEX(ScorerData!$D$2:$D$158,MATCH(LARGE(ScorerData!$E$2:$E$158,21),ScorerData!$E$2:$E$158,0))&gt;0,21,""),"")</f>
        <v/>
      </c>
      <c r="B22" t="str">
        <f>IF($A22="","",INDEX(ScorerData!$A$2:$A$158,MATCH(LARGE(ScorerData!$E$2:$E$158,$A22),ScorerData!$E$2:$E$158,0)))</f>
        <v/>
      </c>
      <c r="C22" t="str">
        <f>IF($A22="","",INDEX(ScorerData!$B$2:$B$158,MATCH(LARGE(ScorerData!$E$2:$E$158,$A22),ScorerData!$E$2:$E$158,0)))</f>
        <v/>
      </c>
      <c r="D22" t="str">
        <f>IF($A22="","",INDEX(ScorerData!$D$2:$D$158,MATCH(LARGE(ScorerData!$E$2:$E$158,$A22),ScorerData!$E$2:$E$158,0)))</f>
        <v/>
      </c>
    </row>
    <row r="23" spans="1:4" x14ac:dyDescent="0.3">
      <c r="A23" t="str">
        <f>IFERROR(IF(INDEX(ScorerData!$D$2:$D$158,MATCH(LARGE(ScorerData!$E$2:$E$158,22),ScorerData!$E$2:$E$158,0))&gt;0,22,""),"")</f>
        <v/>
      </c>
      <c r="B23" t="str">
        <f>IF($A23="","",INDEX(ScorerData!$A$2:$A$158,MATCH(LARGE(ScorerData!$E$2:$E$158,$A23),ScorerData!$E$2:$E$158,0)))</f>
        <v/>
      </c>
      <c r="C23" t="str">
        <f>IF($A23="","",INDEX(ScorerData!$B$2:$B$158,MATCH(LARGE(ScorerData!$E$2:$E$158,$A23),ScorerData!$E$2:$E$158,0)))</f>
        <v/>
      </c>
      <c r="D23" t="str">
        <f>IF($A23="","",INDEX(ScorerData!$D$2:$D$158,MATCH(LARGE(ScorerData!$E$2:$E$158,$A23),ScorerData!$E$2:$E$158,0)))</f>
        <v/>
      </c>
    </row>
    <row r="24" spans="1:4" x14ac:dyDescent="0.3">
      <c r="A24" t="str">
        <f>IFERROR(IF(INDEX(ScorerData!$D$2:$D$158,MATCH(LARGE(ScorerData!$E$2:$E$158,23),ScorerData!$E$2:$E$158,0))&gt;0,23,""),"")</f>
        <v/>
      </c>
      <c r="B24" t="str">
        <f>IF($A24="","",INDEX(ScorerData!$A$2:$A$158,MATCH(LARGE(ScorerData!$E$2:$E$158,$A24),ScorerData!$E$2:$E$158,0)))</f>
        <v/>
      </c>
      <c r="C24" t="str">
        <f>IF($A24="","",INDEX(ScorerData!$B$2:$B$158,MATCH(LARGE(ScorerData!$E$2:$E$158,$A24),ScorerData!$E$2:$E$158,0)))</f>
        <v/>
      </c>
      <c r="D24" t="str">
        <f>IF($A24="","",INDEX(ScorerData!$D$2:$D$158,MATCH(LARGE(ScorerData!$E$2:$E$158,$A24),ScorerData!$E$2:$E$158,0)))</f>
        <v/>
      </c>
    </row>
    <row r="25" spans="1:4" x14ac:dyDescent="0.3">
      <c r="A25" t="str">
        <f>IFERROR(IF(INDEX(ScorerData!$D$2:$D$158,MATCH(LARGE(ScorerData!$E$2:$E$158,24),ScorerData!$E$2:$E$158,0))&gt;0,24,""),"")</f>
        <v/>
      </c>
      <c r="B25" t="str">
        <f>IF($A25="","",INDEX(ScorerData!$A$2:$A$158,MATCH(LARGE(ScorerData!$E$2:$E$158,$A25),ScorerData!$E$2:$E$158,0)))</f>
        <v/>
      </c>
      <c r="C25" t="str">
        <f>IF($A25="","",INDEX(ScorerData!$B$2:$B$158,MATCH(LARGE(ScorerData!$E$2:$E$158,$A25),ScorerData!$E$2:$E$158,0)))</f>
        <v/>
      </c>
      <c r="D25" t="str">
        <f>IF($A25="","",INDEX(ScorerData!$D$2:$D$158,MATCH(LARGE(ScorerData!$E$2:$E$158,$A25),ScorerData!$E$2:$E$158,0)))</f>
        <v/>
      </c>
    </row>
    <row r="26" spans="1:4" x14ac:dyDescent="0.3">
      <c r="A26" t="str">
        <f>IFERROR(IF(INDEX(ScorerData!$D$2:$D$158,MATCH(LARGE(ScorerData!$E$2:$E$158,25),ScorerData!$E$2:$E$158,0))&gt;0,25,""),"")</f>
        <v/>
      </c>
      <c r="B26" t="str">
        <f>IF($A26="","",INDEX(ScorerData!$A$2:$A$158,MATCH(LARGE(ScorerData!$E$2:$E$158,$A26),ScorerData!$E$2:$E$158,0)))</f>
        <v/>
      </c>
      <c r="C26" t="str">
        <f>IF($A26="","",INDEX(ScorerData!$B$2:$B$158,MATCH(LARGE(ScorerData!$E$2:$E$158,$A26),ScorerData!$E$2:$E$158,0)))</f>
        <v/>
      </c>
      <c r="D26" t="str">
        <f>IF($A26="","",INDEX(ScorerData!$D$2:$D$158,MATCH(LARGE(ScorerData!$E$2:$E$158,$A26),ScorerData!$E$2:$E$158,0)))</f>
        <v/>
      </c>
    </row>
    <row r="27" spans="1:4" x14ac:dyDescent="0.3">
      <c r="A27" t="str">
        <f>IFERROR(IF(INDEX(ScorerData!$D$2:$D$158,MATCH(LARGE(ScorerData!$E$2:$E$158,26),ScorerData!$E$2:$E$158,0))&gt;0,26,""),"")</f>
        <v/>
      </c>
      <c r="B27" t="str">
        <f>IF($A27="","",INDEX(ScorerData!$A$2:$A$158,MATCH(LARGE(ScorerData!$E$2:$E$158,$A27),ScorerData!$E$2:$E$158,0)))</f>
        <v/>
      </c>
      <c r="C27" t="str">
        <f>IF($A27="","",INDEX(ScorerData!$B$2:$B$158,MATCH(LARGE(ScorerData!$E$2:$E$158,$A27),ScorerData!$E$2:$E$158,0)))</f>
        <v/>
      </c>
      <c r="D27" t="str">
        <f>IF($A27="","",INDEX(ScorerData!$D$2:$D$158,MATCH(LARGE(ScorerData!$E$2:$E$158,$A27),ScorerData!$E$2:$E$158,0)))</f>
        <v/>
      </c>
    </row>
    <row r="28" spans="1:4" x14ac:dyDescent="0.3">
      <c r="A28" t="str">
        <f>IFERROR(IF(INDEX(ScorerData!$D$2:$D$158,MATCH(LARGE(ScorerData!$E$2:$E$158,27),ScorerData!$E$2:$E$158,0))&gt;0,27,""),"")</f>
        <v/>
      </c>
      <c r="B28" t="str">
        <f>IF($A28="","",INDEX(ScorerData!$A$2:$A$158,MATCH(LARGE(ScorerData!$E$2:$E$158,$A28),ScorerData!$E$2:$E$158,0)))</f>
        <v/>
      </c>
      <c r="C28" t="str">
        <f>IF($A28="","",INDEX(ScorerData!$B$2:$B$158,MATCH(LARGE(ScorerData!$E$2:$E$158,$A28),ScorerData!$E$2:$E$158,0)))</f>
        <v/>
      </c>
      <c r="D28" t="str">
        <f>IF($A28="","",INDEX(ScorerData!$D$2:$D$158,MATCH(LARGE(ScorerData!$E$2:$E$158,$A28),ScorerData!$E$2:$E$158,0)))</f>
        <v/>
      </c>
    </row>
    <row r="29" spans="1:4" x14ac:dyDescent="0.3">
      <c r="A29" t="str">
        <f>IFERROR(IF(INDEX(ScorerData!$D$2:$D$158,MATCH(LARGE(ScorerData!$E$2:$E$158,28),ScorerData!$E$2:$E$158,0))&gt;0,28,""),"")</f>
        <v/>
      </c>
      <c r="B29" t="str">
        <f>IF($A29="","",INDEX(ScorerData!$A$2:$A$158,MATCH(LARGE(ScorerData!$E$2:$E$158,$A29),ScorerData!$E$2:$E$158,0)))</f>
        <v/>
      </c>
      <c r="C29" t="str">
        <f>IF($A29="","",INDEX(ScorerData!$B$2:$B$158,MATCH(LARGE(ScorerData!$E$2:$E$158,$A29),ScorerData!$E$2:$E$158,0)))</f>
        <v/>
      </c>
      <c r="D29" t="str">
        <f>IF($A29="","",INDEX(ScorerData!$D$2:$D$158,MATCH(LARGE(ScorerData!$E$2:$E$158,$A29),ScorerData!$E$2:$E$158,0)))</f>
        <v/>
      </c>
    </row>
    <row r="30" spans="1:4" x14ac:dyDescent="0.3">
      <c r="A30" t="str">
        <f>IFERROR(IF(INDEX(ScorerData!$D$2:$D$158,MATCH(LARGE(ScorerData!$E$2:$E$158,29),ScorerData!$E$2:$E$158,0))&gt;0,29,""),"")</f>
        <v/>
      </c>
      <c r="B30" t="str">
        <f>IF($A30="","",INDEX(ScorerData!$A$2:$A$158,MATCH(LARGE(ScorerData!$E$2:$E$158,$A30),ScorerData!$E$2:$E$158,0)))</f>
        <v/>
      </c>
      <c r="C30" t="str">
        <f>IF($A30="","",INDEX(ScorerData!$B$2:$B$158,MATCH(LARGE(ScorerData!$E$2:$E$158,$A30),ScorerData!$E$2:$E$158,0)))</f>
        <v/>
      </c>
      <c r="D30" t="str">
        <f>IF($A30="","",INDEX(ScorerData!$D$2:$D$158,MATCH(LARGE(ScorerData!$E$2:$E$158,$A30),ScorerData!$E$2:$E$158,0)))</f>
        <v/>
      </c>
    </row>
    <row r="31" spans="1:4" x14ac:dyDescent="0.3">
      <c r="A31" t="str">
        <f>IFERROR(IF(INDEX(ScorerData!$D$2:$D$158,MATCH(LARGE(ScorerData!$E$2:$E$158,30),ScorerData!$E$2:$E$158,0))&gt;0,30,""),"")</f>
        <v/>
      </c>
      <c r="B31" t="str">
        <f>IF($A31="","",INDEX(ScorerData!$A$2:$A$158,MATCH(LARGE(ScorerData!$E$2:$E$158,$A31),ScorerData!$E$2:$E$158,0)))</f>
        <v/>
      </c>
      <c r="C31" t="str">
        <f>IF($A31="","",INDEX(ScorerData!$B$2:$B$158,MATCH(LARGE(ScorerData!$E$2:$E$158,$A31),ScorerData!$E$2:$E$158,0)))</f>
        <v/>
      </c>
      <c r="D31" t="str">
        <f>IF($A31="","",INDEX(ScorerData!$D$2:$D$158,MATCH(LARGE(ScorerData!$E$2:$E$158,$A31),ScorerData!$E$2:$E$158,0)))</f>
        <v/>
      </c>
    </row>
    <row r="32" spans="1:4" x14ac:dyDescent="0.3">
      <c r="A32" t="str">
        <f>IFERROR(IF(INDEX(ScorerData!$D$2:$D$158,MATCH(LARGE(ScorerData!$E$2:$E$158,31),ScorerData!$E$2:$E$158,0))&gt;0,31,""),"")</f>
        <v/>
      </c>
      <c r="B32" t="str">
        <f>IF($A32="","",INDEX(ScorerData!$A$2:$A$158,MATCH(LARGE(ScorerData!$E$2:$E$158,$A32),ScorerData!$E$2:$E$158,0)))</f>
        <v/>
      </c>
      <c r="C32" t="str">
        <f>IF($A32="","",INDEX(ScorerData!$B$2:$B$158,MATCH(LARGE(ScorerData!$E$2:$E$158,$A32),ScorerData!$E$2:$E$158,0)))</f>
        <v/>
      </c>
      <c r="D32" t="str">
        <f>IF($A32="","",INDEX(ScorerData!$D$2:$D$158,MATCH(LARGE(ScorerData!$E$2:$E$158,$A32),ScorerData!$E$2:$E$158,0)))</f>
        <v/>
      </c>
    </row>
    <row r="33" spans="1:4" x14ac:dyDescent="0.3">
      <c r="A33" t="str">
        <f>IFERROR(IF(INDEX(ScorerData!$D$2:$D$158,MATCH(LARGE(ScorerData!$E$2:$E$158,32),ScorerData!$E$2:$E$158,0))&gt;0,32,""),"")</f>
        <v/>
      </c>
      <c r="B33" t="str">
        <f>IF($A33="","",INDEX(ScorerData!$A$2:$A$158,MATCH(LARGE(ScorerData!$E$2:$E$158,$A33),ScorerData!$E$2:$E$158,0)))</f>
        <v/>
      </c>
      <c r="C33" t="str">
        <f>IF($A33="","",INDEX(ScorerData!$B$2:$B$158,MATCH(LARGE(ScorerData!$E$2:$E$158,$A33),ScorerData!$E$2:$E$158,0)))</f>
        <v/>
      </c>
      <c r="D33" t="str">
        <f>IF($A33="","",INDEX(ScorerData!$D$2:$D$158,MATCH(LARGE(ScorerData!$E$2:$E$158,$A33),ScorerData!$E$2:$E$158,0)))</f>
        <v/>
      </c>
    </row>
    <row r="34" spans="1:4" x14ac:dyDescent="0.3">
      <c r="A34" t="str">
        <f>IFERROR(IF(INDEX(ScorerData!$D$2:$D$158,MATCH(LARGE(ScorerData!$E$2:$E$158,33),ScorerData!$E$2:$E$158,0))&gt;0,33,""),"")</f>
        <v/>
      </c>
      <c r="B34" t="str">
        <f>IF($A34="","",INDEX(ScorerData!$A$2:$A$158,MATCH(LARGE(ScorerData!$E$2:$E$158,$A34),ScorerData!$E$2:$E$158,0)))</f>
        <v/>
      </c>
      <c r="C34" t="str">
        <f>IF($A34="","",INDEX(ScorerData!$B$2:$B$158,MATCH(LARGE(ScorerData!$E$2:$E$158,$A34),ScorerData!$E$2:$E$158,0)))</f>
        <v/>
      </c>
      <c r="D34" t="str">
        <f>IF($A34="","",INDEX(ScorerData!$D$2:$D$158,MATCH(LARGE(ScorerData!$E$2:$E$158,$A34),ScorerData!$E$2:$E$158,0)))</f>
        <v/>
      </c>
    </row>
    <row r="35" spans="1:4" x14ac:dyDescent="0.3">
      <c r="A35" t="str">
        <f>IFERROR(IF(INDEX(ScorerData!$D$2:$D$158,MATCH(LARGE(ScorerData!$E$2:$E$158,34),ScorerData!$E$2:$E$158,0))&gt;0,34,""),"")</f>
        <v/>
      </c>
      <c r="B35" t="str">
        <f>IF($A35="","",INDEX(ScorerData!$A$2:$A$158,MATCH(LARGE(ScorerData!$E$2:$E$158,$A35),ScorerData!$E$2:$E$158,0)))</f>
        <v/>
      </c>
      <c r="C35" t="str">
        <f>IF($A35="","",INDEX(ScorerData!$B$2:$B$158,MATCH(LARGE(ScorerData!$E$2:$E$158,$A35),ScorerData!$E$2:$E$158,0)))</f>
        <v/>
      </c>
      <c r="D35" t="str">
        <f>IF($A35="","",INDEX(ScorerData!$D$2:$D$158,MATCH(LARGE(ScorerData!$E$2:$E$158,$A35),ScorerData!$E$2:$E$158,0)))</f>
        <v/>
      </c>
    </row>
    <row r="36" spans="1:4" x14ac:dyDescent="0.3">
      <c r="A36" t="str">
        <f>IFERROR(IF(INDEX(ScorerData!$D$2:$D$158,MATCH(LARGE(ScorerData!$E$2:$E$158,35),ScorerData!$E$2:$E$158,0))&gt;0,35,""),"")</f>
        <v/>
      </c>
      <c r="B36" t="str">
        <f>IF($A36="","",INDEX(ScorerData!$A$2:$A$158,MATCH(LARGE(ScorerData!$E$2:$E$158,$A36),ScorerData!$E$2:$E$158,0)))</f>
        <v/>
      </c>
      <c r="C36" t="str">
        <f>IF($A36="","",INDEX(ScorerData!$B$2:$B$158,MATCH(LARGE(ScorerData!$E$2:$E$158,$A36),ScorerData!$E$2:$E$158,0)))</f>
        <v/>
      </c>
      <c r="D36" t="str">
        <f>IF($A36="","",INDEX(ScorerData!$D$2:$D$158,MATCH(LARGE(ScorerData!$E$2:$E$158,$A36),ScorerData!$E$2:$E$158,0)))</f>
        <v/>
      </c>
    </row>
    <row r="37" spans="1:4" x14ac:dyDescent="0.3">
      <c r="A37" t="str">
        <f>IFERROR(IF(INDEX(ScorerData!$D$2:$D$158,MATCH(LARGE(ScorerData!$E$2:$E$158,36),ScorerData!$E$2:$E$158,0))&gt;0,36,""),"")</f>
        <v/>
      </c>
      <c r="B37" t="str">
        <f>IF($A37="","",INDEX(ScorerData!$A$2:$A$158,MATCH(LARGE(ScorerData!$E$2:$E$158,$A37),ScorerData!$E$2:$E$158,0)))</f>
        <v/>
      </c>
      <c r="C37" t="str">
        <f>IF($A37="","",INDEX(ScorerData!$B$2:$B$158,MATCH(LARGE(ScorerData!$E$2:$E$158,$A37),ScorerData!$E$2:$E$158,0)))</f>
        <v/>
      </c>
      <c r="D37" t="str">
        <f>IF($A37="","",INDEX(ScorerData!$D$2:$D$158,MATCH(LARGE(ScorerData!$E$2:$E$158,$A37),ScorerData!$E$2:$E$158,0)))</f>
        <v/>
      </c>
    </row>
    <row r="38" spans="1:4" x14ac:dyDescent="0.3">
      <c r="A38" t="str">
        <f>IFERROR(IF(INDEX(ScorerData!$D$2:$D$158,MATCH(LARGE(ScorerData!$E$2:$E$158,37),ScorerData!$E$2:$E$158,0))&gt;0,37,""),"")</f>
        <v/>
      </c>
      <c r="B38" t="str">
        <f>IF($A38="","",INDEX(ScorerData!$A$2:$A$158,MATCH(LARGE(ScorerData!$E$2:$E$158,$A38),ScorerData!$E$2:$E$158,0)))</f>
        <v/>
      </c>
      <c r="C38" t="str">
        <f>IF($A38="","",INDEX(ScorerData!$B$2:$B$158,MATCH(LARGE(ScorerData!$E$2:$E$158,$A38),ScorerData!$E$2:$E$158,0)))</f>
        <v/>
      </c>
      <c r="D38" t="str">
        <f>IF($A38="","",INDEX(ScorerData!$D$2:$D$158,MATCH(LARGE(ScorerData!$E$2:$E$158,$A38),ScorerData!$E$2:$E$158,0)))</f>
        <v/>
      </c>
    </row>
    <row r="39" spans="1:4" x14ac:dyDescent="0.3">
      <c r="A39" t="str">
        <f>IFERROR(IF(INDEX(ScorerData!$D$2:$D$158,MATCH(LARGE(ScorerData!$E$2:$E$158,38),ScorerData!$E$2:$E$158,0))&gt;0,38,""),"")</f>
        <v/>
      </c>
      <c r="B39" t="str">
        <f>IF($A39="","",INDEX(ScorerData!$A$2:$A$158,MATCH(LARGE(ScorerData!$E$2:$E$158,$A39),ScorerData!$E$2:$E$158,0)))</f>
        <v/>
      </c>
      <c r="C39" t="str">
        <f>IF($A39="","",INDEX(ScorerData!$B$2:$B$158,MATCH(LARGE(ScorerData!$E$2:$E$158,$A39),ScorerData!$E$2:$E$158,0)))</f>
        <v/>
      </c>
      <c r="D39" t="str">
        <f>IF($A39="","",INDEX(ScorerData!$D$2:$D$158,MATCH(LARGE(ScorerData!$E$2:$E$158,$A39),ScorerData!$E$2:$E$158,0)))</f>
        <v/>
      </c>
    </row>
    <row r="40" spans="1:4" x14ac:dyDescent="0.3">
      <c r="A40" t="str">
        <f>IFERROR(IF(INDEX(ScorerData!$D$2:$D$158,MATCH(LARGE(ScorerData!$E$2:$E$158,39),ScorerData!$E$2:$E$158,0))&gt;0,39,""),"")</f>
        <v/>
      </c>
      <c r="B40" t="str">
        <f>IF($A40="","",INDEX(ScorerData!$A$2:$A$158,MATCH(LARGE(ScorerData!$E$2:$E$158,$A40),ScorerData!$E$2:$E$158,0)))</f>
        <v/>
      </c>
      <c r="C40" t="str">
        <f>IF($A40="","",INDEX(ScorerData!$B$2:$B$158,MATCH(LARGE(ScorerData!$E$2:$E$158,$A40),ScorerData!$E$2:$E$158,0)))</f>
        <v/>
      </c>
      <c r="D40" t="str">
        <f>IF($A40="","",INDEX(ScorerData!$D$2:$D$158,MATCH(LARGE(ScorerData!$E$2:$E$158,$A40),ScorerData!$E$2:$E$158,0)))</f>
        <v/>
      </c>
    </row>
    <row r="41" spans="1:4" x14ac:dyDescent="0.3">
      <c r="A41" t="str">
        <f>IFERROR(IF(INDEX(ScorerData!$D$2:$D$158,MATCH(LARGE(ScorerData!$E$2:$E$158,40),ScorerData!$E$2:$E$158,0))&gt;0,40,""),"")</f>
        <v/>
      </c>
      <c r="B41" t="str">
        <f>IF($A41="","",INDEX(ScorerData!$A$2:$A$158,MATCH(LARGE(ScorerData!$E$2:$E$158,$A41),ScorerData!$E$2:$E$158,0)))</f>
        <v/>
      </c>
      <c r="C41" t="str">
        <f>IF($A41="","",INDEX(ScorerData!$B$2:$B$158,MATCH(LARGE(ScorerData!$E$2:$E$158,$A41),ScorerData!$E$2:$E$158,0)))</f>
        <v/>
      </c>
      <c r="D41" t="str">
        <f>IF($A41="","",INDEX(ScorerData!$D$2:$D$158,MATCH(LARGE(ScorerData!$E$2:$E$158,$A41),ScorerData!$E$2:$E$158,0)))</f>
        <v/>
      </c>
    </row>
    <row r="42" spans="1:4" x14ac:dyDescent="0.3">
      <c r="A42" t="str">
        <f>IFERROR(IF(INDEX(ScorerData!$D$2:$D$158,MATCH(LARGE(ScorerData!$E$2:$E$158,41),ScorerData!$E$2:$E$158,0))&gt;0,41,""),"")</f>
        <v/>
      </c>
      <c r="B42" t="str">
        <f>IF($A42="","",INDEX(ScorerData!$A$2:$A$158,MATCH(LARGE(ScorerData!$E$2:$E$158,$A42),ScorerData!$E$2:$E$158,0)))</f>
        <v/>
      </c>
      <c r="C42" t="str">
        <f>IF($A42="","",INDEX(ScorerData!$B$2:$B$158,MATCH(LARGE(ScorerData!$E$2:$E$158,$A42),ScorerData!$E$2:$E$158,0)))</f>
        <v/>
      </c>
      <c r="D42" t="str">
        <f>IF($A42="","",INDEX(ScorerData!$D$2:$D$158,MATCH(LARGE(ScorerData!$E$2:$E$158,$A42),ScorerData!$E$2:$E$158,0)))</f>
        <v/>
      </c>
    </row>
    <row r="43" spans="1:4" x14ac:dyDescent="0.3">
      <c r="A43" t="str">
        <f>IFERROR(IF(INDEX(ScorerData!$D$2:$D$158,MATCH(LARGE(ScorerData!$E$2:$E$158,42),ScorerData!$E$2:$E$158,0))&gt;0,42,""),"")</f>
        <v/>
      </c>
      <c r="B43" t="str">
        <f>IF($A43="","",INDEX(ScorerData!$A$2:$A$158,MATCH(LARGE(ScorerData!$E$2:$E$158,$A43),ScorerData!$E$2:$E$158,0)))</f>
        <v/>
      </c>
      <c r="C43" t="str">
        <f>IF($A43="","",INDEX(ScorerData!$B$2:$B$158,MATCH(LARGE(ScorerData!$E$2:$E$158,$A43),ScorerData!$E$2:$E$158,0)))</f>
        <v/>
      </c>
      <c r="D43" t="str">
        <f>IF($A43="","",INDEX(ScorerData!$D$2:$D$158,MATCH(LARGE(ScorerData!$E$2:$E$158,$A43),ScorerData!$E$2:$E$158,0)))</f>
        <v/>
      </c>
    </row>
    <row r="44" spans="1:4" x14ac:dyDescent="0.3">
      <c r="A44" t="str">
        <f>IFERROR(IF(INDEX(ScorerData!$D$2:$D$158,MATCH(LARGE(ScorerData!$E$2:$E$158,43),ScorerData!$E$2:$E$158,0))&gt;0,43,""),"")</f>
        <v/>
      </c>
      <c r="B44" t="str">
        <f>IF($A44="","",INDEX(ScorerData!$A$2:$A$158,MATCH(LARGE(ScorerData!$E$2:$E$158,$A44),ScorerData!$E$2:$E$158,0)))</f>
        <v/>
      </c>
      <c r="C44" t="str">
        <f>IF($A44="","",INDEX(ScorerData!$B$2:$B$158,MATCH(LARGE(ScorerData!$E$2:$E$158,$A44),ScorerData!$E$2:$E$158,0)))</f>
        <v/>
      </c>
      <c r="D44" t="str">
        <f>IF($A44="","",INDEX(ScorerData!$D$2:$D$158,MATCH(LARGE(ScorerData!$E$2:$E$158,$A44),ScorerData!$E$2:$E$158,0)))</f>
        <v/>
      </c>
    </row>
    <row r="45" spans="1:4" x14ac:dyDescent="0.3">
      <c r="A45" t="str">
        <f>IFERROR(IF(INDEX(ScorerData!$D$2:$D$158,MATCH(LARGE(ScorerData!$E$2:$E$158,44),ScorerData!$E$2:$E$158,0))&gt;0,44,""),"")</f>
        <v/>
      </c>
      <c r="B45" t="str">
        <f>IF($A45="","",INDEX(ScorerData!$A$2:$A$158,MATCH(LARGE(ScorerData!$E$2:$E$158,$A45),ScorerData!$E$2:$E$158,0)))</f>
        <v/>
      </c>
      <c r="C45" t="str">
        <f>IF($A45="","",INDEX(ScorerData!$B$2:$B$158,MATCH(LARGE(ScorerData!$E$2:$E$158,$A45),ScorerData!$E$2:$E$158,0)))</f>
        <v/>
      </c>
      <c r="D45" t="str">
        <f>IF($A45="","",INDEX(ScorerData!$D$2:$D$158,MATCH(LARGE(ScorerData!$E$2:$E$158,$A45),ScorerData!$E$2:$E$158,0)))</f>
        <v/>
      </c>
    </row>
    <row r="46" spans="1:4" x14ac:dyDescent="0.3">
      <c r="A46" t="str">
        <f>IFERROR(IF(INDEX(ScorerData!$D$2:$D$158,MATCH(LARGE(ScorerData!$E$2:$E$158,45),ScorerData!$E$2:$E$158,0))&gt;0,45,""),"")</f>
        <v/>
      </c>
      <c r="B46" t="str">
        <f>IF($A46="","",INDEX(ScorerData!$A$2:$A$158,MATCH(LARGE(ScorerData!$E$2:$E$158,$A46),ScorerData!$E$2:$E$158,0)))</f>
        <v/>
      </c>
      <c r="C46" t="str">
        <f>IF($A46="","",INDEX(ScorerData!$B$2:$B$158,MATCH(LARGE(ScorerData!$E$2:$E$158,$A46),ScorerData!$E$2:$E$158,0)))</f>
        <v/>
      </c>
      <c r="D46" t="str">
        <f>IF($A46="","",INDEX(ScorerData!$D$2:$D$158,MATCH(LARGE(ScorerData!$E$2:$E$158,$A46),ScorerData!$E$2:$E$158,0)))</f>
        <v/>
      </c>
    </row>
    <row r="47" spans="1:4" x14ac:dyDescent="0.3">
      <c r="A47" t="str">
        <f>IFERROR(IF(INDEX(ScorerData!$D$2:$D$158,MATCH(LARGE(ScorerData!$E$2:$E$158,46),ScorerData!$E$2:$E$158,0))&gt;0,46,""),"")</f>
        <v/>
      </c>
      <c r="B47" t="str">
        <f>IF($A47="","",INDEX(ScorerData!$A$2:$A$158,MATCH(LARGE(ScorerData!$E$2:$E$158,$A47),ScorerData!$E$2:$E$158,0)))</f>
        <v/>
      </c>
      <c r="C47" t="str">
        <f>IF($A47="","",INDEX(ScorerData!$B$2:$B$158,MATCH(LARGE(ScorerData!$E$2:$E$158,$A47),ScorerData!$E$2:$E$158,0)))</f>
        <v/>
      </c>
      <c r="D47" t="str">
        <f>IF($A47="","",INDEX(ScorerData!$D$2:$D$158,MATCH(LARGE(ScorerData!$E$2:$E$158,$A47),ScorerData!$E$2:$E$158,0)))</f>
        <v/>
      </c>
    </row>
    <row r="48" spans="1:4" x14ac:dyDescent="0.3">
      <c r="A48" t="str">
        <f>IFERROR(IF(INDEX(ScorerData!$D$2:$D$158,MATCH(LARGE(ScorerData!$E$2:$E$158,47),ScorerData!$E$2:$E$158,0))&gt;0,47,""),"")</f>
        <v/>
      </c>
      <c r="B48" t="str">
        <f>IF($A48="","",INDEX(ScorerData!$A$2:$A$158,MATCH(LARGE(ScorerData!$E$2:$E$158,$A48),ScorerData!$E$2:$E$158,0)))</f>
        <v/>
      </c>
      <c r="C48" t="str">
        <f>IF($A48="","",INDEX(ScorerData!$B$2:$B$158,MATCH(LARGE(ScorerData!$E$2:$E$158,$A48),ScorerData!$E$2:$E$158,0)))</f>
        <v/>
      </c>
      <c r="D48" t="str">
        <f>IF($A48="","",INDEX(ScorerData!$D$2:$D$158,MATCH(LARGE(ScorerData!$E$2:$E$158,$A48),ScorerData!$E$2:$E$158,0)))</f>
        <v/>
      </c>
    </row>
    <row r="49" spans="1:4" x14ac:dyDescent="0.3">
      <c r="A49" t="str">
        <f>IFERROR(IF(INDEX(ScorerData!$D$2:$D$158,MATCH(LARGE(ScorerData!$E$2:$E$158,48),ScorerData!$E$2:$E$158,0))&gt;0,48,""),"")</f>
        <v/>
      </c>
      <c r="B49" t="str">
        <f>IF($A49="","",INDEX(ScorerData!$A$2:$A$158,MATCH(LARGE(ScorerData!$E$2:$E$158,$A49),ScorerData!$E$2:$E$158,0)))</f>
        <v/>
      </c>
      <c r="C49" t="str">
        <f>IF($A49="","",INDEX(ScorerData!$B$2:$B$158,MATCH(LARGE(ScorerData!$E$2:$E$158,$A49),ScorerData!$E$2:$E$158,0)))</f>
        <v/>
      </c>
      <c r="D49" t="str">
        <f>IF($A49="","",INDEX(ScorerData!$D$2:$D$158,MATCH(LARGE(ScorerData!$E$2:$E$158,$A49),ScorerData!$E$2:$E$158,0)))</f>
        <v/>
      </c>
    </row>
    <row r="50" spans="1:4" x14ac:dyDescent="0.3">
      <c r="A50" t="str">
        <f>IFERROR(IF(INDEX(ScorerData!$D$2:$D$158,MATCH(LARGE(ScorerData!$E$2:$E$158,49),ScorerData!$E$2:$E$158,0))&gt;0,49,""),"")</f>
        <v/>
      </c>
      <c r="B50" t="str">
        <f>IF($A50="","",INDEX(ScorerData!$A$2:$A$158,MATCH(LARGE(ScorerData!$E$2:$E$158,$A50),ScorerData!$E$2:$E$158,0)))</f>
        <v/>
      </c>
      <c r="C50" t="str">
        <f>IF($A50="","",INDEX(ScorerData!$B$2:$B$158,MATCH(LARGE(ScorerData!$E$2:$E$158,$A50),ScorerData!$E$2:$E$158,0)))</f>
        <v/>
      </c>
      <c r="D50" t="str">
        <f>IF($A50="","",INDEX(ScorerData!$D$2:$D$158,MATCH(LARGE(ScorerData!$E$2:$E$158,$A50),ScorerData!$E$2:$E$158,0)))</f>
        <v/>
      </c>
    </row>
    <row r="51" spans="1:4" x14ac:dyDescent="0.3">
      <c r="A51" t="str">
        <f>IFERROR(IF(INDEX(ScorerData!$D$2:$D$158,MATCH(LARGE(ScorerData!$E$2:$E$158,50),ScorerData!$E$2:$E$158,0))&gt;0,50,""),"")</f>
        <v/>
      </c>
      <c r="B51" t="str">
        <f>IF($A51="","",INDEX(ScorerData!$A$2:$A$158,MATCH(LARGE(ScorerData!$E$2:$E$158,$A51),ScorerData!$E$2:$E$158,0)))</f>
        <v/>
      </c>
      <c r="C51" t="str">
        <f>IF($A51="","",INDEX(ScorerData!$B$2:$B$158,MATCH(LARGE(ScorerData!$E$2:$E$158,$A51),ScorerData!$E$2:$E$158,0)))</f>
        <v/>
      </c>
      <c r="D51" t="str">
        <f>IF($A51="","",INDEX(ScorerData!$D$2:$D$158,MATCH(LARGE(ScorerData!$E$2:$E$158,$A51),ScorerData!$E$2:$E$158,0)))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7"/>
  <sheetViews>
    <sheetView workbookViewId="0">
      <selection activeCell="L1" sqref="L1:L1048576"/>
    </sheetView>
  </sheetViews>
  <sheetFormatPr defaultRowHeight="14.4" x14ac:dyDescent="0.3"/>
  <cols>
    <col min="1" max="1" width="14" customWidth="1"/>
    <col min="2" max="2" width="28" customWidth="1"/>
    <col min="3" max="13" width="14" customWidth="1"/>
  </cols>
  <sheetData>
    <row r="1" spans="1:26" x14ac:dyDescent="0.3">
      <c r="A1" s="5" t="s">
        <v>30</v>
      </c>
      <c r="B1" s="5" t="s">
        <v>574</v>
      </c>
      <c r="C1" s="5" t="s">
        <v>578</v>
      </c>
      <c r="D1" s="5" t="s">
        <v>579</v>
      </c>
      <c r="E1" s="5" t="s">
        <v>580</v>
      </c>
      <c r="F1" s="5" t="s">
        <v>581</v>
      </c>
      <c r="G1" s="5" t="s">
        <v>582</v>
      </c>
      <c r="H1" s="5" t="s">
        <v>583</v>
      </c>
      <c r="I1" s="5" t="s">
        <v>584</v>
      </c>
      <c r="J1" s="5" t="s">
        <v>585</v>
      </c>
      <c r="K1" s="5" t="s">
        <v>586</v>
      </c>
      <c r="L1" s="5" t="s">
        <v>587</v>
      </c>
      <c r="M1" s="5" t="s">
        <v>576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34</v>
      </c>
      <c r="B2" t="s">
        <v>35</v>
      </c>
      <c r="C2">
        <f>COUNTIFS(Matches!$G$2:$G$25,$B2,Matches!$L$2:$L$25,"Complete")+COUNTIFS(Matches!$H$2:$H$25,$B2,Matches!$L$2:$L$25,"Complete")</f>
        <v>0</v>
      </c>
      <c r="D2">
        <f>COUNTIFS(Matches!$G$2:$G$25,$B2,Matches!$L$2:$L$25,"Complete",Matches!$M$2:$M$25,3)+COUNTIFS(Matches!$H$2:$H$25,$B2,Matches!$L$2:$L$25,"Complete",Matches!$N$2:$N$25,3)</f>
        <v>0</v>
      </c>
      <c r="E2">
        <f>COUNTIFS(Matches!$G$2:$G$25,$B2,Matches!$L$2:$L$25,"Complete",Matches!$M$2:$M$25,2)+COUNTIFS(Matches!$H$2:$H$25,$B2,Matches!$L$2:$L$25,"Complete",Matches!$N$2:$N$25,2)</f>
        <v>0</v>
      </c>
      <c r="F2">
        <f>COUNTIFS(Matches!$G$2:$G$25,$B2,Matches!$L$2:$L$25,"Complete",Matches!$M$2:$M$25,1)+COUNTIFS(Matches!$H$2:$H$25,$B2,Matches!$L$2:$L$25,"Complete",Matches!$N$2:$N$25,1)</f>
        <v>0</v>
      </c>
      <c r="G2">
        <f>COUNTIFS(Matches!$G$2:$G$25,$B2,Matches!$L$2:$L$25,"Complete",Matches!$M$2:$M$25,0)+COUNTIFS(Matches!$H$2:$H$25,$B2,Matches!$L$2:$L$25,"Complete",Matches!$N$2:$N$25,0)</f>
        <v>0</v>
      </c>
      <c r="H2">
        <f>SUMIFS(Matches!$I$2:$I$25,Matches!$G$2:$G$25,$B2,Matches!$L$2:$L$25,"Complete")+SUMIFS(Matches!$J$2:$J$25,Matches!$H$2:$H$25,$B2,Matches!$L$2:$L$25,"Complete")</f>
        <v>0</v>
      </c>
      <c r="I2">
        <f>SUMIFS(Matches!$J$2:$J$25,Matches!$G$2:$G$25,$B2,Matches!$L$2:$L$25,"Complete")+SUMIFS(Matches!$I$2:$I$25,Matches!$H$2:$H$25,$B2,Matches!$L$2:$L$25,"Complete")</f>
        <v>0</v>
      </c>
      <c r="J2">
        <f t="shared" ref="J2:J17" si="0">H2-I2</f>
        <v>0</v>
      </c>
      <c r="K2">
        <f>SUMIFS(Matches!$M$2:$M$25,Matches!$G$2:$G$25,$B2,Matches!$L$2:$L$25,"Complete")+SUMIFS(Matches!$N$2:$N$25,Matches!$H$2:$H$25,$B2,Matches!$L$2:$L$25,"Complete")</f>
        <v>0</v>
      </c>
      <c r="L2" s="2">
        <v>0</v>
      </c>
      <c r="M2">
        <f t="shared" ref="M2:M17" si="1">K2*1000000+L2*10000+J2*100+H2-ROW()/1000</f>
        <v>-2E-3</v>
      </c>
    </row>
    <row r="3" spans="1:26" x14ac:dyDescent="0.3">
      <c r="A3" t="s">
        <v>34</v>
      </c>
      <c r="B3" t="s">
        <v>37</v>
      </c>
      <c r="C3">
        <f>COUNTIFS(Matches!$G$2:$G$25,$B3,Matches!$L$2:$L$25,"Complete")+COUNTIFS(Matches!$H$2:$H$25,$B3,Matches!$L$2:$L$25,"Complete")</f>
        <v>0</v>
      </c>
      <c r="D3">
        <f>COUNTIFS(Matches!$G$2:$G$25,$B3,Matches!$L$2:$L$25,"Complete",Matches!$M$2:$M$25,3)+COUNTIFS(Matches!$H$2:$H$25,$B3,Matches!$L$2:$L$25,"Complete",Matches!$N$2:$N$25,3)</f>
        <v>0</v>
      </c>
      <c r="E3">
        <f>COUNTIFS(Matches!$G$2:$G$25,$B3,Matches!$L$2:$L$25,"Complete",Matches!$M$2:$M$25,2)+COUNTIFS(Matches!$H$2:$H$25,$B3,Matches!$L$2:$L$25,"Complete",Matches!$N$2:$N$25,2)</f>
        <v>0</v>
      </c>
      <c r="F3">
        <f>COUNTIFS(Matches!$G$2:$G$25,$B3,Matches!$L$2:$L$25,"Complete",Matches!$M$2:$M$25,1)+COUNTIFS(Matches!$H$2:$H$25,$B3,Matches!$L$2:$L$25,"Complete",Matches!$N$2:$N$25,1)</f>
        <v>0</v>
      </c>
      <c r="G3">
        <f>COUNTIFS(Matches!$G$2:$G$25,$B3,Matches!$L$2:$L$25,"Complete",Matches!$M$2:$M$25,0)+COUNTIFS(Matches!$H$2:$H$25,$B3,Matches!$L$2:$L$25,"Complete",Matches!$N$2:$N$25,0)</f>
        <v>0</v>
      </c>
      <c r="H3">
        <f>SUMIFS(Matches!$I$2:$I$25,Matches!$G$2:$G$25,$B3,Matches!$L$2:$L$25,"Complete")+SUMIFS(Matches!$J$2:$J$25,Matches!$H$2:$H$25,$B3,Matches!$L$2:$L$25,"Complete")</f>
        <v>0</v>
      </c>
      <c r="I3">
        <f>SUMIFS(Matches!$J$2:$J$25,Matches!$G$2:$G$25,$B3,Matches!$L$2:$L$25,"Complete")+SUMIFS(Matches!$I$2:$I$25,Matches!$H$2:$H$25,$B3,Matches!$L$2:$L$25,"Complete")</f>
        <v>0</v>
      </c>
      <c r="J3">
        <f t="shared" si="0"/>
        <v>0</v>
      </c>
      <c r="K3">
        <f>SUMIFS(Matches!$M$2:$M$25,Matches!$G$2:$G$25,$B3,Matches!$L$2:$L$25,"Complete")+SUMIFS(Matches!$N$2:$N$25,Matches!$H$2:$H$25,$B3,Matches!$L$2:$L$25,"Complete")</f>
        <v>0</v>
      </c>
      <c r="L3" s="2">
        <f>0</f>
        <v>0</v>
      </c>
      <c r="M3">
        <f t="shared" si="1"/>
        <v>-3.0000000000000001E-3</v>
      </c>
    </row>
    <row r="4" spans="1:26" x14ac:dyDescent="0.3">
      <c r="A4" t="s">
        <v>34</v>
      </c>
      <c r="B4" t="s">
        <v>39</v>
      </c>
      <c r="C4">
        <f>COUNTIFS(Matches!$G$2:$G$25,$B4,Matches!$L$2:$L$25,"Complete")+COUNTIFS(Matches!$H$2:$H$25,$B4,Matches!$L$2:$L$25,"Complete")</f>
        <v>0</v>
      </c>
      <c r="D4">
        <f>COUNTIFS(Matches!$G$2:$G$25,$B4,Matches!$L$2:$L$25,"Complete",Matches!$M$2:$M$25,3)+COUNTIFS(Matches!$H$2:$H$25,$B4,Matches!$L$2:$L$25,"Complete",Matches!$N$2:$N$25,3)</f>
        <v>0</v>
      </c>
      <c r="E4">
        <f>COUNTIFS(Matches!$G$2:$G$25,$B4,Matches!$L$2:$L$25,"Complete",Matches!$M$2:$M$25,2)+COUNTIFS(Matches!$H$2:$H$25,$B4,Matches!$L$2:$L$25,"Complete",Matches!$N$2:$N$25,2)</f>
        <v>0</v>
      </c>
      <c r="F4">
        <f>COUNTIFS(Matches!$G$2:$G$25,$B4,Matches!$L$2:$L$25,"Complete",Matches!$M$2:$M$25,1)+COUNTIFS(Matches!$H$2:$H$25,$B4,Matches!$L$2:$L$25,"Complete",Matches!$N$2:$N$25,1)</f>
        <v>0</v>
      </c>
      <c r="G4">
        <f>COUNTIFS(Matches!$G$2:$G$25,$B4,Matches!$L$2:$L$25,"Complete",Matches!$M$2:$M$25,0)+COUNTIFS(Matches!$H$2:$H$25,$B4,Matches!$L$2:$L$25,"Complete",Matches!$N$2:$N$25,0)</f>
        <v>0</v>
      </c>
      <c r="H4">
        <f>SUMIFS(Matches!$I$2:$I$25,Matches!$G$2:$G$25,$B4,Matches!$L$2:$L$25,"Complete")+SUMIFS(Matches!$J$2:$J$25,Matches!$H$2:$H$25,$B4,Matches!$L$2:$L$25,"Complete")</f>
        <v>0</v>
      </c>
      <c r="I4">
        <f>SUMIFS(Matches!$J$2:$J$25,Matches!$G$2:$G$25,$B4,Matches!$L$2:$L$25,"Complete")+SUMIFS(Matches!$I$2:$I$25,Matches!$H$2:$H$25,$B4,Matches!$L$2:$L$25,"Complete")</f>
        <v>0</v>
      </c>
      <c r="J4">
        <f t="shared" si="0"/>
        <v>0</v>
      </c>
      <c r="K4">
        <f>SUMIFS(Matches!$M$2:$M$25,Matches!$G$2:$G$25,$B4,Matches!$L$2:$L$25,"Complete")+SUMIFS(Matches!$N$2:$N$25,Matches!$H$2:$H$25,$B4,Matches!$L$2:$L$25,"Complete")</f>
        <v>0</v>
      </c>
      <c r="L4" s="2">
        <f>0</f>
        <v>0</v>
      </c>
      <c r="M4">
        <f t="shared" si="1"/>
        <v>-4.0000000000000001E-3</v>
      </c>
    </row>
    <row r="5" spans="1:26" x14ac:dyDescent="0.3">
      <c r="A5" t="s">
        <v>34</v>
      </c>
      <c r="B5" t="s">
        <v>41</v>
      </c>
      <c r="C5">
        <f>COUNTIFS(Matches!$G$2:$G$25,$B5,Matches!$L$2:$L$25,"Complete")+COUNTIFS(Matches!$H$2:$H$25,$B5,Matches!$L$2:$L$25,"Complete")</f>
        <v>0</v>
      </c>
      <c r="D5">
        <f>COUNTIFS(Matches!$G$2:$G$25,$B5,Matches!$L$2:$L$25,"Complete",Matches!$M$2:$M$25,3)+COUNTIFS(Matches!$H$2:$H$25,$B5,Matches!$L$2:$L$25,"Complete",Matches!$N$2:$N$25,3)</f>
        <v>0</v>
      </c>
      <c r="E5">
        <f>COUNTIFS(Matches!$G$2:$G$25,$B5,Matches!$L$2:$L$25,"Complete",Matches!$M$2:$M$25,2)+COUNTIFS(Matches!$H$2:$H$25,$B5,Matches!$L$2:$L$25,"Complete",Matches!$N$2:$N$25,2)</f>
        <v>0</v>
      </c>
      <c r="F5">
        <f>COUNTIFS(Matches!$G$2:$G$25,$B5,Matches!$L$2:$L$25,"Complete",Matches!$M$2:$M$25,1)+COUNTIFS(Matches!$H$2:$H$25,$B5,Matches!$L$2:$L$25,"Complete",Matches!$N$2:$N$25,1)</f>
        <v>0</v>
      </c>
      <c r="G5">
        <f>COUNTIFS(Matches!$G$2:$G$25,$B5,Matches!$L$2:$L$25,"Complete",Matches!$M$2:$M$25,0)+COUNTIFS(Matches!$H$2:$H$25,$B5,Matches!$L$2:$L$25,"Complete",Matches!$N$2:$N$25,0)</f>
        <v>0</v>
      </c>
      <c r="H5">
        <f>SUMIFS(Matches!$I$2:$I$25,Matches!$G$2:$G$25,$B5,Matches!$L$2:$L$25,"Complete")+SUMIFS(Matches!$J$2:$J$25,Matches!$H$2:$H$25,$B5,Matches!$L$2:$L$25,"Complete")</f>
        <v>0</v>
      </c>
      <c r="I5">
        <f>SUMIFS(Matches!$J$2:$J$25,Matches!$G$2:$G$25,$B5,Matches!$L$2:$L$25,"Complete")+SUMIFS(Matches!$I$2:$I$25,Matches!$H$2:$H$25,$B5,Matches!$L$2:$L$25,"Complete")</f>
        <v>0</v>
      </c>
      <c r="J5">
        <f t="shared" si="0"/>
        <v>0</v>
      </c>
      <c r="K5">
        <f>SUMIFS(Matches!$M$2:$M$25,Matches!$G$2:$G$25,$B5,Matches!$L$2:$L$25,"Complete")+SUMIFS(Matches!$N$2:$N$25,Matches!$H$2:$H$25,$B5,Matches!$L$2:$L$25,"Complete")</f>
        <v>0</v>
      </c>
      <c r="L5" s="2">
        <f>0</f>
        <v>0</v>
      </c>
      <c r="M5">
        <f t="shared" si="1"/>
        <v>-5.0000000000000001E-3</v>
      </c>
    </row>
    <row r="6" spans="1:26" x14ac:dyDescent="0.3">
      <c r="A6" t="s">
        <v>43</v>
      </c>
      <c r="B6" t="s">
        <v>44</v>
      </c>
      <c r="C6">
        <f>COUNTIFS(Matches!$G$2:$G$25,$B6,Matches!$L$2:$L$25,"Complete")+COUNTIFS(Matches!$H$2:$H$25,$B6,Matches!$L$2:$L$25,"Complete")</f>
        <v>0</v>
      </c>
      <c r="D6">
        <f>COUNTIFS(Matches!$G$2:$G$25,$B6,Matches!$L$2:$L$25,"Complete",Matches!$M$2:$M$25,3)+COUNTIFS(Matches!$H$2:$H$25,$B6,Matches!$L$2:$L$25,"Complete",Matches!$N$2:$N$25,3)</f>
        <v>0</v>
      </c>
      <c r="E6">
        <f>COUNTIFS(Matches!$G$2:$G$25,$B6,Matches!$L$2:$L$25,"Complete",Matches!$M$2:$M$25,2)+COUNTIFS(Matches!$H$2:$H$25,$B6,Matches!$L$2:$L$25,"Complete",Matches!$N$2:$N$25,2)</f>
        <v>0</v>
      </c>
      <c r="F6">
        <f>COUNTIFS(Matches!$G$2:$G$25,$B6,Matches!$L$2:$L$25,"Complete",Matches!$M$2:$M$25,1)+COUNTIFS(Matches!$H$2:$H$25,$B6,Matches!$L$2:$L$25,"Complete",Matches!$N$2:$N$25,1)</f>
        <v>0</v>
      </c>
      <c r="G6">
        <f>COUNTIFS(Matches!$G$2:$G$25,$B6,Matches!$L$2:$L$25,"Complete",Matches!$M$2:$M$25,0)+COUNTIFS(Matches!$H$2:$H$25,$B6,Matches!$L$2:$L$25,"Complete",Matches!$N$2:$N$25,0)</f>
        <v>0</v>
      </c>
      <c r="H6">
        <f>SUMIFS(Matches!$I$2:$I$25,Matches!$G$2:$G$25,$B6,Matches!$L$2:$L$25,"Complete")+SUMIFS(Matches!$J$2:$J$25,Matches!$H$2:$H$25,$B6,Matches!$L$2:$L$25,"Complete")</f>
        <v>0</v>
      </c>
      <c r="I6">
        <f>SUMIFS(Matches!$J$2:$J$25,Matches!$G$2:$G$25,$B6,Matches!$L$2:$L$25,"Complete")+SUMIFS(Matches!$I$2:$I$25,Matches!$H$2:$H$25,$B6,Matches!$L$2:$L$25,"Complete")</f>
        <v>0</v>
      </c>
      <c r="J6">
        <f t="shared" si="0"/>
        <v>0</v>
      </c>
      <c r="K6">
        <f>SUMIFS(Matches!$M$2:$M$25,Matches!$G$2:$G$25,$B6,Matches!$L$2:$L$25,"Complete")+SUMIFS(Matches!$N$2:$N$25,Matches!$H$2:$H$25,$B6,Matches!$L$2:$L$25,"Complete")</f>
        <v>0</v>
      </c>
      <c r="L6" s="2">
        <f>0</f>
        <v>0</v>
      </c>
      <c r="M6">
        <f t="shared" si="1"/>
        <v>-6.0000000000000001E-3</v>
      </c>
    </row>
    <row r="7" spans="1:26" x14ac:dyDescent="0.3">
      <c r="A7" t="s">
        <v>43</v>
      </c>
      <c r="B7" t="s">
        <v>46</v>
      </c>
      <c r="C7">
        <f>COUNTIFS(Matches!$G$2:$G$25,$B7,Matches!$L$2:$L$25,"Complete")+COUNTIFS(Matches!$H$2:$H$25,$B7,Matches!$L$2:$L$25,"Complete")</f>
        <v>0</v>
      </c>
      <c r="D7">
        <f>COUNTIFS(Matches!$G$2:$G$25,$B7,Matches!$L$2:$L$25,"Complete",Matches!$M$2:$M$25,3)+COUNTIFS(Matches!$H$2:$H$25,$B7,Matches!$L$2:$L$25,"Complete",Matches!$N$2:$N$25,3)</f>
        <v>0</v>
      </c>
      <c r="E7">
        <f>COUNTIFS(Matches!$G$2:$G$25,$B7,Matches!$L$2:$L$25,"Complete",Matches!$M$2:$M$25,2)+COUNTIFS(Matches!$H$2:$H$25,$B7,Matches!$L$2:$L$25,"Complete",Matches!$N$2:$N$25,2)</f>
        <v>0</v>
      </c>
      <c r="F7">
        <f>COUNTIFS(Matches!$G$2:$G$25,$B7,Matches!$L$2:$L$25,"Complete",Matches!$M$2:$M$25,1)+COUNTIFS(Matches!$H$2:$H$25,$B7,Matches!$L$2:$L$25,"Complete",Matches!$N$2:$N$25,1)</f>
        <v>0</v>
      </c>
      <c r="G7">
        <f>COUNTIFS(Matches!$G$2:$G$25,$B7,Matches!$L$2:$L$25,"Complete",Matches!$M$2:$M$25,0)+COUNTIFS(Matches!$H$2:$H$25,$B7,Matches!$L$2:$L$25,"Complete",Matches!$N$2:$N$25,0)</f>
        <v>0</v>
      </c>
      <c r="H7">
        <f>SUMIFS(Matches!$I$2:$I$25,Matches!$G$2:$G$25,$B7,Matches!$L$2:$L$25,"Complete")+SUMIFS(Matches!$J$2:$J$25,Matches!$H$2:$H$25,$B7,Matches!$L$2:$L$25,"Complete")</f>
        <v>0</v>
      </c>
      <c r="I7">
        <f>SUMIFS(Matches!$J$2:$J$25,Matches!$G$2:$G$25,$B7,Matches!$L$2:$L$25,"Complete")+SUMIFS(Matches!$I$2:$I$25,Matches!$H$2:$H$25,$B7,Matches!$L$2:$L$25,"Complete")</f>
        <v>0</v>
      </c>
      <c r="J7">
        <f t="shared" si="0"/>
        <v>0</v>
      </c>
      <c r="K7">
        <f>SUMIFS(Matches!$M$2:$M$25,Matches!$G$2:$G$25,$B7,Matches!$L$2:$L$25,"Complete")+SUMIFS(Matches!$N$2:$N$25,Matches!$H$2:$H$25,$B7,Matches!$L$2:$L$25,"Complete")</f>
        <v>0</v>
      </c>
      <c r="L7" s="2">
        <f>0</f>
        <v>0</v>
      </c>
      <c r="M7">
        <f t="shared" si="1"/>
        <v>-7.0000000000000001E-3</v>
      </c>
    </row>
    <row r="8" spans="1:26" x14ac:dyDescent="0.3">
      <c r="A8" t="s">
        <v>43</v>
      </c>
      <c r="B8" t="s">
        <v>48</v>
      </c>
      <c r="C8">
        <f>COUNTIFS(Matches!$G$2:$G$25,$B8,Matches!$L$2:$L$25,"Complete")+COUNTIFS(Matches!$H$2:$H$25,$B8,Matches!$L$2:$L$25,"Complete")</f>
        <v>0</v>
      </c>
      <c r="D8">
        <f>COUNTIFS(Matches!$G$2:$G$25,$B8,Matches!$L$2:$L$25,"Complete",Matches!$M$2:$M$25,3)+COUNTIFS(Matches!$H$2:$H$25,$B8,Matches!$L$2:$L$25,"Complete",Matches!$N$2:$N$25,3)</f>
        <v>0</v>
      </c>
      <c r="E8">
        <f>COUNTIFS(Matches!$G$2:$G$25,$B8,Matches!$L$2:$L$25,"Complete",Matches!$M$2:$M$25,2)+COUNTIFS(Matches!$H$2:$H$25,$B8,Matches!$L$2:$L$25,"Complete",Matches!$N$2:$N$25,2)</f>
        <v>0</v>
      </c>
      <c r="F8">
        <f>COUNTIFS(Matches!$G$2:$G$25,$B8,Matches!$L$2:$L$25,"Complete",Matches!$M$2:$M$25,1)+COUNTIFS(Matches!$H$2:$H$25,$B8,Matches!$L$2:$L$25,"Complete",Matches!$N$2:$N$25,1)</f>
        <v>0</v>
      </c>
      <c r="G8">
        <f>COUNTIFS(Matches!$G$2:$G$25,$B8,Matches!$L$2:$L$25,"Complete",Matches!$M$2:$M$25,0)+COUNTIFS(Matches!$H$2:$H$25,$B8,Matches!$L$2:$L$25,"Complete",Matches!$N$2:$N$25,0)</f>
        <v>0</v>
      </c>
      <c r="H8">
        <f>SUMIFS(Matches!$I$2:$I$25,Matches!$G$2:$G$25,$B8,Matches!$L$2:$L$25,"Complete")+SUMIFS(Matches!$J$2:$J$25,Matches!$H$2:$H$25,$B8,Matches!$L$2:$L$25,"Complete")</f>
        <v>0</v>
      </c>
      <c r="I8">
        <f>SUMIFS(Matches!$J$2:$J$25,Matches!$G$2:$G$25,$B8,Matches!$L$2:$L$25,"Complete")+SUMIFS(Matches!$I$2:$I$25,Matches!$H$2:$H$25,$B8,Matches!$L$2:$L$25,"Complete")</f>
        <v>0</v>
      </c>
      <c r="J8">
        <f t="shared" si="0"/>
        <v>0</v>
      </c>
      <c r="K8">
        <f>SUMIFS(Matches!$M$2:$M$25,Matches!$G$2:$G$25,$B8,Matches!$L$2:$L$25,"Complete")+SUMIFS(Matches!$N$2:$N$25,Matches!$H$2:$H$25,$B8,Matches!$L$2:$L$25,"Complete")</f>
        <v>0</v>
      </c>
      <c r="L8" s="2">
        <f>0</f>
        <v>0</v>
      </c>
      <c r="M8">
        <f t="shared" si="1"/>
        <v>-8.0000000000000002E-3</v>
      </c>
    </row>
    <row r="9" spans="1:26" x14ac:dyDescent="0.3">
      <c r="A9" t="s">
        <v>43</v>
      </c>
      <c r="B9" t="s">
        <v>50</v>
      </c>
      <c r="C9">
        <f>COUNTIFS(Matches!$G$2:$G$25,$B9,Matches!$L$2:$L$25,"Complete")+COUNTIFS(Matches!$H$2:$H$25,$B9,Matches!$L$2:$L$25,"Complete")</f>
        <v>0</v>
      </c>
      <c r="D9">
        <f>COUNTIFS(Matches!$G$2:$G$25,$B9,Matches!$L$2:$L$25,"Complete",Matches!$M$2:$M$25,3)+COUNTIFS(Matches!$H$2:$H$25,$B9,Matches!$L$2:$L$25,"Complete",Matches!$N$2:$N$25,3)</f>
        <v>0</v>
      </c>
      <c r="E9">
        <f>COUNTIFS(Matches!$G$2:$G$25,$B9,Matches!$L$2:$L$25,"Complete",Matches!$M$2:$M$25,2)+COUNTIFS(Matches!$H$2:$H$25,$B9,Matches!$L$2:$L$25,"Complete",Matches!$N$2:$N$25,2)</f>
        <v>0</v>
      </c>
      <c r="F9">
        <f>COUNTIFS(Matches!$G$2:$G$25,$B9,Matches!$L$2:$L$25,"Complete",Matches!$M$2:$M$25,1)+COUNTIFS(Matches!$H$2:$H$25,$B9,Matches!$L$2:$L$25,"Complete",Matches!$N$2:$N$25,1)</f>
        <v>0</v>
      </c>
      <c r="G9">
        <f>COUNTIFS(Matches!$G$2:$G$25,$B9,Matches!$L$2:$L$25,"Complete",Matches!$M$2:$M$25,0)+COUNTIFS(Matches!$H$2:$H$25,$B9,Matches!$L$2:$L$25,"Complete",Matches!$N$2:$N$25,0)</f>
        <v>0</v>
      </c>
      <c r="H9">
        <f>SUMIFS(Matches!$I$2:$I$25,Matches!$G$2:$G$25,$B9,Matches!$L$2:$L$25,"Complete")+SUMIFS(Matches!$J$2:$J$25,Matches!$H$2:$H$25,$B9,Matches!$L$2:$L$25,"Complete")</f>
        <v>0</v>
      </c>
      <c r="I9">
        <f>SUMIFS(Matches!$J$2:$J$25,Matches!$G$2:$G$25,$B9,Matches!$L$2:$L$25,"Complete")+SUMIFS(Matches!$I$2:$I$25,Matches!$H$2:$H$25,$B9,Matches!$L$2:$L$25,"Complete")</f>
        <v>0</v>
      </c>
      <c r="J9">
        <f t="shared" si="0"/>
        <v>0</v>
      </c>
      <c r="K9">
        <f>SUMIFS(Matches!$M$2:$M$25,Matches!$G$2:$G$25,$B9,Matches!$L$2:$L$25,"Complete")+SUMIFS(Matches!$N$2:$N$25,Matches!$H$2:$H$25,$B9,Matches!$L$2:$L$25,"Complete")</f>
        <v>0</v>
      </c>
      <c r="L9" s="2">
        <f>0</f>
        <v>0</v>
      </c>
      <c r="M9">
        <f t="shared" si="1"/>
        <v>-8.9999999999999993E-3</v>
      </c>
    </row>
    <row r="10" spans="1:26" x14ac:dyDescent="0.3">
      <c r="A10" t="s">
        <v>52</v>
      </c>
      <c r="B10" t="s">
        <v>53</v>
      </c>
      <c r="C10">
        <f>COUNTIFS(Matches!$G$2:$G$25,$B10,Matches!$L$2:$L$25,"Complete")+COUNTIFS(Matches!$H$2:$H$25,$B10,Matches!$L$2:$L$25,"Complete")</f>
        <v>0</v>
      </c>
      <c r="D10">
        <f>COUNTIFS(Matches!$G$2:$G$25,$B10,Matches!$L$2:$L$25,"Complete",Matches!$M$2:$M$25,3)+COUNTIFS(Matches!$H$2:$H$25,$B10,Matches!$L$2:$L$25,"Complete",Matches!$N$2:$N$25,3)</f>
        <v>0</v>
      </c>
      <c r="E10">
        <f>COUNTIFS(Matches!$G$2:$G$25,$B10,Matches!$L$2:$L$25,"Complete",Matches!$M$2:$M$25,2)+COUNTIFS(Matches!$H$2:$H$25,$B10,Matches!$L$2:$L$25,"Complete",Matches!$N$2:$N$25,2)</f>
        <v>0</v>
      </c>
      <c r="F10">
        <f>COUNTIFS(Matches!$G$2:$G$25,$B10,Matches!$L$2:$L$25,"Complete",Matches!$M$2:$M$25,1)+COUNTIFS(Matches!$H$2:$H$25,$B10,Matches!$L$2:$L$25,"Complete",Matches!$N$2:$N$25,1)</f>
        <v>0</v>
      </c>
      <c r="G10">
        <f>COUNTIFS(Matches!$G$2:$G$25,$B10,Matches!$L$2:$L$25,"Complete",Matches!$M$2:$M$25,0)+COUNTIFS(Matches!$H$2:$H$25,$B10,Matches!$L$2:$L$25,"Complete",Matches!$N$2:$N$25,0)</f>
        <v>0</v>
      </c>
      <c r="H10">
        <f>SUMIFS(Matches!$I$2:$I$25,Matches!$G$2:$G$25,$B10,Matches!$L$2:$L$25,"Complete")+SUMIFS(Matches!$J$2:$J$25,Matches!$H$2:$H$25,$B10,Matches!$L$2:$L$25,"Complete")</f>
        <v>0</v>
      </c>
      <c r="I10">
        <f>SUMIFS(Matches!$J$2:$J$25,Matches!$G$2:$G$25,$B10,Matches!$L$2:$L$25,"Complete")+SUMIFS(Matches!$I$2:$I$25,Matches!$H$2:$H$25,$B10,Matches!$L$2:$L$25,"Complete")</f>
        <v>0</v>
      </c>
      <c r="J10">
        <f t="shared" si="0"/>
        <v>0</v>
      </c>
      <c r="K10">
        <f>SUMIFS(Matches!$M$2:$M$25,Matches!$G$2:$G$25,$B10,Matches!$L$2:$L$25,"Complete")+SUMIFS(Matches!$N$2:$N$25,Matches!$H$2:$H$25,$B10,Matches!$L$2:$L$25,"Complete")</f>
        <v>0</v>
      </c>
      <c r="L10" s="2">
        <f>0</f>
        <v>0</v>
      </c>
      <c r="M10">
        <f t="shared" si="1"/>
        <v>-0.01</v>
      </c>
    </row>
    <row r="11" spans="1:26" x14ac:dyDescent="0.3">
      <c r="A11" t="s">
        <v>52</v>
      </c>
      <c r="B11" t="s">
        <v>55</v>
      </c>
      <c r="C11">
        <f>COUNTIFS(Matches!$G$2:$G$25,$B11,Matches!$L$2:$L$25,"Complete")+COUNTIFS(Matches!$H$2:$H$25,$B11,Matches!$L$2:$L$25,"Complete")</f>
        <v>0</v>
      </c>
      <c r="D11">
        <f>COUNTIFS(Matches!$G$2:$G$25,$B11,Matches!$L$2:$L$25,"Complete",Matches!$M$2:$M$25,3)+COUNTIFS(Matches!$H$2:$H$25,$B11,Matches!$L$2:$L$25,"Complete",Matches!$N$2:$N$25,3)</f>
        <v>0</v>
      </c>
      <c r="E11">
        <f>COUNTIFS(Matches!$G$2:$G$25,$B11,Matches!$L$2:$L$25,"Complete",Matches!$M$2:$M$25,2)+COUNTIFS(Matches!$H$2:$H$25,$B11,Matches!$L$2:$L$25,"Complete",Matches!$N$2:$N$25,2)</f>
        <v>0</v>
      </c>
      <c r="F11">
        <f>COUNTIFS(Matches!$G$2:$G$25,$B11,Matches!$L$2:$L$25,"Complete",Matches!$M$2:$M$25,1)+COUNTIFS(Matches!$H$2:$H$25,$B11,Matches!$L$2:$L$25,"Complete",Matches!$N$2:$N$25,1)</f>
        <v>0</v>
      </c>
      <c r="G11">
        <f>COUNTIFS(Matches!$G$2:$G$25,$B11,Matches!$L$2:$L$25,"Complete",Matches!$M$2:$M$25,0)+COUNTIFS(Matches!$H$2:$H$25,$B11,Matches!$L$2:$L$25,"Complete",Matches!$N$2:$N$25,0)</f>
        <v>0</v>
      </c>
      <c r="H11">
        <f>SUMIFS(Matches!$I$2:$I$25,Matches!$G$2:$G$25,$B11,Matches!$L$2:$L$25,"Complete")+SUMIFS(Matches!$J$2:$J$25,Matches!$H$2:$H$25,$B11,Matches!$L$2:$L$25,"Complete")</f>
        <v>0</v>
      </c>
      <c r="I11">
        <f>SUMIFS(Matches!$J$2:$J$25,Matches!$G$2:$G$25,$B11,Matches!$L$2:$L$25,"Complete")+SUMIFS(Matches!$I$2:$I$25,Matches!$H$2:$H$25,$B11,Matches!$L$2:$L$25,"Complete")</f>
        <v>0</v>
      </c>
      <c r="J11">
        <f t="shared" si="0"/>
        <v>0</v>
      </c>
      <c r="K11">
        <f>SUMIFS(Matches!$M$2:$M$25,Matches!$G$2:$G$25,$B11,Matches!$L$2:$L$25,"Complete")+SUMIFS(Matches!$N$2:$N$25,Matches!$H$2:$H$25,$B11,Matches!$L$2:$L$25,"Complete")</f>
        <v>0</v>
      </c>
      <c r="L11" s="2">
        <f>0</f>
        <v>0</v>
      </c>
      <c r="M11">
        <f t="shared" si="1"/>
        <v>-1.0999999999999999E-2</v>
      </c>
    </row>
    <row r="12" spans="1:26" x14ac:dyDescent="0.3">
      <c r="A12" t="s">
        <v>52</v>
      </c>
      <c r="B12" t="s">
        <v>57</v>
      </c>
      <c r="C12">
        <f>COUNTIFS(Matches!$G$2:$G$25,$B12,Matches!$L$2:$L$25,"Complete")+COUNTIFS(Matches!$H$2:$H$25,$B12,Matches!$L$2:$L$25,"Complete")</f>
        <v>0</v>
      </c>
      <c r="D12">
        <f>COUNTIFS(Matches!$G$2:$G$25,$B12,Matches!$L$2:$L$25,"Complete",Matches!$M$2:$M$25,3)+COUNTIFS(Matches!$H$2:$H$25,$B12,Matches!$L$2:$L$25,"Complete",Matches!$N$2:$N$25,3)</f>
        <v>0</v>
      </c>
      <c r="E12">
        <f>COUNTIFS(Matches!$G$2:$G$25,$B12,Matches!$L$2:$L$25,"Complete",Matches!$M$2:$M$25,2)+COUNTIFS(Matches!$H$2:$H$25,$B12,Matches!$L$2:$L$25,"Complete",Matches!$N$2:$N$25,2)</f>
        <v>0</v>
      </c>
      <c r="F12">
        <f>COUNTIFS(Matches!$G$2:$G$25,$B12,Matches!$L$2:$L$25,"Complete",Matches!$M$2:$M$25,1)+COUNTIFS(Matches!$H$2:$H$25,$B12,Matches!$L$2:$L$25,"Complete",Matches!$N$2:$N$25,1)</f>
        <v>0</v>
      </c>
      <c r="G12">
        <f>COUNTIFS(Matches!$G$2:$G$25,$B12,Matches!$L$2:$L$25,"Complete",Matches!$M$2:$M$25,0)+COUNTIFS(Matches!$H$2:$H$25,$B12,Matches!$L$2:$L$25,"Complete",Matches!$N$2:$N$25,0)</f>
        <v>0</v>
      </c>
      <c r="H12">
        <f>SUMIFS(Matches!$I$2:$I$25,Matches!$G$2:$G$25,$B12,Matches!$L$2:$L$25,"Complete")+SUMIFS(Matches!$J$2:$J$25,Matches!$H$2:$H$25,$B12,Matches!$L$2:$L$25,"Complete")</f>
        <v>0</v>
      </c>
      <c r="I12">
        <f>SUMIFS(Matches!$J$2:$J$25,Matches!$G$2:$G$25,$B12,Matches!$L$2:$L$25,"Complete")+SUMIFS(Matches!$I$2:$I$25,Matches!$H$2:$H$25,$B12,Matches!$L$2:$L$25,"Complete")</f>
        <v>0</v>
      </c>
      <c r="J12">
        <f t="shared" si="0"/>
        <v>0</v>
      </c>
      <c r="K12">
        <f>SUMIFS(Matches!$M$2:$M$25,Matches!$G$2:$G$25,$B12,Matches!$L$2:$L$25,"Complete")+SUMIFS(Matches!$N$2:$N$25,Matches!$H$2:$H$25,$B12,Matches!$L$2:$L$25,"Complete")</f>
        <v>0</v>
      </c>
      <c r="L12" s="2">
        <f>0</f>
        <v>0</v>
      </c>
      <c r="M12">
        <f t="shared" si="1"/>
        <v>-1.2E-2</v>
      </c>
    </row>
    <row r="13" spans="1:26" x14ac:dyDescent="0.3">
      <c r="A13" t="s">
        <v>52</v>
      </c>
      <c r="B13" t="s">
        <v>59</v>
      </c>
      <c r="C13">
        <f>COUNTIFS(Matches!$G$2:$G$25,$B13,Matches!$L$2:$L$25,"Complete")+COUNTIFS(Matches!$H$2:$H$25,$B13,Matches!$L$2:$L$25,"Complete")</f>
        <v>0</v>
      </c>
      <c r="D13">
        <f>COUNTIFS(Matches!$G$2:$G$25,$B13,Matches!$L$2:$L$25,"Complete",Matches!$M$2:$M$25,3)+COUNTIFS(Matches!$H$2:$H$25,$B13,Matches!$L$2:$L$25,"Complete",Matches!$N$2:$N$25,3)</f>
        <v>0</v>
      </c>
      <c r="E13">
        <f>COUNTIFS(Matches!$G$2:$G$25,$B13,Matches!$L$2:$L$25,"Complete",Matches!$M$2:$M$25,2)+COUNTIFS(Matches!$H$2:$H$25,$B13,Matches!$L$2:$L$25,"Complete",Matches!$N$2:$N$25,2)</f>
        <v>0</v>
      </c>
      <c r="F13">
        <f>COUNTIFS(Matches!$G$2:$G$25,$B13,Matches!$L$2:$L$25,"Complete",Matches!$M$2:$M$25,1)+COUNTIFS(Matches!$H$2:$H$25,$B13,Matches!$L$2:$L$25,"Complete",Matches!$N$2:$N$25,1)</f>
        <v>0</v>
      </c>
      <c r="G13">
        <f>COUNTIFS(Matches!$G$2:$G$25,$B13,Matches!$L$2:$L$25,"Complete",Matches!$M$2:$M$25,0)+COUNTIFS(Matches!$H$2:$H$25,$B13,Matches!$L$2:$L$25,"Complete",Matches!$N$2:$N$25,0)</f>
        <v>0</v>
      </c>
      <c r="H13">
        <f>SUMIFS(Matches!$I$2:$I$25,Matches!$G$2:$G$25,$B13,Matches!$L$2:$L$25,"Complete")+SUMIFS(Matches!$J$2:$J$25,Matches!$H$2:$H$25,$B13,Matches!$L$2:$L$25,"Complete")</f>
        <v>0</v>
      </c>
      <c r="I13">
        <f>SUMIFS(Matches!$J$2:$J$25,Matches!$G$2:$G$25,$B13,Matches!$L$2:$L$25,"Complete")+SUMIFS(Matches!$I$2:$I$25,Matches!$H$2:$H$25,$B13,Matches!$L$2:$L$25,"Complete")</f>
        <v>0</v>
      </c>
      <c r="J13">
        <f t="shared" si="0"/>
        <v>0</v>
      </c>
      <c r="K13">
        <f>SUMIFS(Matches!$M$2:$M$25,Matches!$G$2:$G$25,$B13,Matches!$L$2:$L$25,"Complete")+SUMIFS(Matches!$N$2:$N$25,Matches!$H$2:$H$25,$B13,Matches!$L$2:$L$25,"Complete")</f>
        <v>0</v>
      </c>
      <c r="L13" s="2">
        <f>0</f>
        <v>0</v>
      </c>
      <c r="M13">
        <f t="shared" si="1"/>
        <v>-1.2999999999999999E-2</v>
      </c>
    </row>
    <row r="14" spans="1:26" x14ac:dyDescent="0.3">
      <c r="A14" t="s">
        <v>61</v>
      </c>
      <c r="B14" t="s">
        <v>62</v>
      </c>
      <c r="C14">
        <f>COUNTIFS(Matches!$G$2:$G$25,$B14,Matches!$L$2:$L$25,"Complete")+COUNTIFS(Matches!$H$2:$H$25,$B14,Matches!$L$2:$L$25,"Complete")</f>
        <v>1</v>
      </c>
      <c r="D14">
        <f>COUNTIFS(Matches!$G$2:$G$25,$B14,Matches!$L$2:$L$25,"Complete",Matches!$M$2:$M$25,3)+COUNTIFS(Matches!$H$2:$H$25,$B14,Matches!$L$2:$L$25,"Complete",Matches!$N$2:$N$25,3)</f>
        <v>1</v>
      </c>
      <c r="E14">
        <f>COUNTIFS(Matches!$G$2:$G$25,$B14,Matches!$L$2:$L$25,"Complete",Matches!$M$2:$M$25,2)+COUNTIFS(Matches!$H$2:$H$25,$B14,Matches!$L$2:$L$25,"Complete",Matches!$N$2:$N$25,2)</f>
        <v>0</v>
      </c>
      <c r="F14">
        <f>COUNTIFS(Matches!$G$2:$G$25,$B14,Matches!$L$2:$L$25,"Complete",Matches!$M$2:$M$25,1)+COUNTIFS(Matches!$H$2:$H$25,$B14,Matches!$L$2:$L$25,"Complete",Matches!$N$2:$N$25,1)</f>
        <v>0</v>
      </c>
      <c r="G14">
        <f>COUNTIFS(Matches!$G$2:$G$25,$B14,Matches!$L$2:$L$25,"Complete",Matches!$M$2:$M$25,0)+COUNTIFS(Matches!$H$2:$H$25,$B14,Matches!$L$2:$L$25,"Complete",Matches!$N$2:$N$25,0)</f>
        <v>0</v>
      </c>
      <c r="H14">
        <f>SUMIFS(Matches!$I$2:$I$25,Matches!$G$2:$G$25,$B14,Matches!$L$2:$L$25,"Complete")+SUMIFS(Matches!$J$2:$J$25,Matches!$H$2:$H$25,$B14,Matches!$L$2:$L$25,"Complete")</f>
        <v>1</v>
      </c>
      <c r="I14">
        <f>SUMIFS(Matches!$J$2:$J$25,Matches!$G$2:$G$25,$B14,Matches!$L$2:$L$25,"Complete")+SUMIFS(Matches!$I$2:$I$25,Matches!$H$2:$H$25,$B14,Matches!$L$2:$L$25,"Complete")</f>
        <v>0</v>
      </c>
      <c r="J14">
        <f t="shared" si="0"/>
        <v>1</v>
      </c>
      <c r="K14">
        <f>SUMIFS(Matches!$M$2:$M$25,Matches!$G$2:$G$25,$B14,Matches!$L$2:$L$25,"Complete")+SUMIFS(Matches!$N$2:$N$25,Matches!$H$2:$H$25,$B14,Matches!$L$2:$L$25,"Complete")</f>
        <v>3</v>
      </c>
      <c r="L14" s="2">
        <f>0</f>
        <v>0</v>
      </c>
      <c r="M14">
        <f t="shared" si="1"/>
        <v>3000100.986</v>
      </c>
    </row>
    <row r="15" spans="1:26" x14ac:dyDescent="0.3">
      <c r="A15" t="s">
        <v>61</v>
      </c>
      <c r="B15" t="s">
        <v>64</v>
      </c>
      <c r="C15">
        <f>COUNTIFS(Matches!$G$2:$G$25,$B15,Matches!$L$2:$L$25,"Complete")+COUNTIFS(Matches!$H$2:$H$25,$B15,Matches!$L$2:$L$25,"Complete")</f>
        <v>1</v>
      </c>
      <c r="D15">
        <f>COUNTIFS(Matches!$G$2:$G$25,$B15,Matches!$L$2:$L$25,"Complete",Matches!$M$2:$M$25,3)+COUNTIFS(Matches!$H$2:$H$25,$B15,Matches!$L$2:$L$25,"Complete",Matches!$N$2:$N$25,3)</f>
        <v>0</v>
      </c>
      <c r="E15">
        <f>COUNTIFS(Matches!$G$2:$G$25,$B15,Matches!$L$2:$L$25,"Complete",Matches!$M$2:$M$25,2)+COUNTIFS(Matches!$H$2:$H$25,$B15,Matches!$L$2:$L$25,"Complete",Matches!$N$2:$N$25,2)</f>
        <v>0</v>
      </c>
      <c r="F15">
        <f>COUNTIFS(Matches!$G$2:$G$25,$B15,Matches!$L$2:$L$25,"Complete",Matches!$M$2:$M$25,1)+COUNTIFS(Matches!$H$2:$H$25,$B15,Matches!$L$2:$L$25,"Complete",Matches!$N$2:$N$25,1)</f>
        <v>0</v>
      </c>
      <c r="G15">
        <f>COUNTIFS(Matches!$G$2:$G$25,$B15,Matches!$L$2:$L$25,"Complete",Matches!$M$2:$M$25,0)+COUNTIFS(Matches!$H$2:$H$25,$B15,Matches!$L$2:$L$25,"Complete",Matches!$N$2:$N$25,0)</f>
        <v>1</v>
      </c>
      <c r="H15">
        <f>SUMIFS(Matches!$I$2:$I$25,Matches!$G$2:$G$25,$B15,Matches!$L$2:$L$25,"Complete")+SUMIFS(Matches!$J$2:$J$25,Matches!$H$2:$H$25,$B15,Matches!$L$2:$L$25,"Complete")</f>
        <v>0</v>
      </c>
      <c r="I15">
        <f>SUMIFS(Matches!$J$2:$J$25,Matches!$G$2:$G$25,$B15,Matches!$L$2:$L$25,"Complete")+SUMIFS(Matches!$I$2:$I$25,Matches!$H$2:$H$25,$B15,Matches!$L$2:$L$25,"Complete")</f>
        <v>1</v>
      </c>
      <c r="J15">
        <f t="shared" si="0"/>
        <v>-1</v>
      </c>
      <c r="K15">
        <f>SUMIFS(Matches!$M$2:$M$25,Matches!$G$2:$G$25,$B15,Matches!$L$2:$L$25,"Complete")+SUMIFS(Matches!$N$2:$N$25,Matches!$H$2:$H$25,$B15,Matches!$L$2:$L$25,"Complete")</f>
        <v>0</v>
      </c>
      <c r="L15" s="2">
        <f>0</f>
        <v>0</v>
      </c>
      <c r="M15">
        <f t="shared" si="1"/>
        <v>-100.015</v>
      </c>
    </row>
    <row r="16" spans="1:26" x14ac:dyDescent="0.3">
      <c r="A16" t="s">
        <v>61</v>
      </c>
      <c r="B16" t="s">
        <v>66</v>
      </c>
      <c r="C16">
        <f>COUNTIFS(Matches!$G$2:$G$25,$B16,Matches!$L$2:$L$25,"Complete")+COUNTIFS(Matches!$H$2:$H$25,$B16,Matches!$L$2:$L$25,"Complete")</f>
        <v>0</v>
      </c>
      <c r="D16">
        <f>COUNTIFS(Matches!$G$2:$G$25,$B16,Matches!$L$2:$L$25,"Complete",Matches!$M$2:$M$25,3)+COUNTIFS(Matches!$H$2:$H$25,$B16,Matches!$L$2:$L$25,"Complete",Matches!$N$2:$N$25,3)</f>
        <v>0</v>
      </c>
      <c r="E16">
        <f>COUNTIFS(Matches!$G$2:$G$25,$B16,Matches!$L$2:$L$25,"Complete",Matches!$M$2:$M$25,2)+COUNTIFS(Matches!$H$2:$H$25,$B16,Matches!$L$2:$L$25,"Complete",Matches!$N$2:$N$25,2)</f>
        <v>0</v>
      </c>
      <c r="F16">
        <f>COUNTIFS(Matches!$G$2:$G$25,$B16,Matches!$L$2:$L$25,"Complete",Matches!$M$2:$M$25,1)+COUNTIFS(Matches!$H$2:$H$25,$B16,Matches!$L$2:$L$25,"Complete",Matches!$N$2:$N$25,1)</f>
        <v>0</v>
      </c>
      <c r="G16">
        <f>COUNTIFS(Matches!$G$2:$G$25,$B16,Matches!$L$2:$L$25,"Complete",Matches!$M$2:$M$25,0)+COUNTIFS(Matches!$H$2:$H$25,$B16,Matches!$L$2:$L$25,"Complete",Matches!$N$2:$N$25,0)</f>
        <v>0</v>
      </c>
      <c r="H16">
        <f>SUMIFS(Matches!$I$2:$I$25,Matches!$G$2:$G$25,$B16,Matches!$L$2:$L$25,"Complete")+SUMIFS(Matches!$J$2:$J$25,Matches!$H$2:$H$25,$B16,Matches!$L$2:$L$25,"Complete")</f>
        <v>0</v>
      </c>
      <c r="I16">
        <f>SUMIFS(Matches!$J$2:$J$25,Matches!$G$2:$G$25,$B16,Matches!$L$2:$L$25,"Complete")+SUMIFS(Matches!$I$2:$I$25,Matches!$H$2:$H$25,$B16,Matches!$L$2:$L$25,"Complete")</f>
        <v>0</v>
      </c>
      <c r="J16">
        <f t="shared" si="0"/>
        <v>0</v>
      </c>
      <c r="K16">
        <f>SUMIFS(Matches!$M$2:$M$25,Matches!$G$2:$G$25,$B16,Matches!$L$2:$L$25,"Complete")+SUMIFS(Matches!$N$2:$N$25,Matches!$H$2:$H$25,$B16,Matches!$L$2:$L$25,"Complete")</f>
        <v>0</v>
      </c>
      <c r="L16" s="2">
        <f>0</f>
        <v>0</v>
      </c>
      <c r="M16">
        <f t="shared" si="1"/>
        <v>-1.6E-2</v>
      </c>
    </row>
    <row r="17" spans="1:13" x14ac:dyDescent="0.3">
      <c r="A17" t="s">
        <v>61</v>
      </c>
      <c r="B17" t="s">
        <v>68</v>
      </c>
      <c r="C17">
        <f>COUNTIFS(Matches!$G$2:$G$25,$B17,Matches!$L$2:$L$25,"Complete")+COUNTIFS(Matches!$H$2:$H$25,$B17,Matches!$L$2:$L$25,"Complete")</f>
        <v>0</v>
      </c>
      <c r="D17">
        <f>COUNTIFS(Matches!$G$2:$G$25,$B17,Matches!$L$2:$L$25,"Complete",Matches!$M$2:$M$25,3)+COUNTIFS(Matches!$H$2:$H$25,$B17,Matches!$L$2:$L$25,"Complete",Matches!$N$2:$N$25,3)</f>
        <v>0</v>
      </c>
      <c r="E17">
        <f>COUNTIFS(Matches!$G$2:$G$25,$B17,Matches!$L$2:$L$25,"Complete",Matches!$M$2:$M$25,2)+COUNTIFS(Matches!$H$2:$H$25,$B17,Matches!$L$2:$L$25,"Complete",Matches!$N$2:$N$25,2)</f>
        <v>0</v>
      </c>
      <c r="F17">
        <f>COUNTIFS(Matches!$G$2:$G$25,$B17,Matches!$L$2:$L$25,"Complete",Matches!$M$2:$M$25,1)+COUNTIFS(Matches!$H$2:$H$25,$B17,Matches!$L$2:$L$25,"Complete",Matches!$N$2:$N$25,1)</f>
        <v>0</v>
      </c>
      <c r="G17">
        <f>COUNTIFS(Matches!$G$2:$G$25,$B17,Matches!$L$2:$L$25,"Complete",Matches!$M$2:$M$25,0)+COUNTIFS(Matches!$H$2:$H$25,$B17,Matches!$L$2:$L$25,"Complete",Matches!$N$2:$N$25,0)</f>
        <v>0</v>
      </c>
      <c r="H17">
        <f>SUMIFS(Matches!$I$2:$I$25,Matches!$G$2:$G$25,$B17,Matches!$L$2:$L$25,"Complete")+SUMIFS(Matches!$J$2:$J$25,Matches!$H$2:$H$25,$B17,Matches!$L$2:$L$25,"Complete")</f>
        <v>0</v>
      </c>
      <c r="I17">
        <f>SUMIFS(Matches!$J$2:$J$25,Matches!$G$2:$G$25,$B17,Matches!$L$2:$L$25,"Complete")+SUMIFS(Matches!$I$2:$I$25,Matches!$H$2:$H$25,$B17,Matches!$L$2:$L$25,"Complete")</f>
        <v>0</v>
      </c>
      <c r="J17">
        <f t="shared" si="0"/>
        <v>0</v>
      </c>
      <c r="K17">
        <f>SUMIFS(Matches!$M$2:$M$25,Matches!$G$2:$G$25,$B17,Matches!$L$2:$L$25,"Complete")+SUMIFS(Matches!$N$2:$N$25,Matches!$H$2:$H$25,$B17,Matches!$L$2:$L$25,"Complete")</f>
        <v>0</v>
      </c>
      <c r="L17" s="2">
        <f>0</f>
        <v>0</v>
      </c>
      <c r="M17">
        <f t="shared" si="1"/>
        <v>-1.7000000000000001E-2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>
      <selection activeCell="D14" sqref="D14:D17"/>
    </sheetView>
  </sheetViews>
  <sheetFormatPr defaultRowHeight="14.4" x14ac:dyDescent="0.3"/>
  <cols>
    <col min="1" max="2" width="12" customWidth="1"/>
    <col min="3" max="3" width="30" customWidth="1"/>
    <col min="4" max="12" width="12" customWidth="1"/>
  </cols>
  <sheetData>
    <row r="1" spans="1:26" x14ac:dyDescent="0.3">
      <c r="A1" s="5" t="s">
        <v>30</v>
      </c>
      <c r="B1" s="5" t="s">
        <v>577</v>
      </c>
      <c r="C1" s="5" t="s">
        <v>574</v>
      </c>
      <c r="D1" s="5" t="s">
        <v>588</v>
      </c>
      <c r="E1" s="5" t="s">
        <v>589</v>
      </c>
      <c r="F1" s="5" t="s">
        <v>590</v>
      </c>
      <c r="G1" s="5" t="s">
        <v>591</v>
      </c>
      <c r="H1" s="5" t="s">
        <v>592</v>
      </c>
      <c r="I1" s="5" t="s">
        <v>593</v>
      </c>
      <c r="J1" s="5" t="s">
        <v>583</v>
      </c>
      <c r="K1" s="5" t="s">
        <v>584</v>
      </c>
      <c r="L1" s="5" t="s">
        <v>585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34</v>
      </c>
      <c r="B2">
        <v>1</v>
      </c>
      <c r="C2" t="str">
        <f>INDEX(StandingsData!$B$2:$B$5,MATCH(LARGE(StandingsData!$M$2:$M$5,1),StandingsData!$M$2:$M$5,0))</f>
        <v>Fatine FC</v>
      </c>
      <c r="D2">
        <f>INDEX(StandingsData!$K$2:$K$5,MATCH(LARGE(StandingsData!$M$2:$M$5,1),StandingsData!$M$2:$M$5,0))</f>
        <v>0</v>
      </c>
      <c r="E2">
        <f>INDEX(StandingsData!$C$2:$C$5,MATCH(LARGE(StandingsData!$M$2:$M$5,1),StandingsData!$M$2:$M$5,0))</f>
        <v>0</v>
      </c>
      <c r="F2">
        <f>INDEX(StandingsData!$D$2:$D$5,MATCH(LARGE(StandingsData!$M$2:$M$5,1),StandingsData!$M$2:$M$5,0))</f>
        <v>0</v>
      </c>
      <c r="G2">
        <f>INDEX(StandingsData!$E$2:$E$5,MATCH(LARGE(StandingsData!$M$2:$M$5,1),StandingsData!$M$2:$M$5,0))</f>
        <v>0</v>
      </c>
      <c r="H2">
        <f>INDEX(StandingsData!$F$2:$F$5,MATCH(LARGE(StandingsData!$M$2:$M$5,1),StandingsData!$M$2:$M$5,0))</f>
        <v>0</v>
      </c>
      <c r="I2">
        <f>INDEX(StandingsData!$G$2:$G$5,MATCH(LARGE(StandingsData!$M$2:$M$5,1),StandingsData!$M$2:$M$5,0))</f>
        <v>0</v>
      </c>
      <c r="J2">
        <f>INDEX(StandingsData!$H$2:$H$5,MATCH(LARGE(StandingsData!$M$2:$M$5,1),StandingsData!$M$2:$M$5,0))</f>
        <v>0</v>
      </c>
      <c r="K2">
        <f>INDEX(StandingsData!$I$2:$I$5,MATCH(LARGE(StandingsData!$M$2:$M$5,1),StandingsData!$M$2:$M$5,0))</f>
        <v>0</v>
      </c>
      <c r="L2">
        <f>INDEX(StandingsData!$J$2:$J$5,MATCH(LARGE(StandingsData!$M$2:$M$5,1),StandingsData!$M$2:$M$5,0))</f>
        <v>0</v>
      </c>
    </row>
    <row r="3" spans="1:26" x14ac:dyDescent="0.3">
      <c r="A3" t="s">
        <v>34</v>
      </c>
      <c r="B3">
        <v>2</v>
      </c>
      <c r="C3" t="str">
        <f>INDEX(StandingsData!$B$2:$B$5,MATCH(LARGE(StandingsData!$M$2:$M$5,2),StandingsData!$M$2:$M$5,0))</f>
        <v>FC Internazionale Rovigo</v>
      </c>
      <c r="D3">
        <f>INDEX(StandingsData!$K$2:$K$5,MATCH(LARGE(StandingsData!$M$2:$M$5,2),StandingsData!$M$2:$M$5,0))</f>
        <v>0</v>
      </c>
      <c r="E3">
        <f>INDEX(StandingsData!$C$2:$C$5,MATCH(LARGE(StandingsData!$M$2:$M$5,2),StandingsData!$M$2:$M$5,0))</f>
        <v>0</v>
      </c>
      <c r="F3">
        <f>INDEX(StandingsData!$D$2:$D$5,MATCH(LARGE(StandingsData!$M$2:$M$5,2),StandingsData!$M$2:$M$5,0))</f>
        <v>0</v>
      </c>
      <c r="G3">
        <f>INDEX(StandingsData!$E$2:$E$5,MATCH(LARGE(StandingsData!$M$2:$M$5,2),StandingsData!$M$2:$M$5,0))</f>
        <v>0</v>
      </c>
      <c r="H3">
        <f>INDEX(StandingsData!$F$2:$F$5,MATCH(LARGE(StandingsData!$M$2:$M$5,2),StandingsData!$M$2:$M$5,0))</f>
        <v>0</v>
      </c>
      <c r="I3">
        <f>INDEX(StandingsData!$G$2:$G$5,MATCH(LARGE(StandingsData!$M$2:$M$5,2),StandingsData!$M$2:$M$5,0))</f>
        <v>0</v>
      </c>
      <c r="J3">
        <f>INDEX(StandingsData!$H$2:$H$5,MATCH(LARGE(StandingsData!$M$2:$M$5,2),StandingsData!$M$2:$M$5,0))</f>
        <v>0</v>
      </c>
      <c r="K3">
        <f>INDEX(StandingsData!$I$2:$I$5,MATCH(LARGE(StandingsData!$M$2:$M$5,2),StandingsData!$M$2:$M$5,0))</f>
        <v>0</v>
      </c>
      <c r="L3">
        <f>INDEX(StandingsData!$J$2:$J$5,MATCH(LARGE(StandingsData!$M$2:$M$5,2),StandingsData!$M$2:$M$5,0))</f>
        <v>0</v>
      </c>
    </row>
    <row r="4" spans="1:26" x14ac:dyDescent="0.3">
      <c r="A4" t="s">
        <v>34</v>
      </c>
      <c r="B4">
        <v>3</v>
      </c>
      <c r="C4" t="str">
        <f>INDEX(StandingsData!$B$2:$B$5,MATCH(LARGE(StandingsData!$M$2:$M$5,3),StandingsData!$M$2:$M$5,0))</f>
        <v>Moviola Utd</v>
      </c>
      <c r="D4">
        <f>INDEX(StandingsData!$K$2:$K$5,MATCH(LARGE(StandingsData!$M$2:$M$5,3),StandingsData!$M$2:$M$5,0))</f>
        <v>0</v>
      </c>
      <c r="E4">
        <f>INDEX(StandingsData!$C$2:$C$5,MATCH(LARGE(StandingsData!$M$2:$M$5,3),StandingsData!$M$2:$M$5,0))</f>
        <v>0</v>
      </c>
      <c r="F4">
        <f>INDEX(StandingsData!$D$2:$D$5,MATCH(LARGE(StandingsData!$M$2:$M$5,3),StandingsData!$M$2:$M$5,0))</f>
        <v>0</v>
      </c>
      <c r="G4">
        <f>INDEX(StandingsData!$E$2:$E$5,MATCH(LARGE(StandingsData!$M$2:$M$5,3),StandingsData!$M$2:$M$5,0))</f>
        <v>0</v>
      </c>
      <c r="H4">
        <f>INDEX(StandingsData!$F$2:$F$5,MATCH(LARGE(StandingsData!$M$2:$M$5,3),StandingsData!$M$2:$M$5,0))</f>
        <v>0</v>
      </c>
      <c r="I4">
        <f>INDEX(StandingsData!$G$2:$G$5,MATCH(LARGE(StandingsData!$M$2:$M$5,3),StandingsData!$M$2:$M$5,0))</f>
        <v>0</v>
      </c>
      <c r="J4">
        <f>INDEX(StandingsData!$H$2:$H$5,MATCH(LARGE(StandingsData!$M$2:$M$5,3),StandingsData!$M$2:$M$5,0))</f>
        <v>0</v>
      </c>
      <c r="K4">
        <f>INDEX(StandingsData!$I$2:$I$5,MATCH(LARGE(StandingsData!$M$2:$M$5,3),StandingsData!$M$2:$M$5,0))</f>
        <v>0</v>
      </c>
      <c r="L4">
        <f>INDEX(StandingsData!$J$2:$J$5,MATCH(LARGE(StandingsData!$M$2:$M$5,3),StandingsData!$M$2:$M$5,0))</f>
        <v>0</v>
      </c>
    </row>
    <row r="5" spans="1:26" x14ac:dyDescent="0.3">
      <c r="A5" t="s">
        <v>34</v>
      </c>
      <c r="B5">
        <v>4</v>
      </c>
      <c r="C5" t="str">
        <f>INDEX(StandingsData!$B$2:$B$5,MATCH(LARGE(StandingsData!$M$2:$M$5,4),StandingsData!$M$2:$M$5,0))</f>
        <v>Astolfi Impianti Elettrici</v>
      </c>
      <c r="D5">
        <f>INDEX(StandingsData!$K$2:$K$5,MATCH(LARGE(StandingsData!$M$2:$M$5,4),StandingsData!$M$2:$M$5,0))</f>
        <v>0</v>
      </c>
      <c r="E5">
        <f>INDEX(StandingsData!$C$2:$C$5,MATCH(LARGE(StandingsData!$M$2:$M$5,4),StandingsData!$M$2:$M$5,0))</f>
        <v>0</v>
      </c>
      <c r="F5">
        <f>INDEX(StandingsData!$D$2:$D$5,MATCH(LARGE(StandingsData!$M$2:$M$5,4),StandingsData!$M$2:$M$5,0))</f>
        <v>0</v>
      </c>
      <c r="G5">
        <f>INDEX(StandingsData!$E$2:$E$5,MATCH(LARGE(StandingsData!$M$2:$M$5,4),StandingsData!$M$2:$M$5,0))</f>
        <v>0</v>
      </c>
      <c r="H5">
        <f>INDEX(StandingsData!$F$2:$F$5,MATCH(LARGE(StandingsData!$M$2:$M$5,4),StandingsData!$M$2:$M$5,0))</f>
        <v>0</v>
      </c>
      <c r="I5">
        <f>INDEX(StandingsData!$G$2:$G$5,MATCH(LARGE(StandingsData!$M$2:$M$5,4),StandingsData!$M$2:$M$5,0))</f>
        <v>0</v>
      </c>
      <c r="J5">
        <f>INDEX(StandingsData!$H$2:$H$5,MATCH(LARGE(StandingsData!$M$2:$M$5,4),StandingsData!$M$2:$M$5,0))</f>
        <v>0</v>
      </c>
      <c r="K5">
        <f>INDEX(StandingsData!$I$2:$I$5,MATCH(LARGE(StandingsData!$M$2:$M$5,4),StandingsData!$M$2:$M$5,0))</f>
        <v>0</v>
      </c>
      <c r="L5">
        <f>INDEX(StandingsData!$J$2:$J$5,MATCH(LARGE(StandingsData!$M$2:$M$5,4),StandingsData!$M$2:$M$5,0))</f>
        <v>0</v>
      </c>
    </row>
    <row r="6" spans="1:26" x14ac:dyDescent="0.3">
      <c r="A6" t="s">
        <v>43</v>
      </c>
      <c r="B6">
        <v>1</v>
      </c>
      <c r="C6" t="str">
        <f>INDEX(StandingsData!$B$6:$B$9,MATCH(LARGE(StandingsData!$M$6:$M$9,1),StandingsData!$M$6:$M$9,0))</f>
        <v>Totani</v>
      </c>
      <c r="D6">
        <f>INDEX(StandingsData!$K$6:$K$9,MATCH(LARGE(StandingsData!$M$6:$M$9,1),StandingsData!$M$6:$M$9,0))</f>
        <v>0</v>
      </c>
      <c r="E6">
        <f>INDEX(StandingsData!$C$6:$C$9,MATCH(LARGE(StandingsData!$M$6:$M$9,1),StandingsData!$M$6:$M$9,0))</f>
        <v>0</v>
      </c>
      <c r="F6">
        <f>INDEX(StandingsData!$D$6:$D$9,MATCH(LARGE(StandingsData!$M$6:$M$9,1),StandingsData!$M$6:$M$9,0))</f>
        <v>0</v>
      </c>
      <c r="G6">
        <f>INDEX(StandingsData!$E$6:$E$9,MATCH(LARGE(StandingsData!$M$6:$M$9,1),StandingsData!$M$6:$M$9,0))</f>
        <v>0</v>
      </c>
      <c r="H6">
        <f>INDEX(StandingsData!$F$6:$F$9,MATCH(LARGE(StandingsData!$M$6:$M$9,1),StandingsData!$M$6:$M$9,0))</f>
        <v>0</v>
      </c>
      <c r="I6">
        <f>INDEX(StandingsData!$G$6:$G$9,MATCH(LARGE(StandingsData!$M$6:$M$9,1),StandingsData!$M$6:$M$9,0))</f>
        <v>0</v>
      </c>
      <c r="J6">
        <f>INDEX(StandingsData!$H$6:$H$9,MATCH(LARGE(StandingsData!$M$6:$M$9,1),StandingsData!$M$6:$M$9,0))</f>
        <v>0</v>
      </c>
      <c r="K6">
        <f>INDEX(StandingsData!$I$6:$I$9,MATCH(LARGE(StandingsData!$M$6:$M$9,1),StandingsData!$M$6:$M$9,0))</f>
        <v>0</v>
      </c>
      <c r="L6">
        <f>INDEX(StandingsData!$J$6:$J$9,MATCH(LARGE(StandingsData!$M$6:$M$9,1),StandingsData!$M$6:$M$9,0))</f>
        <v>0</v>
      </c>
    </row>
    <row r="7" spans="1:26" x14ac:dyDescent="0.3">
      <c r="A7" t="s">
        <v>43</v>
      </c>
      <c r="B7">
        <v>2</v>
      </c>
      <c r="C7" t="str">
        <f>INDEX(StandingsData!$B$6:$B$9,MATCH(LARGE(StandingsData!$M$6:$M$9,2),StandingsData!$M$6:$M$9,0))</f>
        <v>Vecchie Glorie Rovigo</v>
      </c>
      <c r="D7">
        <f>INDEX(StandingsData!$K$6:$K$9,MATCH(LARGE(StandingsData!$M$6:$M$9,2),StandingsData!$M$6:$M$9,0))</f>
        <v>0</v>
      </c>
      <c r="E7">
        <f>INDEX(StandingsData!$C$6:$C$9,MATCH(LARGE(StandingsData!$M$6:$M$9,2),StandingsData!$M$6:$M$9,0))</f>
        <v>0</v>
      </c>
      <c r="F7">
        <f>INDEX(StandingsData!$D$6:$D$9,MATCH(LARGE(StandingsData!$M$6:$M$9,2),StandingsData!$M$6:$M$9,0))</f>
        <v>0</v>
      </c>
      <c r="G7">
        <f>INDEX(StandingsData!$E$6:$E$9,MATCH(LARGE(StandingsData!$M$6:$M$9,2),StandingsData!$M$6:$M$9,0))</f>
        <v>0</v>
      </c>
      <c r="H7">
        <f>INDEX(StandingsData!$F$6:$F$9,MATCH(LARGE(StandingsData!$M$6:$M$9,2),StandingsData!$M$6:$M$9,0))</f>
        <v>0</v>
      </c>
      <c r="I7">
        <f>INDEX(StandingsData!$G$6:$G$9,MATCH(LARGE(StandingsData!$M$6:$M$9,2),StandingsData!$M$6:$M$9,0))</f>
        <v>0</v>
      </c>
      <c r="J7">
        <f>INDEX(StandingsData!$H$6:$H$9,MATCH(LARGE(StandingsData!$M$6:$M$9,2),StandingsData!$M$6:$M$9,0))</f>
        <v>0</v>
      </c>
      <c r="K7">
        <f>INDEX(StandingsData!$I$6:$I$9,MATCH(LARGE(StandingsData!$M$6:$M$9,2),StandingsData!$M$6:$M$9,0))</f>
        <v>0</v>
      </c>
      <c r="L7">
        <f>INDEX(StandingsData!$J$6:$J$9,MATCH(LARGE(StandingsData!$M$6:$M$9,2),StandingsData!$M$6:$M$9,0))</f>
        <v>0</v>
      </c>
    </row>
    <row r="8" spans="1:26" x14ac:dyDescent="0.3">
      <c r="A8" t="s">
        <v>43</v>
      </c>
      <c r="B8">
        <v>3</v>
      </c>
      <c r="C8" t="str">
        <f>INDEX(StandingsData!$B$6:$B$9,MATCH(LARGE(StandingsData!$M$6:$M$9,3),StandingsData!$M$6:$M$9,0))</f>
        <v>AS Bancatore</v>
      </c>
      <c r="D8">
        <f>INDEX(StandingsData!$K$6:$K$9,MATCH(LARGE(StandingsData!$M$6:$M$9,3),StandingsData!$M$6:$M$9,0))</f>
        <v>0</v>
      </c>
      <c r="E8">
        <f>INDEX(StandingsData!$C$6:$C$9,MATCH(LARGE(StandingsData!$M$6:$M$9,3),StandingsData!$M$6:$M$9,0))</f>
        <v>0</v>
      </c>
      <c r="F8">
        <f>INDEX(StandingsData!$D$6:$D$9,MATCH(LARGE(StandingsData!$M$6:$M$9,3),StandingsData!$M$6:$M$9,0))</f>
        <v>0</v>
      </c>
      <c r="G8">
        <f>INDEX(StandingsData!$E$6:$E$9,MATCH(LARGE(StandingsData!$M$6:$M$9,3),StandingsData!$M$6:$M$9,0))</f>
        <v>0</v>
      </c>
      <c r="H8">
        <f>INDEX(StandingsData!$F$6:$F$9,MATCH(LARGE(StandingsData!$M$6:$M$9,3),StandingsData!$M$6:$M$9,0))</f>
        <v>0</v>
      </c>
      <c r="I8">
        <f>INDEX(StandingsData!$G$6:$G$9,MATCH(LARGE(StandingsData!$M$6:$M$9,3),StandingsData!$M$6:$M$9,0))</f>
        <v>0</v>
      </c>
      <c r="J8">
        <f>INDEX(StandingsData!$H$6:$H$9,MATCH(LARGE(StandingsData!$M$6:$M$9,3),StandingsData!$M$6:$M$9,0))</f>
        <v>0</v>
      </c>
      <c r="K8">
        <f>INDEX(StandingsData!$I$6:$I$9,MATCH(LARGE(StandingsData!$M$6:$M$9,3),StandingsData!$M$6:$M$9,0))</f>
        <v>0</v>
      </c>
      <c r="L8">
        <f>INDEX(StandingsData!$J$6:$J$9,MATCH(LARGE(StandingsData!$M$6:$M$9,3),StandingsData!$M$6:$M$9,0))</f>
        <v>0</v>
      </c>
    </row>
    <row r="9" spans="1:26" x14ac:dyDescent="0.3">
      <c r="A9" t="s">
        <v>43</v>
      </c>
      <c r="B9">
        <v>4</v>
      </c>
      <c r="C9" t="str">
        <f>INDEX(StandingsData!$B$6:$B$9,MATCH(LARGE(StandingsData!$M$6:$M$9,4),StandingsData!$M$6:$M$9,0))</f>
        <v>Beverton</v>
      </c>
      <c r="D9">
        <f>INDEX(StandingsData!$K$6:$K$9,MATCH(LARGE(StandingsData!$M$6:$M$9,4),StandingsData!$M$6:$M$9,0))</f>
        <v>0</v>
      </c>
      <c r="E9">
        <f>INDEX(StandingsData!$C$6:$C$9,MATCH(LARGE(StandingsData!$M$6:$M$9,4),StandingsData!$M$6:$M$9,0))</f>
        <v>0</v>
      </c>
      <c r="F9">
        <f>INDEX(StandingsData!$D$6:$D$9,MATCH(LARGE(StandingsData!$M$6:$M$9,4),StandingsData!$M$6:$M$9,0))</f>
        <v>0</v>
      </c>
      <c r="G9">
        <f>INDEX(StandingsData!$E$6:$E$9,MATCH(LARGE(StandingsData!$M$6:$M$9,4),StandingsData!$M$6:$M$9,0))</f>
        <v>0</v>
      </c>
      <c r="H9">
        <f>INDEX(StandingsData!$F$6:$F$9,MATCH(LARGE(StandingsData!$M$6:$M$9,4),StandingsData!$M$6:$M$9,0))</f>
        <v>0</v>
      </c>
      <c r="I9">
        <f>INDEX(StandingsData!$G$6:$G$9,MATCH(LARGE(StandingsData!$M$6:$M$9,4),StandingsData!$M$6:$M$9,0))</f>
        <v>0</v>
      </c>
      <c r="J9">
        <f>INDEX(StandingsData!$H$6:$H$9,MATCH(LARGE(StandingsData!$M$6:$M$9,4),StandingsData!$M$6:$M$9,0))</f>
        <v>0</v>
      </c>
      <c r="K9">
        <f>INDEX(StandingsData!$I$6:$I$9,MATCH(LARGE(StandingsData!$M$6:$M$9,4),StandingsData!$M$6:$M$9,0))</f>
        <v>0</v>
      </c>
      <c r="L9">
        <f>INDEX(StandingsData!$J$6:$J$9,MATCH(LARGE(StandingsData!$M$6:$M$9,4),StandingsData!$M$6:$M$9,0))</f>
        <v>0</v>
      </c>
    </row>
    <row r="10" spans="1:26" x14ac:dyDescent="0.3">
      <c r="A10" t="s">
        <v>52</v>
      </c>
      <c r="B10">
        <v>1</v>
      </c>
      <c r="C10" t="str">
        <f>INDEX(StandingsData!$B$10:$B$13,MATCH(LARGE(StandingsData!$M$10:$M$13,1),StandingsData!$M$10:$M$13,0))</f>
        <v>Leoni di Ricky</v>
      </c>
      <c r="D10">
        <f>INDEX(StandingsData!$K$10:$K$13,MATCH(LARGE(StandingsData!$M$10:$M$13,1),StandingsData!$M$10:$M$13,0))</f>
        <v>0</v>
      </c>
      <c r="E10">
        <f>INDEX(StandingsData!$C$10:$C$13,MATCH(LARGE(StandingsData!$M$10:$M$13,1),StandingsData!$M$10:$M$13,0))</f>
        <v>0</v>
      </c>
      <c r="F10">
        <f>INDEX(StandingsData!$D$10:$D$13,MATCH(LARGE(StandingsData!$M$10:$M$13,1),StandingsData!$M$10:$M$13,0))</f>
        <v>0</v>
      </c>
      <c r="G10">
        <f>INDEX(StandingsData!$E$10:$E$13,MATCH(LARGE(StandingsData!$M$10:$M$13,1),StandingsData!$M$10:$M$13,0))</f>
        <v>0</v>
      </c>
      <c r="H10">
        <f>INDEX(StandingsData!$F$10:$F$13,MATCH(LARGE(StandingsData!$M$10:$M$13,1),StandingsData!$M$10:$M$13,0))</f>
        <v>0</v>
      </c>
      <c r="I10">
        <f>INDEX(StandingsData!$G$10:$G$13,MATCH(LARGE(StandingsData!$M$10:$M$13,1),StandingsData!$M$10:$M$13,0))</f>
        <v>0</v>
      </c>
      <c r="J10">
        <f>INDEX(StandingsData!$H$10:$H$13,MATCH(LARGE(StandingsData!$M$10:$M$13,1),StandingsData!$M$10:$M$13,0))</f>
        <v>0</v>
      </c>
      <c r="K10">
        <f>INDEX(StandingsData!$I$10:$I$13,MATCH(LARGE(StandingsData!$M$10:$M$13,1),StandingsData!$M$10:$M$13,0))</f>
        <v>0</v>
      </c>
      <c r="L10">
        <f>INDEX(StandingsData!$J$10:$J$13,MATCH(LARGE(StandingsData!$M$10:$M$13,1),StandingsData!$M$10:$M$13,0))</f>
        <v>0</v>
      </c>
    </row>
    <row r="11" spans="1:26" x14ac:dyDescent="0.3">
      <c r="A11" t="s">
        <v>52</v>
      </c>
      <c r="B11">
        <v>2</v>
      </c>
      <c r="C11" t="str">
        <f>INDEX(StandingsData!$B$10:$B$13,MATCH(LARGE(StandingsData!$M$10:$M$13,2),StandingsData!$M$10:$M$13,0))</f>
        <v>Pink 5ive</v>
      </c>
      <c r="D11">
        <f>INDEX(StandingsData!$K$10:$K$13,MATCH(LARGE(StandingsData!$M$10:$M$13,2),StandingsData!$M$10:$M$13,0))</f>
        <v>0</v>
      </c>
      <c r="E11">
        <f>INDEX(StandingsData!$C$10:$C$13,MATCH(LARGE(StandingsData!$M$10:$M$13,2),StandingsData!$M$10:$M$13,0))</f>
        <v>0</v>
      </c>
      <c r="F11">
        <f>INDEX(StandingsData!$D$10:$D$13,MATCH(LARGE(StandingsData!$M$10:$M$13,2),StandingsData!$M$10:$M$13,0))</f>
        <v>0</v>
      </c>
      <c r="G11">
        <f>INDEX(StandingsData!$E$10:$E$13,MATCH(LARGE(StandingsData!$M$10:$M$13,2),StandingsData!$M$10:$M$13,0))</f>
        <v>0</v>
      </c>
      <c r="H11">
        <f>INDEX(StandingsData!$F$10:$F$13,MATCH(LARGE(StandingsData!$M$10:$M$13,2),StandingsData!$M$10:$M$13,0))</f>
        <v>0</v>
      </c>
      <c r="I11">
        <f>INDEX(StandingsData!$G$10:$G$13,MATCH(LARGE(StandingsData!$M$10:$M$13,2),StandingsData!$M$10:$M$13,0))</f>
        <v>0</v>
      </c>
      <c r="J11">
        <f>INDEX(StandingsData!$H$10:$H$13,MATCH(LARGE(StandingsData!$M$10:$M$13,2),StandingsData!$M$10:$M$13,0))</f>
        <v>0</v>
      </c>
      <c r="K11">
        <f>INDEX(StandingsData!$I$10:$I$13,MATCH(LARGE(StandingsData!$M$10:$M$13,2),StandingsData!$M$10:$M$13,0))</f>
        <v>0</v>
      </c>
      <c r="L11">
        <f>INDEX(StandingsData!$J$10:$J$13,MATCH(LARGE(StandingsData!$M$10:$M$13,2),StandingsData!$M$10:$M$13,0))</f>
        <v>0</v>
      </c>
    </row>
    <row r="12" spans="1:26" x14ac:dyDescent="0.3">
      <c r="A12" t="s">
        <v>52</v>
      </c>
      <c r="B12">
        <v>3</v>
      </c>
      <c r="C12" t="str">
        <f>INDEX(StandingsData!$B$10:$B$13,MATCH(LARGE(StandingsData!$M$10:$M$13,3),StandingsData!$M$10:$M$13,0))</f>
        <v>Barrio Boys</v>
      </c>
      <c r="D12">
        <f>INDEX(StandingsData!$K$10:$K$13,MATCH(LARGE(StandingsData!$M$10:$M$13,3),StandingsData!$M$10:$M$13,0))</f>
        <v>0</v>
      </c>
      <c r="E12">
        <f>INDEX(StandingsData!$C$10:$C$13,MATCH(LARGE(StandingsData!$M$10:$M$13,3),StandingsData!$M$10:$M$13,0))</f>
        <v>0</v>
      </c>
      <c r="F12">
        <f>INDEX(StandingsData!$D$10:$D$13,MATCH(LARGE(StandingsData!$M$10:$M$13,3),StandingsData!$M$10:$M$13,0))</f>
        <v>0</v>
      </c>
      <c r="G12">
        <f>INDEX(StandingsData!$E$10:$E$13,MATCH(LARGE(StandingsData!$M$10:$M$13,3),StandingsData!$M$10:$M$13,0))</f>
        <v>0</v>
      </c>
      <c r="H12">
        <f>INDEX(StandingsData!$F$10:$F$13,MATCH(LARGE(StandingsData!$M$10:$M$13,3),StandingsData!$M$10:$M$13,0))</f>
        <v>0</v>
      </c>
      <c r="I12">
        <f>INDEX(StandingsData!$G$10:$G$13,MATCH(LARGE(StandingsData!$M$10:$M$13,3),StandingsData!$M$10:$M$13,0))</f>
        <v>0</v>
      </c>
      <c r="J12">
        <f>INDEX(StandingsData!$H$10:$H$13,MATCH(LARGE(StandingsData!$M$10:$M$13,3),StandingsData!$M$10:$M$13,0))</f>
        <v>0</v>
      </c>
      <c r="K12">
        <f>INDEX(StandingsData!$I$10:$I$13,MATCH(LARGE(StandingsData!$M$10:$M$13,3),StandingsData!$M$10:$M$13,0))</f>
        <v>0</v>
      </c>
      <c r="L12">
        <f>INDEX(StandingsData!$J$10:$J$13,MATCH(LARGE(StandingsData!$M$10:$M$13,3),StandingsData!$M$10:$M$13,0))</f>
        <v>0</v>
      </c>
    </row>
    <row r="13" spans="1:26" x14ac:dyDescent="0.3">
      <c r="A13" t="s">
        <v>52</v>
      </c>
      <c r="B13">
        <v>4</v>
      </c>
      <c r="C13" t="str">
        <f>INDEX(StandingsData!$B$10:$B$13,MATCH(LARGE(StandingsData!$M$10:$M$13,4),StandingsData!$M$10:$M$13,0))</f>
        <v>Cani</v>
      </c>
      <c r="D13">
        <f>INDEX(StandingsData!$K$10:$K$13,MATCH(LARGE(StandingsData!$M$10:$M$13,4),StandingsData!$M$10:$M$13,0))</f>
        <v>0</v>
      </c>
      <c r="E13">
        <f>INDEX(StandingsData!$C$10:$C$13,MATCH(LARGE(StandingsData!$M$10:$M$13,4),StandingsData!$M$10:$M$13,0))</f>
        <v>0</v>
      </c>
      <c r="F13">
        <f>INDEX(StandingsData!$D$10:$D$13,MATCH(LARGE(StandingsData!$M$10:$M$13,4),StandingsData!$M$10:$M$13,0))</f>
        <v>0</v>
      </c>
      <c r="G13">
        <f>INDEX(StandingsData!$E$10:$E$13,MATCH(LARGE(StandingsData!$M$10:$M$13,4),StandingsData!$M$10:$M$13,0))</f>
        <v>0</v>
      </c>
      <c r="H13">
        <f>INDEX(StandingsData!$F$10:$F$13,MATCH(LARGE(StandingsData!$M$10:$M$13,4),StandingsData!$M$10:$M$13,0))</f>
        <v>0</v>
      </c>
      <c r="I13">
        <f>INDEX(StandingsData!$G$10:$G$13,MATCH(LARGE(StandingsData!$M$10:$M$13,4),StandingsData!$M$10:$M$13,0))</f>
        <v>0</v>
      </c>
      <c r="J13">
        <f>INDEX(StandingsData!$H$10:$H$13,MATCH(LARGE(StandingsData!$M$10:$M$13,4),StandingsData!$M$10:$M$13,0))</f>
        <v>0</v>
      </c>
      <c r="K13">
        <f>INDEX(StandingsData!$I$10:$I$13,MATCH(LARGE(StandingsData!$M$10:$M$13,4),StandingsData!$M$10:$M$13,0))</f>
        <v>0</v>
      </c>
      <c r="L13">
        <f>INDEX(StandingsData!$J$10:$J$13,MATCH(LARGE(StandingsData!$M$10:$M$13,4),StandingsData!$M$10:$M$13,0))</f>
        <v>0</v>
      </c>
    </row>
    <row r="14" spans="1:26" x14ac:dyDescent="0.3">
      <c r="A14" t="s">
        <v>61</v>
      </c>
      <c r="B14">
        <v>1</v>
      </c>
      <c r="C14" t="str">
        <f>INDEX(StandingsData!$B$14:$B$17,MATCH(LARGE(StandingsData!$M$14:$M$17,1),StandingsData!$M$14:$M$17,0))</f>
        <v>All Blacks</v>
      </c>
      <c r="D14">
        <f>INDEX(StandingsData!$K$14:$K$17,MATCH(LARGE(StandingsData!$M$14:$M$17,1),StandingsData!$M$14:$M$17,0))</f>
        <v>3</v>
      </c>
      <c r="E14">
        <f>INDEX(StandingsData!$C$14:$C$17,MATCH(LARGE(StandingsData!$M$14:$M$17,1),StandingsData!$M$14:$M$17,0))</f>
        <v>1</v>
      </c>
      <c r="F14">
        <f>INDEX(StandingsData!$D$14:$D$17,MATCH(LARGE(StandingsData!$M$14:$M$17,1),StandingsData!$M$14:$M$17,0))</f>
        <v>1</v>
      </c>
      <c r="G14">
        <f>INDEX(StandingsData!$E$14:$E$17,MATCH(LARGE(StandingsData!$M$14:$M$17,1),StandingsData!$M$14:$M$17,0))</f>
        <v>0</v>
      </c>
      <c r="H14">
        <f>INDEX(StandingsData!$F$14:$F$17,MATCH(LARGE(StandingsData!$M$14:$M$17,1),StandingsData!$M$14:$M$17,0))</f>
        <v>0</v>
      </c>
      <c r="I14">
        <f>INDEX(StandingsData!$G$14:$G$17,MATCH(LARGE(StandingsData!$M$14:$M$17,1),StandingsData!$M$14:$M$17,0))</f>
        <v>0</v>
      </c>
      <c r="J14">
        <f>INDEX(StandingsData!$H$14:$H$17,MATCH(LARGE(StandingsData!$M$14:$M$17,1),StandingsData!$M$14:$M$17,0))</f>
        <v>1</v>
      </c>
      <c r="K14">
        <f>INDEX(StandingsData!$I$14:$I$17,MATCH(LARGE(StandingsData!$M$14:$M$17,1),StandingsData!$M$14:$M$17,0))</f>
        <v>0</v>
      </c>
      <c r="L14">
        <f>INDEX(StandingsData!$J$14:$J$17,MATCH(LARGE(StandingsData!$M$14:$M$17,1),StandingsData!$M$14:$M$17,0))</f>
        <v>1</v>
      </c>
    </row>
    <row r="15" spans="1:26" x14ac:dyDescent="0.3">
      <c r="A15" t="s">
        <v>61</v>
      </c>
      <c r="B15">
        <v>2</v>
      </c>
      <c r="C15" t="str">
        <f>INDEX(StandingsData!$B$14:$B$17,MATCH(LARGE(StandingsData!$M$14:$M$17,2),StandingsData!$M$14:$M$17,0))</f>
        <v>Coca Juniors</v>
      </c>
      <c r="D15">
        <f>INDEX(StandingsData!$K$14:$K$17,MATCH(LARGE(StandingsData!$M$14:$M$17,2),StandingsData!$M$14:$M$17,0))</f>
        <v>0</v>
      </c>
      <c r="E15">
        <f>INDEX(StandingsData!$C$14:$C$17,MATCH(LARGE(StandingsData!$M$14:$M$17,2),StandingsData!$M$14:$M$17,0))</f>
        <v>0</v>
      </c>
      <c r="F15">
        <f>INDEX(StandingsData!$D$14:$D$17,MATCH(LARGE(StandingsData!$M$14:$M$17,2),StandingsData!$M$14:$M$17,0))</f>
        <v>0</v>
      </c>
      <c r="G15">
        <f>INDEX(StandingsData!$E$14:$E$17,MATCH(LARGE(StandingsData!$M$14:$M$17,2),StandingsData!$M$14:$M$17,0))</f>
        <v>0</v>
      </c>
      <c r="H15">
        <f>INDEX(StandingsData!$F$14:$F$17,MATCH(LARGE(StandingsData!$M$14:$M$17,2),StandingsData!$M$14:$M$17,0))</f>
        <v>0</v>
      </c>
      <c r="I15">
        <f>INDEX(StandingsData!$G$14:$G$17,MATCH(LARGE(StandingsData!$M$14:$M$17,2),StandingsData!$M$14:$M$17,0))</f>
        <v>0</v>
      </c>
      <c r="J15">
        <f>INDEX(StandingsData!$H$14:$H$17,MATCH(LARGE(StandingsData!$M$14:$M$17,2),StandingsData!$M$14:$M$17,0))</f>
        <v>0</v>
      </c>
      <c r="K15">
        <f>INDEX(StandingsData!$I$14:$I$17,MATCH(LARGE(StandingsData!$M$14:$M$17,2),StandingsData!$M$14:$M$17,0))</f>
        <v>0</v>
      </c>
      <c r="L15">
        <f>INDEX(StandingsData!$J$14:$J$17,MATCH(LARGE(StandingsData!$M$14:$M$17,2),StandingsData!$M$14:$M$17,0))</f>
        <v>0</v>
      </c>
    </row>
    <row r="16" spans="1:26" x14ac:dyDescent="0.3">
      <c r="A16" t="s">
        <v>61</v>
      </c>
      <c r="B16">
        <v>3</v>
      </c>
      <c r="C16" t="str">
        <f>INDEX(StandingsData!$B$14:$B$17,MATCH(LARGE(StandingsData!$M$14:$M$17,3),StandingsData!$M$14:$M$17,0))</f>
        <v>Piadineria la Salsiccia</v>
      </c>
      <c r="D16">
        <f>INDEX(StandingsData!$K$14:$K$17,MATCH(LARGE(StandingsData!$M$14:$M$17,3),StandingsData!$M$14:$M$17,0))</f>
        <v>0</v>
      </c>
      <c r="E16">
        <f>INDEX(StandingsData!$C$14:$C$17,MATCH(LARGE(StandingsData!$M$14:$M$17,3),StandingsData!$M$14:$M$17,0))</f>
        <v>0</v>
      </c>
      <c r="F16">
        <f>INDEX(StandingsData!$D$14:$D$17,MATCH(LARGE(StandingsData!$M$14:$M$17,3),StandingsData!$M$14:$M$17,0))</f>
        <v>0</v>
      </c>
      <c r="G16">
        <f>INDEX(StandingsData!$E$14:$E$17,MATCH(LARGE(StandingsData!$M$14:$M$17,3),StandingsData!$M$14:$M$17,0))</f>
        <v>0</v>
      </c>
      <c r="H16">
        <f>INDEX(StandingsData!$F$14:$F$17,MATCH(LARGE(StandingsData!$M$14:$M$17,3),StandingsData!$M$14:$M$17,0))</f>
        <v>0</v>
      </c>
      <c r="I16">
        <f>INDEX(StandingsData!$G$14:$G$17,MATCH(LARGE(StandingsData!$M$14:$M$17,3),StandingsData!$M$14:$M$17,0))</f>
        <v>0</v>
      </c>
      <c r="J16">
        <f>INDEX(StandingsData!$H$14:$H$17,MATCH(LARGE(StandingsData!$M$14:$M$17,3),StandingsData!$M$14:$M$17,0))</f>
        <v>0</v>
      </c>
      <c r="K16">
        <f>INDEX(StandingsData!$I$14:$I$17,MATCH(LARGE(StandingsData!$M$14:$M$17,3),StandingsData!$M$14:$M$17,0))</f>
        <v>0</v>
      </c>
      <c r="L16">
        <f>INDEX(StandingsData!$J$14:$J$17,MATCH(LARGE(StandingsData!$M$14:$M$17,3),StandingsData!$M$14:$M$17,0))</f>
        <v>0</v>
      </c>
    </row>
    <row r="17" spans="1:12" x14ac:dyDescent="0.3">
      <c r="A17" t="s">
        <v>61</v>
      </c>
      <c r="B17">
        <v>4</v>
      </c>
      <c r="C17" t="str">
        <f>INDEX(StandingsData!$B$14:$B$17,MATCH(LARGE(StandingsData!$M$14:$M$17,4),StandingsData!$M$14:$M$17,0))</f>
        <v>Boldò Glimt</v>
      </c>
      <c r="D17">
        <f>INDEX(StandingsData!$K$14:$K$17,MATCH(LARGE(StandingsData!$M$14:$M$17,4),StandingsData!$M$14:$M$17,0))</f>
        <v>0</v>
      </c>
      <c r="E17">
        <f>INDEX(StandingsData!$C$14:$C$17,MATCH(LARGE(StandingsData!$M$14:$M$17,4),StandingsData!$M$14:$M$17,0))</f>
        <v>1</v>
      </c>
      <c r="F17">
        <f>INDEX(StandingsData!$D$14:$D$17,MATCH(LARGE(StandingsData!$M$14:$M$17,4),StandingsData!$M$14:$M$17,0))</f>
        <v>0</v>
      </c>
      <c r="G17">
        <f>INDEX(StandingsData!$E$14:$E$17,MATCH(LARGE(StandingsData!$M$14:$M$17,4),StandingsData!$M$14:$M$17,0))</f>
        <v>0</v>
      </c>
      <c r="H17">
        <f>INDEX(StandingsData!$F$14:$F$17,MATCH(LARGE(StandingsData!$M$14:$M$17,4),StandingsData!$M$14:$M$17,0))</f>
        <v>0</v>
      </c>
      <c r="I17">
        <f>INDEX(StandingsData!$G$14:$G$17,MATCH(LARGE(StandingsData!$M$14:$M$17,4),StandingsData!$M$14:$M$17,0))</f>
        <v>1</v>
      </c>
      <c r="J17">
        <f>INDEX(StandingsData!$H$14:$H$17,MATCH(LARGE(StandingsData!$M$14:$M$17,4),StandingsData!$M$14:$M$17,0))</f>
        <v>0</v>
      </c>
      <c r="K17">
        <f>INDEX(StandingsData!$I$14:$I$17,MATCH(LARGE(StandingsData!$M$14:$M$17,4),StandingsData!$M$14:$M$17,0))</f>
        <v>1</v>
      </c>
      <c r="L17">
        <f>INDEX(StandingsData!$J$14:$J$17,MATCH(LARGE(StandingsData!$M$14:$M$17,4),StandingsData!$M$14:$M$17,0))</f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"/>
  <sheetViews>
    <sheetView workbookViewId="0">
      <selection activeCell="I2" sqref="I2"/>
    </sheetView>
  </sheetViews>
  <sheetFormatPr defaultRowHeight="14.4" x14ac:dyDescent="0.3"/>
  <cols>
    <col min="1" max="6" width="18" customWidth="1"/>
    <col min="7" max="8" width="28" customWidth="1"/>
    <col min="9" max="13" width="18" customWidth="1"/>
  </cols>
  <sheetData>
    <row r="1" spans="1:26" x14ac:dyDescent="0.3">
      <c r="A1" s="5" t="s">
        <v>516</v>
      </c>
      <c r="B1" s="5" t="s">
        <v>517</v>
      </c>
      <c r="C1" s="5" t="s">
        <v>30</v>
      </c>
      <c r="D1" s="5" t="s">
        <v>518</v>
      </c>
      <c r="E1" s="5" t="s">
        <v>519</v>
      </c>
      <c r="F1" s="5" t="s">
        <v>520</v>
      </c>
      <c r="G1" s="5" t="s">
        <v>521</v>
      </c>
      <c r="H1" s="5" t="s">
        <v>522</v>
      </c>
      <c r="I1" s="5" t="s">
        <v>523</v>
      </c>
      <c r="J1" s="5" t="s">
        <v>524</v>
      </c>
      <c r="K1" s="5" t="s">
        <v>16</v>
      </c>
      <c r="L1" s="5" t="s">
        <v>528</v>
      </c>
      <c r="M1" s="5" t="s">
        <v>529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594</v>
      </c>
      <c r="B2" t="s">
        <v>595</v>
      </c>
      <c r="E2" t="s">
        <v>531</v>
      </c>
      <c r="F2" t="s">
        <v>596</v>
      </c>
      <c r="I2" s="2"/>
      <c r="J2" s="2"/>
      <c r="K2" s="2"/>
      <c r="L2" t="str">
        <f t="shared" ref="L2:L8" si="0">IF(OR(I2="",J2=""),"",IF(I2&gt;J2,G2,IF(J2&gt;I2,H2,K2)))</f>
        <v/>
      </c>
      <c r="M2" t="str">
        <f t="shared" ref="M2:M8" si="1">IF(OR(I2="",J2=""),"",G2&amp;" "&amp;I2&amp;" - "&amp;J2&amp;" "&amp;H2&amp;IF(K2&lt;&gt;""," (rigori: "&amp;K2&amp;")",""))</f>
        <v/>
      </c>
    </row>
    <row r="3" spans="1:26" x14ac:dyDescent="0.3">
      <c r="A3" t="s">
        <v>597</v>
      </c>
      <c r="B3" t="s">
        <v>595</v>
      </c>
      <c r="E3" t="s">
        <v>534</v>
      </c>
      <c r="F3" t="s">
        <v>596</v>
      </c>
      <c r="I3" s="2"/>
      <c r="J3" s="2"/>
      <c r="K3" s="2"/>
      <c r="L3" t="str">
        <f t="shared" si="0"/>
        <v/>
      </c>
      <c r="M3" t="str">
        <f t="shared" si="1"/>
        <v/>
      </c>
    </row>
    <row r="4" spans="1:26" x14ac:dyDescent="0.3">
      <c r="A4" t="s">
        <v>598</v>
      </c>
      <c r="B4" t="s">
        <v>595</v>
      </c>
      <c r="E4" t="s">
        <v>531</v>
      </c>
      <c r="F4" t="s">
        <v>599</v>
      </c>
      <c r="I4" s="2"/>
      <c r="J4" s="2"/>
      <c r="K4" s="2"/>
      <c r="L4" t="str">
        <f t="shared" si="0"/>
        <v/>
      </c>
      <c r="M4" t="str">
        <f t="shared" si="1"/>
        <v/>
      </c>
    </row>
    <row r="5" spans="1:26" x14ac:dyDescent="0.3">
      <c r="A5" t="s">
        <v>600</v>
      </c>
      <c r="B5" t="s">
        <v>595</v>
      </c>
      <c r="E5" t="s">
        <v>534</v>
      </c>
      <c r="F5" t="s">
        <v>599</v>
      </c>
      <c r="I5" s="2"/>
      <c r="J5" s="2"/>
      <c r="K5" s="2"/>
      <c r="L5" t="str">
        <f t="shared" si="0"/>
        <v/>
      </c>
      <c r="M5" t="str">
        <f t="shared" si="1"/>
        <v/>
      </c>
    </row>
    <row r="6" spans="1:26" x14ac:dyDescent="0.3">
      <c r="A6" t="s">
        <v>601</v>
      </c>
      <c r="B6" t="s">
        <v>602</v>
      </c>
      <c r="E6" t="s">
        <v>531</v>
      </c>
      <c r="F6" t="s">
        <v>603</v>
      </c>
      <c r="I6" s="2"/>
      <c r="J6" s="2"/>
      <c r="K6" s="2"/>
      <c r="L6" t="str">
        <f t="shared" si="0"/>
        <v/>
      </c>
      <c r="M6" t="str">
        <f t="shared" si="1"/>
        <v/>
      </c>
    </row>
    <row r="7" spans="1:26" x14ac:dyDescent="0.3">
      <c r="A7" t="s">
        <v>604</v>
      </c>
      <c r="B7" t="s">
        <v>602</v>
      </c>
      <c r="E7" t="s">
        <v>534</v>
      </c>
      <c r="F7" t="s">
        <v>603</v>
      </c>
      <c r="I7" s="2"/>
      <c r="J7" s="2"/>
      <c r="K7" s="2"/>
      <c r="L7" t="str">
        <f t="shared" si="0"/>
        <v/>
      </c>
      <c r="M7" t="str">
        <f t="shared" si="1"/>
        <v/>
      </c>
    </row>
    <row r="8" spans="1:26" x14ac:dyDescent="0.3">
      <c r="A8" t="s">
        <v>605</v>
      </c>
      <c r="B8" t="s">
        <v>606</v>
      </c>
      <c r="F8" t="s">
        <v>607</v>
      </c>
      <c r="I8" s="2"/>
      <c r="J8" s="2"/>
      <c r="K8" s="2"/>
      <c r="L8" t="str">
        <f t="shared" si="0"/>
        <v/>
      </c>
      <c r="M8" t="str">
        <f t="shared" si="1"/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7"/>
  <sheetViews>
    <sheetView topLeftCell="N1" workbookViewId="0"/>
  </sheetViews>
  <sheetFormatPr defaultRowHeight="14.4" x14ac:dyDescent="0.3"/>
  <cols>
    <col min="1" max="18" width="28" customWidth="1"/>
  </cols>
  <sheetData>
    <row r="1" spans="1:26" x14ac:dyDescent="0.3">
      <c r="A1" s="5" t="s">
        <v>31</v>
      </c>
      <c r="B1" s="5" t="s">
        <v>608</v>
      </c>
      <c r="C1" s="5" t="s">
        <v>35</v>
      </c>
      <c r="D1" s="5" t="s">
        <v>37</v>
      </c>
      <c r="E1" s="5" t="s">
        <v>39</v>
      </c>
      <c r="F1" s="5" t="s">
        <v>41</v>
      </c>
      <c r="G1" s="5" t="s">
        <v>44</v>
      </c>
      <c r="H1" s="5" t="s">
        <v>46</v>
      </c>
      <c r="I1" s="5" t="s">
        <v>48</v>
      </c>
      <c r="J1" s="5" t="s">
        <v>50</v>
      </c>
      <c r="K1" s="5" t="s">
        <v>53</v>
      </c>
      <c r="L1" s="5" t="s">
        <v>55</v>
      </c>
      <c r="M1" s="5" t="s">
        <v>57</v>
      </c>
      <c r="N1" s="5" t="s">
        <v>59</v>
      </c>
      <c r="O1" s="5" t="s">
        <v>62</v>
      </c>
      <c r="P1" s="5" t="s">
        <v>64</v>
      </c>
      <c r="Q1" s="5" t="s">
        <v>66</v>
      </c>
      <c r="R1" s="5" t="s">
        <v>68</v>
      </c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35</v>
      </c>
      <c r="B2" t="s">
        <v>609</v>
      </c>
      <c r="C2" t="s">
        <v>77</v>
      </c>
      <c r="D2" t="s">
        <v>107</v>
      </c>
      <c r="E2" t="s">
        <v>128</v>
      </c>
      <c r="F2" t="s">
        <v>154</v>
      </c>
      <c r="G2" t="s">
        <v>181</v>
      </c>
      <c r="H2" t="s">
        <v>207</v>
      </c>
      <c r="I2" t="s">
        <v>231</v>
      </c>
      <c r="J2" t="s">
        <v>264</v>
      </c>
      <c r="K2" t="s">
        <v>282</v>
      </c>
      <c r="L2" t="s">
        <v>306</v>
      </c>
      <c r="M2" t="s">
        <v>336</v>
      </c>
      <c r="N2" t="s">
        <v>366</v>
      </c>
      <c r="O2" t="s">
        <v>396</v>
      </c>
      <c r="P2" t="s">
        <v>429</v>
      </c>
      <c r="Q2" t="s">
        <v>458</v>
      </c>
      <c r="R2" t="s">
        <v>488</v>
      </c>
    </row>
    <row r="3" spans="1:26" x14ac:dyDescent="0.3">
      <c r="A3" t="s">
        <v>37</v>
      </c>
      <c r="B3" t="s">
        <v>610</v>
      </c>
      <c r="C3" t="s">
        <v>80</v>
      </c>
      <c r="D3" t="s">
        <v>109</v>
      </c>
      <c r="E3" t="s">
        <v>131</v>
      </c>
      <c r="F3" t="s">
        <v>157</v>
      </c>
      <c r="G3" t="s">
        <v>184</v>
      </c>
      <c r="H3" t="s">
        <v>209</v>
      </c>
      <c r="I3" t="s">
        <v>234</v>
      </c>
      <c r="J3" t="s">
        <v>267</v>
      </c>
      <c r="K3" t="s">
        <v>285</v>
      </c>
      <c r="L3" t="s">
        <v>309</v>
      </c>
      <c r="M3" t="s">
        <v>339</v>
      </c>
      <c r="N3" t="s">
        <v>369</v>
      </c>
      <c r="O3" t="s">
        <v>399</v>
      </c>
      <c r="P3" t="s">
        <v>432</v>
      </c>
      <c r="Q3" t="s">
        <v>461</v>
      </c>
      <c r="R3" t="s">
        <v>491</v>
      </c>
    </row>
    <row r="4" spans="1:26" x14ac:dyDescent="0.3">
      <c r="A4" t="s">
        <v>39</v>
      </c>
      <c r="B4" t="s">
        <v>611</v>
      </c>
      <c r="C4" t="s">
        <v>83</v>
      </c>
      <c r="D4" t="s">
        <v>111</v>
      </c>
      <c r="E4" t="s">
        <v>133</v>
      </c>
      <c r="F4" t="s">
        <v>160</v>
      </c>
      <c r="G4" t="s">
        <v>187</v>
      </c>
      <c r="H4" t="s">
        <v>211</v>
      </c>
      <c r="I4" t="s">
        <v>237</v>
      </c>
      <c r="J4" t="s">
        <v>270</v>
      </c>
      <c r="K4" t="s">
        <v>288</v>
      </c>
      <c r="L4" t="s">
        <v>312</v>
      </c>
      <c r="M4" t="s">
        <v>342</v>
      </c>
      <c r="N4" t="s">
        <v>372</v>
      </c>
      <c r="O4" t="s">
        <v>402</v>
      </c>
      <c r="P4" t="s">
        <v>435</v>
      </c>
      <c r="Q4" t="s">
        <v>464</v>
      </c>
      <c r="R4" t="s">
        <v>494</v>
      </c>
    </row>
    <row r="5" spans="1:26" x14ac:dyDescent="0.3">
      <c r="A5" t="s">
        <v>41</v>
      </c>
      <c r="B5" t="s">
        <v>612</v>
      </c>
      <c r="C5" t="s">
        <v>86</v>
      </c>
      <c r="D5" t="s">
        <v>113</v>
      </c>
      <c r="E5" t="s">
        <v>135</v>
      </c>
      <c r="F5" t="s">
        <v>163</v>
      </c>
      <c r="G5" t="s">
        <v>190</v>
      </c>
      <c r="H5" t="s">
        <v>213</v>
      </c>
      <c r="I5" t="s">
        <v>240</v>
      </c>
      <c r="J5" t="s">
        <v>273</v>
      </c>
      <c r="K5" t="s">
        <v>291</v>
      </c>
      <c r="L5" t="s">
        <v>315</v>
      </c>
      <c r="M5" t="s">
        <v>345</v>
      </c>
      <c r="N5" t="s">
        <v>375</v>
      </c>
      <c r="O5" t="s">
        <v>405</v>
      </c>
      <c r="P5" t="s">
        <v>438</v>
      </c>
      <c r="Q5" t="s">
        <v>467</v>
      </c>
      <c r="R5" t="s">
        <v>497</v>
      </c>
    </row>
    <row r="6" spans="1:26" x14ac:dyDescent="0.3">
      <c r="A6" t="s">
        <v>44</v>
      </c>
      <c r="B6" t="s">
        <v>613</v>
      </c>
      <c r="C6" t="s">
        <v>89</v>
      </c>
      <c r="D6" t="s">
        <v>115</v>
      </c>
      <c r="E6" t="s">
        <v>137</v>
      </c>
      <c r="F6" t="s">
        <v>166</v>
      </c>
      <c r="G6" t="s">
        <v>193</v>
      </c>
      <c r="H6" t="s">
        <v>215</v>
      </c>
      <c r="I6" t="s">
        <v>243</v>
      </c>
      <c r="J6" t="s">
        <v>276</v>
      </c>
      <c r="K6" t="s">
        <v>294</v>
      </c>
      <c r="L6" t="s">
        <v>318</v>
      </c>
      <c r="M6" t="s">
        <v>348</v>
      </c>
      <c r="N6" t="s">
        <v>378</v>
      </c>
      <c r="O6" t="s">
        <v>408</v>
      </c>
      <c r="P6" t="s">
        <v>441</v>
      </c>
      <c r="Q6" t="s">
        <v>470</v>
      </c>
      <c r="R6" t="s">
        <v>500</v>
      </c>
    </row>
    <row r="7" spans="1:26" x14ac:dyDescent="0.3">
      <c r="A7" t="s">
        <v>46</v>
      </c>
      <c r="B7" t="s">
        <v>614</v>
      </c>
      <c r="C7" t="s">
        <v>92</v>
      </c>
      <c r="D7" t="s">
        <v>117</v>
      </c>
      <c r="E7" t="s">
        <v>139</v>
      </c>
      <c r="F7" t="s">
        <v>169</v>
      </c>
      <c r="G7" t="s">
        <v>196</v>
      </c>
      <c r="H7" t="s">
        <v>217</v>
      </c>
      <c r="I7" t="s">
        <v>246</v>
      </c>
      <c r="J7" t="s">
        <v>279</v>
      </c>
      <c r="K7" t="s">
        <v>297</v>
      </c>
      <c r="L7" t="s">
        <v>321</v>
      </c>
      <c r="M7" t="s">
        <v>351</v>
      </c>
      <c r="N7" t="s">
        <v>381</v>
      </c>
      <c r="O7" t="s">
        <v>411</v>
      </c>
      <c r="P7" t="s">
        <v>444</v>
      </c>
      <c r="Q7" t="s">
        <v>473</v>
      </c>
      <c r="R7" t="s">
        <v>503</v>
      </c>
    </row>
    <row r="8" spans="1:26" x14ac:dyDescent="0.3">
      <c r="A8" t="s">
        <v>48</v>
      </c>
      <c r="B8" t="s">
        <v>615</v>
      </c>
      <c r="C8" t="s">
        <v>95</v>
      </c>
      <c r="D8" t="s">
        <v>120</v>
      </c>
      <c r="E8" t="s">
        <v>141</v>
      </c>
      <c r="F8" t="s">
        <v>172</v>
      </c>
      <c r="G8" t="s">
        <v>199</v>
      </c>
      <c r="H8" t="s">
        <v>219</v>
      </c>
      <c r="I8" t="s">
        <v>249</v>
      </c>
      <c r="K8" t="s">
        <v>300</v>
      </c>
      <c r="L8" t="s">
        <v>324</v>
      </c>
      <c r="M8" t="s">
        <v>354</v>
      </c>
      <c r="N8" t="s">
        <v>384</v>
      </c>
      <c r="O8" t="s">
        <v>414</v>
      </c>
      <c r="P8" t="s">
        <v>447</v>
      </c>
      <c r="Q8" t="s">
        <v>476</v>
      </c>
      <c r="R8" t="s">
        <v>506</v>
      </c>
    </row>
    <row r="9" spans="1:26" x14ac:dyDescent="0.3">
      <c r="A9" t="s">
        <v>50</v>
      </c>
      <c r="B9" t="s">
        <v>616</v>
      </c>
      <c r="C9" t="s">
        <v>99</v>
      </c>
      <c r="D9" t="s">
        <v>122</v>
      </c>
      <c r="E9" t="s">
        <v>143</v>
      </c>
      <c r="F9" t="s">
        <v>175</v>
      </c>
      <c r="G9" t="s">
        <v>202</v>
      </c>
      <c r="H9" t="s">
        <v>221</v>
      </c>
      <c r="I9" t="s">
        <v>252</v>
      </c>
      <c r="K9" t="s">
        <v>303</v>
      </c>
      <c r="L9" t="s">
        <v>327</v>
      </c>
      <c r="M9" t="s">
        <v>357</v>
      </c>
      <c r="N9" t="s">
        <v>387</v>
      </c>
      <c r="O9" t="s">
        <v>417</v>
      </c>
      <c r="P9" t="s">
        <v>450</v>
      </c>
      <c r="Q9" t="s">
        <v>479</v>
      </c>
      <c r="R9" t="s">
        <v>509</v>
      </c>
    </row>
    <row r="10" spans="1:26" x14ac:dyDescent="0.3">
      <c r="A10" t="s">
        <v>53</v>
      </c>
      <c r="B10" t="s">
        <v>617</v>
      </c>
      <c r="C10" t="s">
        <v>102</v>
      </c>
      <c r="D10" t="s">
        <v>124</v>
      </c>
      <c r="E10" t="s">
        <v>145</v>
      </c>
      <c r="F10" t="s">
        <v>178</v>
      </c>
      <c r="G10" t="s">
        <v>205</v>
      </c>
      <c r="H10" t="s">
        <v>223</v>
      </c>
      <c r="I10" t="s">
        <v>255</v>
      </c>
      <c r="L10" t="s">
        <v>330</v>
      </c>
      <c r="M10" t="s">
        <v>360</v>
      </c>
      <c r="N10" t="s">
        <v>390</v>
      </c>
      <c r="O10" t="s">
        <v>420</v>
      </c>
      <c r="P10" t="s">
        <v>453</v>
      </c>
      <c r="Q10" t="s">
        <v>482</v>
      </c>
      <c r="R10" t="s">
        <v>512</v>
      </c>
    </row>
    <row r="11" spans="1:26" x14ac:dyDescent="0.3">
      <c r="A11" t="s">
        <v>55</v>
      </c>
      <c r="B11" t="s">
        <v>618</v>
      </c>
      <c r="C11" t="s">
        <v>105</v>
      </c>
      <c r="D11" t="s">
        <v>126</v>
      </c>
      <c r="E11" t="s">
        <v>147</v>
      </c>
      <c r="H11" t="s">
        <v>226</v>
      </c>
      <c r="I11" t="s">
        <v>258</v>
      </c>
      <c r="L11" t="s">
        <v>333</v>
      </c>
      <c r="M11" t="s">
        <v>363</v>
      </c>
      <c r="N11" t="s">
        <v>393</v>
      </c>
      <c r="O11" t="s">
        <v>423</v>
      </c>
      <c r="P11" t="s">
        <v>456</v>
      </c>
      <c r="Q11" t="s">
        <v>485</v>
      </c>
      <c r="R11" t="s">
        <v>515</v>
      </c>
    </row>
    <row r="12" spans="1:26" x14ac:dyDescent="0.3">
      <c r="A12" t="s">
        <v>57</v>
      </c>
      <c r="B12" t="s">
        <v>619</v>
      </c>
      <c r="E12" t="s">
        <v>149</v>
      </c>
      <c r="H12" t="s">
        <v>228</v>
      </c>
      <c r="I12" t="s">
        <v>261</v>
      </c>
      <c r="O12" t="s">
        <v>426</v>
      </c>
    </row>
    <row r="13" spans="1:26" x14ac:dyDescent="0.3">
      <c r="A13" t="s">
        <v>59</v>
      </c>
      <c r="B13" t="s">
        <v>620</v>
      </c>
      <c r="E13" t="s">
        <v>151</v>
      </c>
    </row>
    <row r="14" spans="1:26" x14ac:dyDescent="0.3">
      <c r="A14" t="s">
        <v>62</v>
      </c>
      <c r="B14" t="s">
        <v>621</v>
      </c>
    </row>
    <row r="15" spans="1:26" x14ac:dyDescent="0.3">
      <c r="A15" t="s">
        <v>64</v>
      </c>
      <c r="B15" t="s">
        <v>622</v>
      </c>
    </row>
    <row r="16" spans="1:26" x14ac:dyDescent="0.3">
      <c r="A16" t="s">
        <v>66</v>
      </c>
      <c r="B16" t="s">
        <v>623</v>
      </c>
    </row>
    <row r="17" spans="1:2" x14ac:dyDescent="0.3">
      <c r="A17" t="s">
        <v>68</v>
      </c>
      <c r="B17" t="s">
        <v>624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420"/>
  <sheetViews>
    <sheetView tabSelected="1" zoomScale="85" zoomScaleNormal="85" workbookViewId="0">
      <selection activeCell="B53" sqref="B53"/>
    </sheetView>
  </sheetViews>
  <sheetFormatPr defaultRowHeight="14.4" x14ac:dyDescent="0.3"/>
  <cols>
    <col min="1" max="1" width="12" customWidth="1"/>
    <col min="2" max="2" width="14" customWidth="1"/>
    <col min="3" max="3" width="24" customWidth="1"/>
    <col min="4" max="6" width="10" customWidth="1"/>
    <col min="7" max="8" width="24" customWidth="1"/>
    <col min="9" max="12" width="10" customWidth="1"/>
    <col min="13" max="16" width="18" customWidth="1"/>
    <col min="17" max="19" width="36" customWidth="1"/>
  </cols>
  <sheetData>
    <row r="1" spans="1:26" ht="72" x14ac:dyDescent="0.3">
      <c r="A1" s="6" t="s">
        <v>625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8" t="s">
        <v>626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"/>
      <c r="N3" s="8" t="s">
        <v>627</v>
      </c>
      <c r="O3" s="9"/>
      <c r="P3" s="9"/>
      <c r="Q3" s="9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7" t="s">
        <v>628</v>
      </c>
      <c r="B4" s="7" t="s">
        <v>629</v>
      </c>
      <c r="C4" s="7" t="s">
        <v>630</v>
      </c>
      <c r="D4" s="7" t="s">
        <v>631</v>
      </c>
      <c r="E4" s="7" t="s">
        <v>632</v>
      </c>
      <c r="F4" s="7" t="s">
        <v>633</v>
      </c>
      <c r="G4" s="7" t="s">
        <v>634</v>
      </c>
      <c r="H4" s="7" t="s">
        <v>635</v>
      </c>
      <c r="I4" s="7" t="s">
        <v>636</v>
      </c>
      <c r="J4" s="7" t="s">
        <v>637</v>
      </c>
      <c r="K4" s="7" t="s">
        <v>638</v>
      </c>
      <c r="L4" s="7" t="s">
        <v>639</v>
      </c>
      <c r="M4" s="1"/>
      <c r="N4" s="7" t="s">
        <v>629</v>
      </c>
      <c r="O4" s="7" t="s">
        <v>640</v>
      </c>
      <c r="P4" s="7" t="s">
        <v>630</v>
      </c>
      <c r="Q4" s="7" t="s">
        <v>641</v>
      </c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 t="str">
        <f>Standings!A2</f>
        <v>A</v>
      </c>
      <c r="B5" s="1">
        <f>Standings!B2</f>
        <v>1</v>
      </c>
      <c r="C5" s="1" t="str">
        <f>Standings!C2</f>
        <v>Fatine FC</v>
      </c>
      <c r="D5" s="1">
        <f>Standings!D2</f>
        <v>0</v>
      </c>
      <c r="E5" s="1">
        <f>Standings!E2</f>
        <v>0</v>
      </c>
      <c r="F5" s="1">
        <f>Standings!F2</f>
        <v>0</v>
      </c>
      <c r="G5" s="1">
        <f>Standings!G2</f>
        <v>0</v>
      </c>
      <c r="H5" s="1">
        <f>Standings!H2</f>
        <v>0</v>
      </c>
      <c r="I5" s="1">
        <f>Standings!I2</f>
        <v>0</v>
      </c>
      <c r="J5" s="1">
        <f>Standings!J2</f>
        <v>0</v>
      </c>
      <c r="K5" s="1">
        <f>Standings!K2</f>
        <v>0</v>
      </c>
      <c r="L5" s="1">
        <f>Standings!L2</f>
        <v>0</v>
      </c>
      <c r="M5" s="1"/>
      <c r="N5" s="1">
        <f>IF(TopScorers!A2="","",TopScorers!A2)</f>
        <v>1</v>
      </c>
      <c r="O5" s="1" t="str">
        <f>IF(TopScorers!B2="","",TopScorers!B2)</f>
        <v>STEFANO BRAGHIN</v>
      </c>
      <c r="P5" s="1" t="str">
        <f>IF(TopScorers!C2="","",TopScorers!C2)</f>
        <v>All Blacks</v>
      </c>
      <c r="Q5" s="1">
        <f>IF(TopScorers!D2="","",TopScorers!D2)</f>
        <v>1</v>
      </c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 t="str">
        <f>Standings!A3</f>
        <v>A</v>
      </c>
      <c r="B6" s="1">
        <f>Standings!B3</f>
        <v>2</v>
      </c>
      <c r="C6" s="1" t="str">
        <f>Standings!C3</f>
        <v>FC Internazionale Rovigo</v>
      </c>
      <c r="D6" s="1">
        <f>Standings!D3</f>
        <v>0</v>
      </c>
      <c r="E6" s="1">
        <f>Standings!E3</f>
        <v>0</v>
      </c>
      <c r="F6" s="1">
        <f>Standings!F3</f>
        <v>0</v>
      </c>
      <c r="G6" s="1">
        <f>Standings!G3</f>
        <v>0</v>
      </c>
      <c r="H6" s="1">
        <f>Standings!H3</f>
        <v>0</v>
      </c>
      <c r="I6" s="1">
        <f>Standings!I3</f>
        <v>0</v>
      </c>
      <c r="J6" s="1">
        <f>Standings!J3</f>
        <v>0</v>
      </c>
      <c r="K6" s="1">
        <f>Standings!K3</f>
        <v>0</v>
      </c>
      <c r="L6" s="1">
        <f>Standings!L3</f>
        <v>0</v>
      </c>
      <c r="M6" s="1"/>
      <c r="N6" s="1" t="str">
        <f>IF(TopScorers!A3="","",TopScorers!A3)</f>
        <v/>
      </c>
      <c r="O6" s="1" t="str">
        <f>IF(TopScorers!B3="","",TopScorers!B3)</f>
        <v/>
      </c>
      <c r="P6" s="1" t="str">
        <f>IF(TopScorers!C3="","",TopScorers!C3)</f>
        <v/>
      </c>
      <c r="Q6" s="1" t="str">
        <f>IF(TopScorers!D3="","",TopScorers!D3)</f>
        <v/>
      </c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 t="str">
        <f>Standings!A4</f>
        <v>A</v>
      </c>
      <c r="B7" s="1">
        <f>Standings!B4</f>
        <v>3</v>
      </c>
      <c r="C7" s="1" t="str">
        <f>Standings!C4</f>
        <v>Moviola Utd</v>
      </c>
      <c r="D7" s="1">
        <f>Standings!D4</f>
        <v>0</v>
      </c>
      <c r="E7" s="1">
        <f>Standings!E4</f>
        <v>0</v>
      </c>
      <c r="F7" s="1">
        <f>Standings!F4</f>
        <v>0</v>
      </c>
      <c r="G7" s="1">
        <f>Standings!G4</f>
        <v>0</v>
      </c>
      <c r="H7" s="1">
        <f>Standings!H4</f>
        <v>0</v>
      </c>
      <c r="I7" s="1">
        <f>Standings!I4</f>
        <v>0</v>
      </c>
      <c r="J7" s="1">
        <f>Standings!J4</f>
        <v>0</v>
      </c>
      <c r="K7" s="1">
        <f>Standings!K4</f>
        <v>0</v>
      </c>
      <c r="L7" s="1">
        <f>Standings!L4</f>
        <v>0</v>
      </c>
      <c r="M7" s="1"/>
      <c r="N7" s="1" t="str">
        <f>IF(TopScorers!A4="","",TopScorers!A4)</f>
        <v/>
      </c>
      <c r="O7" s="1" t="str">
        <f>IF(TopScorers!B4="","",TopScorers!B4)</f>
        <v/>
      </c>
      <c r="P7" s="1" t="str">
        <f>IF(TopScorers!C4="","",TopScorers!C4)</f>
        <v/>
      </c>
      <c r="Q7" s="1" t="str">
        <f>IF(TopScorers!D4="","",TopScorers!D4)</f>
        <v/>
      </c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 t="str">
        <f>Standings!A5</f>
        <v>A</v>
      </c>
      <c r="B8" s="1">
        <f>Standings!B5</f>
        <v>4</v>
      </c>
      <c r="C8" s="1" t="str">
        <f>Standings!C5</f>
        <v>Astolfi Impianti Elettrici</v>
      </c>
      <c r="D8" s="1">
        <f>Standings!D5</f>
        <v>0</v>
      </c>
      <c r="E8" s="1">
        <f>Standings!E5</f>
        <v>0</v>
      </c>
      <c r="F8" s="1">
        <f>Standings!F5</f>
        <v>0</v>
      </c>
      <c r="G8" s="1">
        <f>Standings!G5</f>
        <v>0</v>
      </c>
      <c r="H8" s="1">
        <f>Standings!H5</f>
        <v>0</v>
      </c>
      <c r="I8" s="1">
        <f>Standings!I5</f>
        <v>0</v>
      </c>
      <c r="J8" s="1">
        <f>Standings!J5</f>
        <v>0</v>
      </c>
      <c r="K8" s="1">
        <f>Standings!K5</f>
        <v>0</v>
      </c>
      <c r="L8" s="1">
        <f>Standings!L5</f>
        <v>0</v>
      </c>
      <c r="M8" s="1"/>
      <c r="N8" s="1" t="str">
        <f>IF(TopScorers!A5="","",TopScorers!A5)</f>
        <v/>
      </c>
      <c r="O8" s="1" t="str">
        <f>IF(TopScorers!B5="","",TopScorers!B5)</f>
        <v/>
      </c>
      <c r="P8" s="1" t="str">
        <f>IF(TopScorers!C5="","",TopScorers!C5)</f>
        <v/>
      </c>
      <c r="Q8" s="1" t="str">
        <f>IF(TopScorers!D5="","",TopScorers!D5)</f>
        <v/>
      </c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 t="str">
        <f>Standings!A6</f>
        <v>B</v>
      </c>
      <c r="B9" s="1">
        <f>Standings!B6</f>
        <v>1</v>
      </c>
      <c r="C9" s="1" t="str">
        <f>Standings!C6</f>
        <v>Totani</v>
      </c>
      <c r="D9" s="1">
        <f>Standings!D6</f>
        <v>0</v>
      </c>
      <c r="E9" s="1">
        <f>Standings!E6</f>
        <v>0</v>
      </c>
      <c r="F9" s="1">
        <f>Standings!F6</f>
        <v>0</v>
      </c>
      <c r="G9" s="1">
        <f>Standings!G6</f>
        <v>0</v>
      </c>
      <c r="H9" s="1">
        <f>Standings!H6</f>
        <v>0</v>
      </c>
      <c r="I9" s="1">
        <f>Standings!I6</f>
        <v>0</v>
      </c>
      <c r="J9" s="1">
        <f>Standings!J6</f>
        <v>0</v>
      </c>
      <c r="K9" s="1">
        <f>Standings!K6</f>
        <v>0</v>
      </c>
      <c r="L9" s="1">
        <f>Standings!L6</f>
        <v>0</v>
      </c>
      <c r="M9" s="1"/>
      <c r="N9" s="1" t="str">
        <f>IF(TopScorers!A6="","",TopScorers!A6)</f>
        <v/>
      </c>
      <c r="O9" s="1" t="str">
        <f>IF(TopScorers!B6="","",TopScorers!B6)</f>
        <v/>
      </c>
      <c r="P9" s="1" t="str">
        <f>IF(TopScorers!C6="","",TopScorers!C6)</f>
        <v/>
      </c>
      <c r="Q9" s="1" t="str">
        <f>IF(TopScorers!D6="","",TopScorers!D6)</f>
        <v/>
      </c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 t="str">
        <f>Standings!A7</f>
        <v>B</v>
      </c>
      <c r="B10" s="1">
        <f>Standings!B7</f>
        <v>2</v>
      </c>
      <c r="C10" s="1" t="str">
        <f>Standings!C7</f>
        <v>Vecchie Glorie Rovigo</v>
      </c>
      <c r="D10" s="1">
        <f>Standings!D7</f>
        <v>0</v>
      </c>
      <c r="E10" s="1">
        <f>Standings!E7</f>
        <v>0</v>
      </c>
      <c r="F10" s="1">
        <f>Standings!F7</f>
        <v>0</v>
      </c>
      <c r="G10" s="1">
        <f>Standings!G7</f>
        <v>0</v>
      </c>
      <c r="H10" s="1">
        <f>Standings!H7</f>
        <v>0</v>
      </c>
      <c r="I10" s="1">
        <f>Standings!I7</f>
        <v>0</v>
      </c>
      <c r="J10" s="1">
        <f>Standings!J7</f>
        <v>0</v>
      </c>
      <c r="K10" s="1">
        <f>Standings!K7</f>
        <v>0</v>
      </c>
      <c r="L10" s="1">
        <f>Standings!L7</f>
        <v>0</v>
      </c>
      <c r="M10" s="1"/>
      <c r="N10" s="1" t="str">
        <f>IF(TopScorers!A7="","",TopScorers!A7)</f>
        <v/>
      </c>
      <c r="O10" s="1" t="str">
        <f>IF(TopScorers!B7="","",TopScorers!B7)</f>
        <v/>
      </c>
      <c r="P10" s="1" t="str">
        <f>IF(TopScorers!C7="","",TopScorers!C7)</f>
        <v/>
      </c>
      <c r="Q10" s="1" t="str">
        <f>IF(TopScorers!D7="","",TopScorers!D7)</f>
        <v/>
      </c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 t="str">
        <f>Standings!A8</f>
        <v>B</v>
      </c>
      <c r="B11" s="1">
        <f>Standings!B8</f>
        <v>3</v>
      </c>
      <c r="C11" s="1" t="str">
        <f>Standings!C8</f>
        <v>AS Bancatore</v>
      </c>
      <c r="D11" s="1">
        <f>Standings!D8</f>
        <v>0</v>
      </c>
      <c r="E11" s="1">
        <f>Standings!E8</f>
        <v>0</v>
      </c>
      <c r="F11" s="1">
        <f>Standings!F8</f>
        <v>0</v>
      </c>
      <c r="G11" s="1">
        <f>Standings!G8</f>
        <v>0</v>
      </c>
      <c r="H11" s="1">
        <f>Standings!H8</f>
        <v>0</v>
      </c>
      <c r="I11" s="1">
        <f>Standings!I8</f>
        <v>0</v>
      </c>
      <c r="J11" s="1">
        <f>Standings!J8</f>
        <v>0</v>
      </c>
      <c r="K11" s="1">
        <f>Standings!K8</f>
        <v>0</v>
      </c>
      <c r="L11" s="1">
        <f>Standings!L8</f>
        <v>0</v>
      </c>
      <c r="M11" s="1"/>
      <c r="N11" s="1" t="str">
        <f>IF(TopScorers!A8="","",TopScorers!A8)</f>
        <v/>
      </c>
      <c r="O11" s="1" t="str">
        <f>IF(TopScorers!B8="","",TopScorers!B8)</f>
        <v/>
      </c>
      <c r="P11" s="1" t="str">
        <f>IF(TopScorers!C8="","",TopScorers!C8)</f>
        <v/>
      </c>
      <c r="Q11" s="1" t="str">
        <f>IF(TopScorers!D8="","",TopScorers!D8)</f>
        <v/>
      </c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 t="str">
        <f>Standings!A9</f>
        <v>B</v>
      </c>
      <c r="B12" s="1">
        <f>Standings!B9</f>
        <v>4</v>
      </c>
      <c r="C12" s="1" t="str">
        <f>Standings!C9</f>
        <v>Beverton</v>
      </c>
      <c r="D12" s="1">
        <f>Standings!D9</f>
        <v>0</v>
      </c>
      <c r="E12" s="1">
        <f>Standings!E9</f>
        <v>0</v>
      </c>
      <c r="F12" s="1">
        <f>Standings!F9</f>
        <v>0</v>
      </c>
      <c r="G12" s="1">
        <f>Standings!G9</f>
        <v>0</v>
      </c>
      <c r="H12" s="1">
        <f>Standings!H9</f>
        <v>0</v>
      </c>
      <c r="I12" s="1">
        <f>Standings!I9</f>
        <v>0</v>
      </c>
      <c r="J12" s="1">
        <f>Standings!J9</f>
        <v>0</v>
      </c>
      <c r="K12" s="1">
        <f>Standings!K9</f>
        <v>0</v>
      </c>
      <c r="L12" s="1">
        <f>Standings!L9</f>
        <v>0</v>
      </c>
      <c r="M12" s="1"/>
      <c r="N12" s="1" t="str">
        <f>IF(TopScorers!A9="","",TopScorers!A9)</f>
        <v/>
      </c>
      <c r="O12" s="1" t="str">
        <f>IF(TopScorers!B9="","",TopScorers!B9)</f>
        <v/>
      </c>
      <c r="P12" s="1" t="str">
        <f>IF(TopScorers!C9="","",TopScorers!C9)</f>
        <v/>
      </c>
      <c r="Q12" s="1" t="str">
        <f>IF(TopScorers!D9="","",TopScorers!D9)</f>
        <v/>
      </c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 t="str">
        <f>Standings!A10</f>
        <v>C</v>
      </c>
      <c r="B13" s="1">
        <f>Standings!B10</f>
        <v>1</v>
      </c>
      <c r="C13" s="1" t="str">
        <f>Standings!C10</f>
        <v>Leoni di Ricky</v>
      </c>
      <c r="D13" s="1">
        <f>Standings!D10</f>
        <v>0</v>
      </c>
      <c r="E13" s="1">
        <f>Standings!E10</f>
        <v>0</v>
      </c>
      <c r="F13" s="1">
        <f>Standings!F10</f>
        <v>0</v>
      </c>
      <c r="G13" s="1">
        <f>Standings!G10</f>
        <v>0</v>
      </c>
      <c r="H13" s="1">
        <f>Standings!H10</f>
        <v>0</v>
      </c>
      <c r="I13" s="1">
        <f>Standings!I10</f>
        <v>0</v>
      </c>
      <c r="J13" s="1">
        <f>Standings!J10</f>
        <v>0</v>
      </c>
      <c r="K13" s="1">
        <f>Standings!K10</f>
        <v>0</v>
      </c>
      <c r="L13" s="1">
        <f>Standings!L10</f>
        <v>0</v>
      </c>
      <c r="M13" s="1"/>
      <c r="N13" s="1" t="str">
        <f>IF(TopScorers!A10="","",TopScorers!A10)</f>
        <v/>
      </c>
      <c r="O13" s="1" t="str">
        <f>IF(TopScorers!B10="","",TopScorers!B10)</f>
        <v/>
      </c>
      <c r="P13" s="1" t="str">
        <f>IF(TopScorers!C10="","",TopScorers!C10)</f>
        <v/>
      </c>
      <c r="Q13" s="1" t="str">
        <f>IF(TopScorers!D10="","",TopScorers!D10)</f>
        <v/>
      </c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 t="str">
        <f>Standings!A11</f>
        <v>C</v>
      </c>
      <c r="B14" s="1">
        <f>Standings!B11</f>
        <v>2</v>
      </c>
      <c r="C14" s="1" t="str">
        <f>Standings!C11</f>
        <v>Pink 5ive</v>
      </c>
      <c r="D14" s="1">
        <f>Standings!D11</f>
        <v>0</v>
      </c>
      <c r="E14" s="1">
        <f>Standings!E11</f>
        <v>0</v>
      </c>
      <c r="F14" s="1">
        <f>Standings!F11</f>
        <v>0</v>
      </c>
      <c r="G14" s="1">
        <f>Standings!G11</f>
        <v>0</v>
      </c>
      <c r="H14" s="1">
        <f>Standings!H11</f>
        <v>0</v>
      </c>
      <c r="I14" s="1">
        <f>Standings!I11</f>
        <v>0</v>
      </c>
      <c r="J14" s="1">
        <f>Standings!J11</f>
        <v>0</v>
      </c>
      <c r="K14" s="1">
        <f>Standings!K11</f>
        <v>0</v>
      </c>
      <c r="L14" s="1">
        <f>Standings!L11</f>
        <v>0</v>
      </c>
      <c r="M14" s="1"/>
      <c r="N14" s="1" t="str">
        <f>IF(TopScorers!A11="","",TopScorers!A11)</f>
        <v/>
      </c>
      <c r="O14" s="1" t="str">
        <f>IF(TopScorers!B11="","",TopScorers!B11)</f>
        <v/>
      </c>
      <c r="P14" s="1" t="str">
        <f>IF(TopScorers!C11="","",TopScorers!C11)</f>
        <v/>
      </c>
      <c r="Q14" s="1" t="str">
        <f>IF(TopScorers!D11="","",TopScorers!D11)</f>
        <v/>
      </c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 t="str">
        <f>Standings!A12</f>
        <v>C</v>
      </c>
      <c r="B15" s="1">
        <f>Standings!B12</f>
        <v>3</v>
      </c>
      <c r="C15" s="1" t="str">
        <f>Standings!C12</f>
        <v>Barrio Boys</v>
      </c>
      <c r="D15" s="1">
        <f>Standings!D12</f>
        <v>0</v>
      </c>
      <c r="E15" s="1">
        <f>Standings!E12</f>
        <v>0</v>
      </c>
      <c r="F15" s="1">
        <f>Standings!F12</f>
        <v>0</v>
      </c>
      <c r="G15" s="1">
        <f>Standings!G12</f>
        <v>0</v>
      </c>
      <c r="H15" s="1">
        <f>Standings!H12</f>
        <v>0</v>
      </c>
      <c r="I15" s="1">
        <f>Standings!I12</f>
        <v>0</v>
      </c>
      <c r="J15" s="1">
        <f>Standings!J12</f>
        <v>0</v>
      </c>
      <c r="K15" s="1">
        <f>Standings!K12</f>
        <v>0</v>
      </c>
      <c r="L15" s="1">
        <f>Standings!L12</f>
        <v>0</v>
      </c>
      <c r="M15" s="1"/>
      <c r="N15" s="1" t="str">
        <f>IF(TopScorers!A12="","",TopScorers!A12)</f>
        <v/>
      </c>
      <c r="O15" s="1" t="str">
        <f>IF(TopScorers!B12="","",TopScorers!B12)</f>
        <v/>
      </c>
      <c r="P15" s="1" t="str">
        <f>IF(TopScorers!C12="","",TopScorers!C12)</f>
        <v/>
      </c>
      <c r="Q15" s="1" t="str">
        <f>IF(TopScorers!D12="","",TopScorers!D12)</f>
        <v/>
      </c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 t="str">
        <f>Standings!A13</f>
        <v>C</v>
      </c>
      <c r="B16" s="1">
        <f>Standings!B13</f>
        <v>4</v>
      </c>
      <c r="C16" s="1" t="str">
        <f>Standings!C13</f>
        <v>Cani</v>
      </c>
      <c r="D16" s="1">
        <f>Standings!D13</f>
        <v>0</v>
      </c>
      <c r="E16" s="1">
        <f>Standings!E13</f>
        <v>0</v>
      </c>
      <c r="F16" s="1">
        <f>Standings!F13</f>
        <v>0</v>
      </c>
      <c r="G16" s="1">
        <f>Standings!G13</f>
        <v>0</v>
      </c>
      <c r="H16" s="1">
        <f>Standings!H13</f>
        <v>0</v>
      </c>
      <c r="I16" s="1">
        <f>Standings!I13</f>
        <v>0</v>
      </c>
      <c r="J16" s="1">
        <f>Standings!J13</f>
        <v>0</v>
      </c>
      <c r="K16" s="1">
        <f>Standings!K13</f>
        <v>0</v>
      </c>
      <c r="L16" s="1">
        <f>Standings!L13</f>
        <v>0</v>
      </c>
      <c r="M16" s="1"/>
      <c r="N16" s="1" t="str">
        <f>IF(TopScorers!A13="","",TopScorers!A13)</f>
        <v/>
      </c>
      <c r="O16" s="1" t="str">
        <f>IF(TopScorers!B13="","",TopScorers!B13)</f>
        <v/>
      </c>
      <c r="P16" s="1" t="str">
        <f>IF(TopScorers!C13="","",TopScorers!C13)</f>
        <v/>
      </c>
      <c r="Q16" s="1" t="str">
        <f>IF(TopScorers!D13="","",TopScorers!D13)</f>
        <v/>
      </c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 t="str">
        <f>Standings!A14</f>
        <v>D</v>
      </c>
      <c r="B17" s="1">
        <f>Standings!B14</f>
        <v>1</v>
      </c>
      <c r="C17" s="1" t="str">
        <f>Standings!C14</f>
        <v>All Blacks</v>
      </c>
      <c r="D17" s="1">
        <f>Standings!D14</f>
        <v>3</v>
      </c>
      <c r="E17" s="1">
        <f>Standings!E14</f>
        <v>1</v>
      </c>
      <c r="F17" s="1">
        <f>Standings!F14</f>
        <v>1</v>
      </c>
      <c r="G17" s="1">
        <f>Standings!G14</f>
        <v>0</v>
      </c>
      <c r="H17" s="1">
        <f>Standings!H14</f>
        <v>0</v>
      </c>
      <c r="I17" s="1">
        <f>Standings!I14</f>
        <v>0</v>
      </c>
      <c r="J17" s="1">
        <f>Standings!J14</f>
        <v>1</v>
      </c>
      <c r="K17" s="1">
        <f>Standings!K14</f>
        <v>0</v>
      </c>
      <c r="L17" s="1">
        <f>Standings!L14</f>
        <v>1</v>
      </c>
      <c r="M17" s="1"/>
      <c r="N17" s="1" t="str">
        <f>IF(TopScorers!A14="","",TopScorers!A14)</f>
        <v/>
      </c>
      <c r="O17" s="1" t="str">
        <f>IF(TopScorers!B14="","",TopScorers!B14)</f>
        <v/>
      </c>
      <c r="P17" s="1" t="str">
        <f>IF(TopScorers!C14="","",TopScorers!C14)</f>
        <v/>
      </c>
      <c r="Q17" s="1" t="str">
        <f>IF(TopScorers!D14="","",TopScorers!D14)</f>
        <v/>
      </c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 t="str">
        <f>Standings!A15</f>
        <v>D</v>
      </c>
      <c r="B18" s="1">
        <f>Standings!B15</f>
        <v>2</v>
      </c>
      <c r="C18" s="1" t="str">
        <f>Standings!C15</f>
        <v>Coca Juniors</v>
      </c>
      <c r="D18" s="1">
        <f>Standings!D15</f>
        <v>0</v>
      </c>
      <c r="E18" s="1">
        <f>Standings!E15</f>
        <v>0</v>
      </c>
      <c r="F18" s="1">
        <f>Standings!F15</f>
        <v>0</v>
      </c>
      <c r="G18" s="1">
        <f>Standings!G15</f>
        <v>0</v>
      </c>
      <c r="H18" s="1">
        <f>Standings!H15</f>
        <v>0</v>
      </c>
      <c r="I18" s="1">
        <f>Standings!I15</f>
        <v>0</v>
      </c>
      <c r="J18" s="1">
        <f>Standings!J15</f>
        <v>0</v>
      </c>
      <c r="K18" s="1">
        <f>Standings!K15</f>
        <v>0</v>
      </c>
      <c r="L18" s="1">
        <f>Standings!L15</f>
        <v>0</v>
      </c>
      <c r="M18" s="1"/>
      <c r="N18" s="1" t="str">
        <f>IF(TopScorers!A15="","",TopScorers!A15)</f>
        <v/>
      </c>
      <c r="O18" s="1" t="str">
        <f>IF(TopScorers!B15="","",TopScorers!B15)</f>
        <v/>
      </c>
      <c r="P18" s="1" t="str">
        <f>IF(TopScorers!C15="","",TopScorers!C15)</f>
        <v/>
      </c>
      <c r="Q18" s="1" t="str">
        <f>IF(TopScorers!D15="","",TopScorers!D15)</f>
        <v/>
      </c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 t="str">
        <f>Standings!A16</f>
        <v>D</v>
      </c>
      <c r="B19" s="1">
        <f>Standings!B16</f>
        <v>3</v>
      </c>
      <c r="C19" s="1" t="str">
        <f>Standings!C16</f>
        <v>Piadineria la Salsiccia</v>
      </c>
      <c r="D19" s="1">
        <f>Standings!D16</f>
        <v>0</v>
      </c>
      <c r="E19" s="1">
        <f>Standings!E16</f>
        <v>0</v>
      </c>
      <c r="F19" s="1">
        <f>Standings!F16</f>
        <v>0</v>
      </c>
      <c r="G19" s="1">
        <f>Standings!G16</f>
        <v>0</v>
      </c>
      <c r="H19" s="1">
        <f>Standings!H16</f>
        <v>0</v>
      </c>
      <c r="I19" s="1">
        <f>Standings!I16</f>
        <v>0</v>
      </c>
      <c r="J19" s="1">
        <f>Standings!J16</f>
        <v>0</v>
      </c>
      <c r="K19" s="1">
        <f>Standings!K16</f>
        <v>0</v>
      </c>
      <c r="L19" s="1">
        <f>Standings!L16</f>
        <v>0</v>
      </c>
      <c r="M19" s="1"/>
      <c r="N19" s="1" t="str">
        <f>IF(TopScorers!A16="","",TopScorers!A16)</f>
        <v/>
      </c>
      <c r="O19" s="1" t="str">
        <f>IF(TopScorers!B16="","",TopScorers!B16)</f>
        <v/>
      </c>
      <c r="P19" s="1" t="str">
        <f>IF(TopScorers!C16="","",TopScorers!C16)</f>
        <v/>
      </c>
      <c r="Q19" s="1" t="str">
        <f>IF(TopScorers!D16="","",TopScorers!D16)</f>
        <v/>
      </c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 t="str">
        <f>Standings!A17</f>
        <v>D</v>
      </c>
      <c r="B20" s="1">
        <f>Standings!B17</f>
        <v>4</v>
      </c>
      <c r="C20" s="1" t="str">
        <f>Standings!C17</f>
        <v>Boldò Glimt</v>
      </c>
      <c r="D20" s="1">
        <f>Standings!D17</f>
        <v>0</v>
      </c>
      <c r="E20" s="1">
        <f>Standings!E17</f>
        <v>1</v>
      </c>
      <c r="F20" s="1">
        <f>Standings!F17</f>
        <v>0</v>
      </c>
      <c r="G20" s="1">
        <f>Standings!G17</f>
        <v>0</v>
      </c>
      <c r="H20" s="1">
        <f>Standings!H17</f>
        <v>0</v>
      </c>
      <c r="I20" s="1">
        <f>Standings!I17</f>
        <v>1</v>
      </c>
      <c r="J20" s="1">
        <f>Standings!J17</f>
        <v>0</v>
      </c>
      <c r="K20" s="1">
        <f>Standings!K17</f>
        <v>1</v>
      </c>
      <c r="L20" s="1">
        <f>Standings!L17</f>
        <v>-1</v>
      </c>
      <c r="M20" s="1"/>
      <c r="N20" s="1" t="str">
        <f>IF(TopScorers!A17="","",TopScorers!A17)</f>
        <v/>
      </c>
      <c r="O20" s="1" t="str">
        <f>IF(TopScorers!B17="","",TopScorers!B17)</f>
        <v/>
      </c>
      <c r="P20" s="1" t="str">
        <f>IF(TopScorers!C17="","",TopScorers!C17)</f>
        <v/>
      </c>
      <c r="Q20" s="1" t="str">
        <f>IF(TopScorers!D17="","",TopScorers!D17)</f>
        <v/>
      </c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 t="str">
        <f>IF(TopScorers!A18="","",TopScorers!A18)</f>
        <v/>
      </c>
      <c r="O21" s="1" t="str">
        <f>IF(TopScorers!B18="","",TopScorers!B18)</f>
        <v/>
      </c>
      <c r="P21" s="1" t="str">
        <f>IF(TopScorers!C18="","",TopScorers!C18)</f>
        <v/>
      </c>
      <c r="Q21" s="1" t="str">
        <f>IF(TopScorers!D18="","",TopScorers!D18)</f>
        <v/>
      </c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 t="str">
        <f>IF(TopScorers!A19="","",TopScorers!A19)</f>
        <v/>
      </c>
      <c r="O22" s="5" t="str">
        <f>IF(TopScorers!B19="","",TopScorers!B19)</f>
        <v/>
      </c>
      <c r="P22" s="5" t="str">
        <f>IF(TopScorers!C19="","",TopScorers!C19)</f>
        <v/>
      </c>
      <c r="Q22" s="1" t="str">
        <f>IF(TopScorers!D19="","",TopScorers!D19)</f>
        <v/>
      </c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8" t="s">
        <v>642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 t="str">
        <f>IF(TopScorers!A20="","",TopScorers!A20)</f>
        <v/>
      </c>
      <c r="O23" s="10" t="str">
        <f>IF(TopScorers!B20="","",TopScorers!B20)</f>
        <v/>
      </c>
      <c r="P23" s="10" t="str">
        <f>IF(TopScorers!C20="","",TopScorers!C20)</f>
        <v/>
      </c>
      <c r="Q23" s="10" t="str">
        <f>IF(TopScorers!D20="","",TopScorers!D20)</f>
        <v/>
      </c>
      <c r="R23" s="10"/>
      <c r="S23" s="10"/>
      <c r="T23" s="1"/>
      <c r="U23" s="1"/>
      <c r="V23" s="1"/>
      <c r="W23" s="1"/>
      <c r="X23" s="1"/>
      <c r="Y23" s="1"/>
      <c r="Z23" s="1"/>
    </row>
    <row r="24" spans="1:26" ht="28.8" x14ac:dyDescent="0.3">
      <c r="A24" s="7" t="s">
        <v>643</v>
      </c>
      <c r="B24" s="7" t="s">
        <v>644</v>
      </c>
      <c r="C24" s="7" t="s">
        <v>628</v>
      </c>
      <c r="D24" s="7" t="s">
        <v>645</v>
      </c>
      <c r="E24" s="7" t="s">
        <v>646</v>
      </c>
      <c r="F24" s="7" t="s">
        <v>647</v>
      </c>
      <c r="G24" s="7" t="s">
        <v>648</v>
      </c>
      <c r="H24" s="7" t="s">
        <v>649</v>
      </c>
      <c r="I24" s="7" t="s">
        <v>650</v>
      </c>
      <c r="J24" s="7" t="s">
        <v>651</v>
      </c>
      <c r="K24" s="7" t="s">
        <v>652</v>
      </c>
      <c r="L24" s="7" t="s">
        <v>653</v>
      </c>
      <c r="M24" s="7" t="s">
        <v>654</v>
      </c>
      <c r="N24" s="7" t="s">
        <v>655</v>
      </c>
      <c r="O24" s="7" t="s">
        <v>656</v>
      </c>
      <c r="P24" s="7" t="s">
        <v>657</v>
      </c>
      <c r="Q24" s="7" t="s">
        <v>658</v>
      </c>
      <c r="R24" s="7" t="s">
        <v>659</v>
      </c>
      <c r="S24" s="7" t="s">
        <v>660</v>
      </c>
      <c r="T24" s="1"/>
      <c r="U24" s="1"/>
      <c r="V24" s="1"/>
      <c r="W24" s="1"/>
      <c r="X24" s="1"/>
      <c r="Y24" s="1"/>
      <c r="Z24" s="1"/>
    </row>
    <row r="25" spans="1:26" x14ac:dyDescent="0.3">
      <c r="A25" s="1" t="str">
        <f>Matches!A2</f>
        <v>M01</v>
      </c>
      <c r="B25" s="1" t="str">
        <f>Matches!B2</f>
        <v>Group</v>
      </c>
      <c r="C25" s="1" t="str">
        <f>Matches!C2</f>
        <v>D</v>
      </c>
      <c r="D25" s="1">
        <f>Matches!D2</f>
        <v>1</v>
      </c>
      <c r="E25" s="1" t="str">
        <f>Matches!E2</f>
        <v>1</v>
      </c>
      <c r="F25" s="1" t="str">
        <f>Matches!F2</f>
        <v>14:15</v>
      </c>
      <c r="G25" s="1" t="str">
        <f>Matches!G2</f>
        <v>All Blacks</v>
      </c>
      <c r="H25" s="1" t="str">
        <f>Matches!H2</f>
        <v>Boldò Glimt</v>
      </c>
      <c r="I25" s="1">
        <f>IF(Matches!I2="","",Matches!I2)</f>
        <v>1</v>
      </c>
      <c r="J25" s="1">
        <f>IF(Matches!J2="","",Matches!J2)</f>
        <v>0</v>
      </c>
      <c r="K25" s="1" t="str">
        <f>IF(Matches!K2="","",Matches!K2)</f>
        <v/>
      </c>
      <c r="L25" s="1" t="str">
        <f>Matches!L2</f>
        <v>Complete</v>
      </c>
      <c r="M25" s="1">
        <f>IF(Matches!M2="","",Matches!M2)</f>
        <v>3</v>
      </c>
      <c r="N25" s="1">
        <f>IF(Matches!N2="","",Matches!N2)</f>
        <v>0</v>
      </c>
      <c r="O25" s="1" t="str">
        <f>IF(Matches!O2="","",Matches!O2)</f>
        <v>All Blacks</v>
      </c>
      <c r="P25" s="1" t="str">
        <f>IF(Matches!P2="","",Matches!P2)</f>
        <v>All Blacks 1 - 0 Boldò Glimt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 t="str">
        <f>Matches!A3</f>
        <v>M02</v>
      </c>
      <c r="B26" s="1" t="str">
        <f>Matches!B3</f>
        <v>Group</v>
      </c>
      <c r="C26" s="1" t="str">
        <f>Matches!C3</f>
        <v>D</v>
      </c>
      <c r="D26" s="1">
        <f>Matches!D3</f>
        <v>1</v>
      </c>
      <c r="E26" s="1" t="str">
        <f>Matches!E3</f>
        <v>2</v>
      </c>
      <c r="F26" s="1" t="str">
        <f>Matches!F3</f>
        <v>14:15</v>
      </c>
      <c r="G26" s="1" t="str">
        <f>Matches!G3</f>
        <v>Coca Juniors</v>
      </c>
      <c r="H26" s="1" t="str">
        <f>Matches!H3</f>
        <v>Piadineria la Salsiccia</v>
      </c>
      <c r="I26" s="1" t="str">
        <f>IF(Matches!I3="","",Matches!I3)</f>
        <v/>
      </c>
      <c r="J26" s="1" t="str">
        <f>IF(Matches!J3="","",Matches!J3)</f>
        <v/>
      </c>
      <c r="K26" s="1" t="str">
        <f>IF(Matches!K3="","",Matches!K3)</f>
        <v/>
      </c>
      <c r="L26" s="1" t="str">
        <f>Matches!L3</f>
        <v>Pending</v>
      </c>
      <c r="M26" s="1" t="str">
        <f>IF(Matches!M3="","",Matches!M3)</f>
        <v/>
      </c>
      <c r="N26" s="1" t="str">
        <f>IF(Matches!N3="","",Matches!N3)</f>
        <v/>
      </c>
      <c r="O26" s="1" t="str">
        <f>IF(Matches!O3="","",Matches!O3)</f>
        <v/>
      </c>
      <c r="P26" s="1" t="str">
        <f>IF(Matches!P3="","",Matches!P3)</f>
        <v/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 t="str">
        <f>Matches!A4</f>
        <v>M03</v>
      </c>
      <c r="B27" s="1" t="str">
        <f>Matches!B4</f>
        <v>Group</v>
      </c>
      <c r="C27" s="1" t="str">
        <f>Matches!C4</f>
        <v>B</v>
      </c>
      <c r="D27" s="1">
        <f>Matches!D4</f>
        <v>1</v>
      </c>
      <c r="E27" s="1" t="str">
        <f>Matches!E4</f>
        <v>3 (S)</v>
      </c>
      <c r="F27" s="1" t="str">
        <f>Matches!F4</f>
        <v>14:15</v>
      </c>
      <c r="G27" s="1" t="str">
        <f>Matches!G4</f>
        <v>Totani</v>
      </c>
      <c r="H27" s="1" t="str">
        <f>Matches!H4</f>
        <v>Vecchie Glorie Rovigo</v>
      </c>
      <c r="I27" s="1" t="str">
        <f>IF(Matches!I4="","",Matches!I4)</f>
        <v/>
      </c>
      <c r="J27" s="1" t="str">
        <f>IF(Matches!J4="","",Matches!J4)</f>
        <v/>
      </c>
      <c r="K27" s="1" t="str">
        <f>IF(Matches!K4="","",Matches!K4)</f>
        <v/>
      </c>
      <c r="L27" s="1" t="str">
        <f>Matches!L4</f>
        <v>Pending</v>
      </c>
      <c r="M27" s="1" t="str">
        <f>IF(Matches!M4="","",Matches!M4)</f>
        <v/>
      </c>
      <c r="N27" s="1" t="str">
        <f>IF(Matches!N4="","",Matches!N4)</f>
        <v/>
      </c>
      <c r="O27" s="1" t="str">
        <f>IF(Matches!O4="","",Matches!O4)</f>
        <v/>
      </c>
      <c r="P27" s="1" t="str">
        <f>IF(Matches!P4="","",Matches!P4)</f>
        <v/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 t="str">
        <f>Matches!A5</f>
        <v>M04</v>
      </c>
      <c r="B28" s="1" t="str">
        <f>Matches!B5</f>
        <v>Group</v>
      </c>
      <c r="C28" s="1" t="str">
        <f>Matches!C5</f>
        <v>C</v>
      </c>
      <c r="D28" s="1">
        <f>Matches!D5</f>
        <v>1</v>
      </c>
      <c r="E28" s="1" t="str">
        <f>Matches!E5</f>
        <v>1</v>
      </c>
      <c r="F28" s="1" t="str">
        <f>Matches!F5</f>
        <v>14:45</v>
      </c>
      <c r="G28" s="1" t="str">
        <f>Matches!G5</f>
        <v>Leoni di Ricky</v>
      </c>
      <c r="H28" s="1" t="str">
        <f>Matches!H5</f>
        <v>Pink 5ive</v>
      </c>
      <c r="I28" s="1" t="str">
        <f>IF(Matches!I5="","",Matches!I5)</f>
        <v/>
      </c>
      <c r="J28" s="1" t="str">
        <f>IF(Matches!J5="","",Matches!J5)</f>
        <v/>
      </c>
      <c r="K28" s="1" t="str">
        <f>IF(Matches!K5="","",Matches!K5)</f>
        <v/>
      </c>
      <c r="L28" s="1" t="str">
        <f>Matches!L5</f>
        <v>Pending</v>
      </c>
      <c r="M28" s="1" t="str">
        <f>IF(Matches!M5="","",Matches!M5)</f>
        <v/>
      </c>
      <c r="N28" s="1" t="str">
        <f>IF(Matches!N5="","",Matches!N5)</f>
        <v/>
      </c>
      <c r="O28" s="1" t="str">
        <f>IF(Matches!O5="","",Matches!O5)</f>
        <v/>
      </c>
      <c r="P28" s="1" t="str">
        <f>IF(Matches!P5="","",Matches!P5)</f>
        <v/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 t="str">
        <f>Matches!A6</f>
        <v>M05</v>
      </c>
      <c r="B29" s="1" t="str">
        <f>Matches!B6</f>
        <v>Group</v>
      </c>
      <c r="C29" s="1" t="str">
        <f>Matches!C6</f>
        <v>C</v>
      </c>
      <c r="D29" s="1">
        <f>Matches!D6</f>
        <v>1</v>
      </c>
      <c r="E29" s="1" t="str">
        <f>Matches!E6</f>
        <v>2</v>
      </c>
      <c r="F29" s="1" t="str">
        <f>Matches!F6</f>
        <v>14:45</v>
      </c>
      <c r="G29" s="1" t="str">
        <f>Matches!G6</f>
        <v>Barrio Boys</v>
      </c>
      <c r="H29" s="1" t="str">
        <f>Matches!H6</f>
        <v>Cani</v>
      </c>
      <c r="I29" s="1" t="str">
        <f>IF(Matches!I6="","",Matches!I6)</f>
        <v/>
      </c>
      <c r="J29" s="1" t="str">
        <f>IF(Matches!J6="","",Matches!J6)</f>
        <v/>
      </c>
      <c r="K29" s="1" t="str">
        <f>IF(Matches!K6="","",Matches!K6)</f>
        <v/>
      </c>
      <c r="L29" s="1" t="str">
        <f>Matches!L6</f>
        <v>Pending</v>
      </c>
      <c r="M29" s="1" t="str">
        <f>IF(Matches!M6="","",Matches!M6)</f>
        <v/>
      </c>
      <c r="N29" s="1" t="str">
        <f>IF(Matches!N6="","",Matches!N6)</f>
        <v/>
      </c>
      <c r="O29" s="1" t="str">
        <f>IF(Matches!O6="","",Matches!O6)</f>
        <v/>
      </c>
      <c r="P29" s="1" t="str">
        <f>IF(Matches!P6="","",Matches!P6)</f>
        <v/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 t="str">
        <f>Matches!A7</f>
        <v>M06</v>
      </c>
      <c r="B30" s="1" t="str">
        <f>Matches!B7</f>
        <v>Group</v>
      </c>
      <c r="C30" s="1" t="str">
        <f>Matches!C7</f>
        <v>B</v>
      </c>
      <c r="D30" s="1">
        <f>Matches!D7</f>
        <v>1</v>
      </c>
      <c r="E30" s="1" t="str">
        <f>Matches!E7</f>
        <v>3 (S)</v>
      </c>
      <c r="F30" s="1" t="str">
        <f>Matches!F7</f>
        <v>14:45</v>
      </c>
      <c r="G30" s="1" t="str">
        <f>Matches!G7</f>
        <v>AS Bancatore</v>
      </c>
      <c r="H30" s="1" t="str">
        <f>Matches!H7</f>
        <v>Beverton</v>
      </c>
      <c r="I30" s="1" t="str">
        <f>IF(Matches!I7="","",Matches!I7)</f>
        <v/>
      </c>
      <c r="J30" s="1" t="str">
        <f>IF(Matches!J7="","",Matches!J7)</f>
        <v/>
      </c>
      <c r="K30" s="1" t="str">
        <f>IF(Matches!K7="","",Matches!K7)</f>
        <v/>
      </c>
      <c r="L30" s="1" t="str">
        <f>Matches!L7</f>
        <v>Pending</v>
      </c>
      <c r="M30" s="1" t="str">
        <f>IF(Matches!M7="","",Matches!M7)</f>
        <v/>
      </c>
      <c r="N30" s="1" t="str">
        <f>IF(Matches!N7="","",Matches!N7)</f>
        <v/>
      </c>
      <c r="O30" s="1" t="str">
        <f>IF(Matches!O7="","",Matches!O7)</f>
        <v/>
      </c>
      <c r="P30" s="1" t="str">
        <f>IF(Matches!P7="","",Matches!P7)</f>
        <v/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 t="str">
        <f>Matches!A8</f>
        <v>M07</v>
      </c>
      <c r="B31" s="1" t="str">
        <f>Matches!B8</f>
        <v>Group</v>
      </c>
      <c r="C31" s="1" t="str">
        <f>Matches!C8</f>
        <v>A</v>
      </c>
      <c r="D31" s="1">
        <f>Matches!D8</f>
        <v>1</v>
      </c>
      <c r="E31" s="1" t="str">
        <f>Matches!E8</f>
        <v>1</v>
      </c>
      <c r="F31" s="1" t="str">
        <f>Matches!F8</f>
        <v>15:15</v>
      </c>
      <c r="G31" s="1" t="str">
        <f>Matches!G8</f>
        <v>Fatine FC</v>
      </c>
      <c r="H31" s="1" t="str">
        <f>Matches!H8</f>
        <v>FC Internazionale Rovigo</v>
      </c>
      <c r="I31" s="1" t="str">
        <f>IF(Matches!I8="","",Matches!I8)</f>
        <v/>
      </c>
      <c r="J31" s="1" t="str">
        <f>IF(Matches!J8="","",Matches!J8)</f>
        <v/>
      </c>
      <c r="K31" s="1" t="str">
        <f>IF(Matches!K8="","",Matches!K8)</f>
        <v/>
      </c>
      <c r="L31" s="1" t="str">
        <f>Matches!L8</f>
        <v>Pending</v>
      </c>
      <c r="M31" s="1" t="str">
        <f>IF(Matches!M8="","",Matches!M8)</f>
        <v/>
      </c>
      <c r="N31" s="1" t="str">
        <f>IF(Matches!N8="","",Matches!N8)</f>
        <v/>
      </c>
      <c r="O31" s="1" t="str">
        <f>IF(Matches!O8="","",Matches!O8)</f>
        <v/>
      </c>
      <c r="P31" s="1" t="str">
        <f>IF(Matches!P8="","",Matches!P8)</f>
        <v/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 t="str">
        <f>Matches!A9</f>
        <v>M08</v>
      </c>
      <c r="B32" s="1" t="str">
        <f>Matches!B9</f>
        <v>Group</v>
      </c>
      <c r="C32" s="1" t="str">
        <f>Matches!C9</f>
        <v>A</v>
      </c>
      <c r="D32" s="1">
        <f>Matches!D9</f>
        <v>1</v>
      </c>
      <c r="E32" s="1" t="str">
        <f>Matches!E9</f>
        <v>2</v>
      </c>
      <c r="F32" s="1" t="str">
        <f>Matches!F9</f>
        <v>15:15</v>
      </c>
      <c r="G32" s="1" t="str">
        <f>Matches!G9</f>
        <v>Moviola Utd</v>
      </c>
      <c r="H32" s="1" t="str">
        <f>Matches!H9</f>
        <v>Astolfi Impianti Elettrici</v>
      </c>
      <c r="I32" s="1" t="str">
        <f>IF(Matches!I9="","",Matches!I9)</f>
        <v/>
      </c>
      <c r="J32" s="1" t="str">
        <f>IF(Matches!J9="","",Matches!J9)</f>
        <v/>
      </c>
      <c r="K32" s="1" t="str">
        <f>IF(Matches!K9="","",Matches!K9)</f>
        <v/>
      </c>
      <c r="L32" s="1" t="str">
        <f>Matches!L9</f>
        <v>Pending</v>
      </c>
      <c r="M32" s="1" t="str">
        <f>IF(Matches!M9="","",Matches!M9)</f>
        <v/>
      </c>
      <c r="N32" s="1" t="str">
        <f>IF(Matches!N9="","",Matches!N9)</f>
        <v/>
      </c>
      <c r="O32" s="1" t="str">
        <f>IF(Matches!O9="","",Matches!O9)</f>
        <v/>
      </c>
      <c r="P32" s="1" t="str">
        <f>IF(Matches!P9="","",Matches!P9)</f>
        <v/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 t="str">
        <f>Matches!A10</f>
        <v>M09</v>
      </c>
      <c r="B33" s="1" t="str">
        <f>Matches!B10</f>
        <v>Group</v>
      </c>
      <c r="C33" s="1" t="str">
        <f>Matches!C10</f>
        <v>D</v>
      </c>
      <c r="D33" s="1">
        <f>Matches!D10</f>
        <v>2</v>
      </c>
      <c r="E33" s="1" t="str">
        <f>Matches!E10</f>
        <v>3 (S)</v>
      </c>
      <c r="F33" s="1" t="str">
        <f>Matches!F10</f>
        <v>15:15</v>
      </c>
      <c r="G33" s="1" t="str">
        <f>Matches!G10</f>
        <v>All Blacks</v>
      </c>
      <c r="H33" s="1" t="str">
        <f>Matches!H10</f>
        <v>Coca Juniors</v>
      </c>
      <c r="I33" s="1" t="str">
        <f>IF(Matches!I10="","",Matches!I10)</f>
        <v/>
      </c>
      <c r="J33" s="1" t="str">
        <f>IF(Matches!J10="","",Matches!J10)</f>
        <v/>
      </c>
      <c r="K33" s="1" t="str">
        <f>IF(Matches!K10="","",Matches!K10)</f>
        <v/>
      </c>
      <c r="L33" s="1" t="str">
        <f>Matches!L10</f>
        <v>Pending</v>
      </c>
      <c r="M33" s="1" t="str">
        <f>IF(Matches!M10="","",Matches!M10)</f>
        <v/>
      </c>
      <c r="N33" s="1" t="str">
        <f>IF(Matches!N10="","",Matches!N10)</f>
        <v/>
      </c>
      <c r="O33" s="1" t="str">
        <f>IF(Matches!O10="","",Matches!O10)</f>
        <v/>
      </c>
      <c r="P33" s="1" t="str">
        <f>IF(Matches!P10="","",Matches!P10)</f>
        <v/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 t="str">
        <f>Matches!A11</f>
        <v>M10</v>
      </c>
      <c r="B34" s="1" t="str">
        <f>Matches!B11</f>
        <v>Group</v>
      </c>
      <c r="C34" s="1" t="str">
        <f>Matches!C11</f>
        <v>B</v>
      </c>
      <c r="D34" s="1">
        <f>Matches!D11</f>
        <v>2</v>
      </c>
      <c r="E34" s="1" t="str">
        <f>Matches!E11</f>
        <v>1</v>
      </c>
      <c r="F34" s="1" t="str">
        <f>Matches!F11</f>
        <v>15:45</v>
      </c>
      <c r="G34" s="1" t="str">
        <f>Matches!G11</f>
        <v>Totani</v>
      </c>
      <c r="H34" s="1" t="str">
        <f>Matches!H11</f>
        <v>AS Bancatore</v>
      </c>
      <c r="I34" s="1" t="str">
        <f>IF(Matches!I11="","",Matches!I11)</f>
        <v/>
      </c>
      <c r="J34" s="1" t="str">
        <f>IF(Matches!J11="","",Matches!J11)</f>
        <v/>
      </c>
      <c r="K34" s="1" t="str">
        <f>IF(Matches!K11="","",Matches!K11)</f>
        <v/>
      </c>
      <c r="L34" s="1" t="str">
        <f>Matches!L11</f>
        <v>Pending</v>
      </c>
      <c r="M34" s="1" t="str">
        <f>IF(Matches!M11="","",Matches!M11)</f>
        <v/>
      </c>
      <c r="N34" s="1" t="str">
        <f>IF(Matches!N11="","",Matches!N11)</f>
        <v/>
      </c>
      <c r="O34" s="1" t="str">
        <f>IF(Matches!O11="","",Matches!O11)</f>
        <v/>
      </c>
      <c r="P34" s="1" t="str">
        <f>IF(Matches!P11="","",Matches!P11)</f>
        <v/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 t="str">
        <f>Matches!A12</f>
        <v>M11</v>
      </c>
      <c r="B35" s="1" t="str">
        <f>Matches!B12</f>
        <v>Group</v>
      </c>
      <c r="C35" s="1" t="str">
        <f>Matches!C12</f>
        <v>B</v>
      </c>
      <c r="D35" s="1">
        <f>Matches!D12</f>
        <v>2</v>
      </c>
      <c r="E35" s="1" t="str">
        <f>Matches!E12</f>
        <v>2</v>
      </c>
      <c r="F35" s="1" t="str">
        <f>Matches!F12</f>
        <v>15:45</v>
      </c>
      <c r="G35" s="1" t="str">
        <f>Matches!G12</f>
        <v>Vecchie Glorie Rovigo</v>
      </c>
      <c r="H35" s="1" t="str">
        <f>Matches!H12</f>
        <v>Beverton</v>
      </c>
      <c r="I35" s="1" t="str">
        <f>IF(Matches!I12="","",Matches!I12)</f>
        <v/>
      </c>
      <c r="J35" s="1" t="str">
        <f>IF(Matches!J12="","",Matches!J12)</f>
        <v/>
      </c>
      <c r="K35" s="1" t="str">
        <f>IF(Matches!K12="","",Matches!K12)</f>
        <v/>
      </c>
      <c r="L35" s="1" t="str">
        <f>Matches!L12</f>
        <v>Pending</v>
      </c>
      <c r="M35" s="1" t="str">
        <f>IF(Matches!M12="","",Matches!M12)</f>
        <v/>
      </c>
      <c r="N35" s="1" t="str">
        <f>IF(Matches!N12="","",Matches!N12)</f>
        <v/>
      </c>
      <c r="O35" s="1" t="str">
        <f>IF(Matches!O12="","",Matches!O12)</f>
        <v/>
      </c>
      <c r="P35" s="1" t="str">
        <f>IF(Matches!P12="","",Matches!P12)</f>
        <v/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 t="str">
        <f>Matches!A13</f>
        <v>M12</v>
      </c>
      <c r="B36" s="1" t="str">
        <f>Matches!B13</f>
        <v>Group</v>
      </c>
      <c r="C36" s="1" t="str">
        <f>Matches!C13</f>
        <v>D</v>
      </c>
      <c r="D36" s="1">
        <f>Matches!D13</f>
        <v>2</v>
      </c>
      <c r="E36" s="1" t="str">
        <f>Matches!E13</f>
        <v>3 (S)</v>
      </c>
      <c r="F36" s="1" t="str">
        <f>Matches!F13</f>
        <v>15:45</v>
      </c>
      <c r="G36" s="1" t="str">
        <f>Matches!G13</f>
        <v>Boldò Glimt</v>
      </c>
      <c r="H36" s="1" t="str">
        <f>Matches!H13</f>
        <v>Piadineria la Salsiccia</v>
      </c>
      <c r="I36" s="1" t="str">
        <f>IF(Matches!I13="","",Matches!I13)</f>
        <v/>
      </c>
      <c r="J36" s="1" t="str">
        <f>IF(Matches!J13="","",Matches!J13)</f>
        <v/>
      </c>
      <c r="K36" s="1" t="str">
        <f>IF(Matches!K13="","",Matches!K13)</f>
        <v/>
      </c>
      <c r="L36" s="1" t="str">
        <f>Matches!L13</f>
        <v>Pending</v>
      </c>
      <c r="M36" s="1" t="str">
        <f>IF(Matches!M13="","",Matches!M13)</f>
        <v/>
      </c>
      <c r="N36" s="1" t="str">
        <f>IF(Matches!N13="","",Matches!N13)</f>
        <v/>
      </c>
      <c r="O36" s="1" t="str">
        <f>IF(Matches!O13="","",Matches!O13)</f>
        <v/>
      </c>
      <c r="P36" s="1" t="str">
        <f>IF(Matches!P13="","",Matches!P13)</f>
        <v/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 t="str">
        <f>Matches!A14</f>
        <v>M13</v>
      </c>
      <c r="B37" s="1" t="str">
        <f>Matches!B14</f>
        <v>Group</v>
      </c>
      <c r="C37" s="1" t="str">
        <f>Matches!C14</f>
        <v>C</v>
      </c>
      <c r="D37" s="1">
        <f>Matches!D14</f>
        <v>2</v>
      </c>
      <c r="E37" s="1" t="str">
        <f>Matches!E14</f>
        <v>1</v>
      </c>
      <c r="F37" s="1" t="str">
        <f>Matches!F14</f>
        <v>16:30</v>
      </c>
      <c r="G37" s="1" t="str">
        <f>Matches!G14</f>
        <v>Leoni di Ricky</v>
      </c>
      <c r="H37" s="1" t="str">
        <f>Matches!H14</f>
        <v>Barrio Boys</v>
      </c>
      <c r="I37" s="1" t="str">
        <f>IF(Matches!I14="","",Matches!I14)</f>
        <v/>
      </c>
      <c r="J37" s="1" t="str">
        <f>IF(Matches!J14="","",Matches!J14)</f>
        <v/>
      </c>
      <c r="K37" s="1" t="str">
        <f>IF(Matches!K14="","",Matches!K14)</f>
        <v/>
      </c>
      <c r="L37" s="1" t="str">
        <f>Matches!L14</f>
        <v>Pending</v>
      </c>
      <c r="M37" s="1" t="str">
        <f>IF(Matches!M14="","",Matches!M14)</f>
        <v/>
      </c>
      <c r="N37" s="1" t="str">
        <f>IF(Matches!N14="","",Matches!N14)</f>
        <v/>
      </c>
      <c r="O37" s="1" t="str">
        <f>IF(Matches!O14="","",Matches!O14)</f>
        <v/>
      </c>
      <c r="P37" s="1" t="str">
        <f>IF(Matches!P14="","",Matches!P14)</f>
        <v/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 t="str">
        <f>Matches!A15</f>
        <v>M14</v>
      </c>
      <c r="B38" s="1" t="str">
        <f>Matches!B15</f>
        <v>Group</v>
      </c>
      <c r="C38" s="1" t="str">
        <f>Matches!C15</f>
        <v>C</v>
      </c>
      <c r="D38" s="1">
        <f>Matches!D15</f>
        <v>2</v>
      </c>
      <c r="E38" s="1" t="str">
        <f>Matches!E15</f>
        <v>2</v>
      </c>
      <c r="F38" s="1" t="str">
        <f>Matches!F15</f>
        <v>16:30</v>
      </c>
      <c r="G38" s="1" t="str">
        <f>Matches!G15</f>
        <v>Pink 5ive</v>
      </c>
      <c r="H38" s="1" t="str">
        <f>Matches!H15</f>
        <v>Cani</v>
      </c>
      <c r="I38" s="1" t="str">
        <f>IF(Matches!I15="","",Matches!I15)</f>
        <v/>
      </c>
      <c r="J38" s="1" t="str">
        <f>IF(Matches!J15="","",Matches!J15)</f>
        <v/>
      </c>
      <c r="K38" s="1" t="str">
        <f>IF(Matches!K15="","",Matches!K15)</f>
        <v/>
      </c>
      <c r="L38" s="1" t="str">
        <f>Matches!L15</f>
        <v>Pending</v>
      </c>
      <c r="M38" s="1" t="str">
        <f>IF(Matches!M15="","",Matches!M15)</f>
        <v/>
      </c>
      <c r="N38" s="1" t="str">
        <f>IF(Matches!N15="","",Matches!N15)</f>
        <v/>
      </c>
      <c r="O38" s="1" t="str">
        <f>IF(Matches!O15="","",Matches!O15)</f>
        <v/>
      </c>
      <c r="P38" s="1" t="str">
        <f>IF(Matches!P15="","",Matches!P15)</f>
        <v/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 t="str">
        <f>Matches!A16</f>
        <v>M15</v>
      </c>
      <c r="B39" s="1" t="str">
        <f>Matches!B16</f>
        <v>Group</v>
      </c>
      <c r="C39" s="1" t="str">
        <f>Matches!C16</f>
        <v>A</v>
      </c>
      <c r="D39" s="1">
        <f>Matches!D16</f>
        <v>2</v>
      </c>
      <c r="E39" s="1" t="str">
        <f>Matches!E16</f>
        <v>3 (S)</v>
      </c>
      <c r="F39" s="1" t="str">
        <f>Matches!F16</f>
        <v>16:30</v>
      </c>
      <c r="G39" s="1" t="str">
        <f>Matches!G16</f>
        <v>Fatine FC</v>
      </c>
      <c r="H39" s="1" t="str">
        <f>Matches!H16</f>
        <v>Moviola Utd</v>
      </c>
      <c r="I39" s="1" t="str">
        <f>IF(Matches!I16="","",Matches!I16)</f>
        <v/>
      </c>
      <c r="J39" s="1" t="str">
        <f>IF(Matches!J16="","",Matches!J16)</f>
        <v/>
      </c>
      <c r="K39" s="1" t="str">
        <f>IF(Matches!K16="","",Matches!K16)</f>
        <v/>
      </c>
      <c r="L39" s="1" t="str">
        <f>Matches!L16</f>
        <v>Pending</v>
      </c>
      <c r="M39" s="1" t="str">
        <f>IF(Matches!M16="","",Matches!M16)</f>
        <v/>
      </c>
      <c r="N39" s="1" t="str">
        <f>IF(Matches!N16="","",Matches!N16)</f>
        <v/>
      </c>
      <c r="O39" s="1" t="str">
        <f>IF(Matches!O16="","",Matches!O16)</f>
        <v/>
      </c>
      <c r="P39" s="1" t="str">
        <f>IF(Matches!P16="","",Matches!P16)</f>
        <v/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 t="str">
        <f>Matches!A17</f>
        <v>M16</v>
      </c>
      <c r="B40" s="1" t="str">
        <f>Matches!B17</f>
        <v>Group</v>
      </c>
      <c r="C40" s="1" t="str">
        <f>Matches!C17</f>
        <v>D</v>
      </c>
      <c r="D40" s="1">
        <f>Matches!D17</f>
        <v>3</v>
      </c>
      <c r="E40" s="1" t="str">
        <f>Matches!E17</f>
        <v>1</v>
      </c>
      <c r="F40" s="1" t="str">
        <f>Matches!F17</f>
        <v>17:00</v>
      </c>
      <c r="G40" s="1" t="str">
        <f>Matches!G17</f>
        <v>All Blacks</v>
      </c>
      <c r="H40" s="1" t="str">
        <f>Matches!H17</f>
        <v>Piadineria la Salsiccia</v>
      </c>
      <c r="I40" s="1" t="str">
        <f>IF(Matches!I17="","",Matches!I17)</f>
        <v/>
      </c>
      <c r="J40" s="1" t="str">
        <f>IF(Matches!J17="","",Matches!J17)</f>
        <v/>
      </c>
      <c r="K40" s="1" t="str">
        <f>IF(Matches!K17="","",Matches!K17)</f>
        <v/>
      </c>
      <c r="L40" s="1" t="str">
        <f>Matches!L17</f>
        <v>Pending</v>
      </c>
      <c r="M40" s="1" t="str">
        <f>IF(Matches!M17="","",Matches!M17)</f>
        <v/>
      </c>
      <c r="N40" s="1" t="str">
        <f>IF(Matches!N17="","",Matches!N17)</f>
        <v/>
      </c>
      <c r="O40" s="1" t="str">
        <f>IF(Matches!O17="","",Matches!O17)</f>
        <v/>
      </c>
      <c r="P40" s="1" t="str">
        <f>IF(Matches!P17="","",Matches!P17)</f>
        <v/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 t="str">
        <f>Matches!A18</f>
        <v>M17</v>
      </c>
      <c r="B41" s="1" t="str">
        <f>Matches!B18</f>
        <v>Group</v>
      </c>
      <c r="C41" s="1" t="str">
        <f>Matches!C18</f>
        <v>D</v>
      </c>
      <c r="D41" s="1">
        <f>Matches!D18</f>
        <v>3</v>
      </c>
      <c r="E41" s="1" t="str">
        <f>Matches!E18</f>
        <v>2</v>
      </c>
      <c r="F41" s="1" t="str">
        <f>Matches!F18</f>
        <v>17:00</v>
      </c>
      <c r="G41" s="1" t="str">
        <f>Matches!G18</f>
        <v>Boldò Glimt</v>
      </c>
      <c r="H41" s="1" t="str">
        <f>Matches!H18</f>
        <v>Coca Juniors</v>
      </c>
      <c r="I41" s="1" t="str">
        <f>IF(Matches!I18="","",Matches!I18)</f>
        <v/>
      </c>
      <c r="J41" s="1" t="str">
        <f>IF(Matches!J18="","",Matches!J18)</f>
        <v/>
      </c>
      <c r="K41" s="1" t="str">
        <f>IF(Matches!K18="","",Matches!K18)</f>
        <v/>
      </c>
      <c r="L41" s="1" t="str">
        <f>Matches!L18</f>
        <v>Pending</v>
      </c>
      <c r="M41" s="1" t="str">
        <f>IF(Matches!M18="","",Matches!M18)</f>
        <v/>
      </c>
      <c r="N41" s="1" t="str">
        <f>IF(Matches!N18="","",Matches!N18)</f>
        <v/>
      </c>
      <c r="O41" s="1" t="str">
        <f>IF(Matches!O18="","",Matches!O18)</f>
        <v/>
      </c>
      <c r="P41" s="1" t="str">
        <f>IF(Matches!P18="","",Matches!P18)</f>
        <v/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 t="str">
        <f>Matches!A19</f>
        <v>M18</v>
      </c>
      <c r="B42" s="1" t="str">
        <f>Matches!B19</f>
        <v>Group</v>
      </c>
      <c r="C42" s="1" t="str">
        <f>Matches!C19</f>
        <v>A</v>
      </c>
      <c r="D42" s="1">
        <f>Matches!D19</f>
        <v>2</v>
      </c>
      <c r="E42" s="1" t="str">
        <f>Matches!E19</f>
        <v>3 (S)</v>
      </c>
      <c r="F42" s="1" t="str">
        <f>Matches!F19</f>
        <v>17:00</v>
      </c>
      <c r="G42" s="1" t="str">
        <f>Matches!G19</f>
        <v>FC Internazionale Rovigo</v>
      </c>
      <c r="H42" s="1" t="str">
        <f>Matches!H19</f>
        <v>Astolfi Impianti Elettrici</v>
      </c>
      <c r="I42" s="1" t="str">
        <f>IF(Matches!I19="","",Matches!I19)</f>
        <v/>
      </c>
      <c r="J42" s="1" t="str">
        <f>IF(Matches!J19="","",Matches!J19)</f>
        <v/>
      </c>
      <c r="K42" s="1" t="str">
        <f>IF(Matches!K19="","",Matches!K19)</f>
        <v/>
      </c>
      <c r="L42" s="1" t="str">
        <f>Matches!L19</f>
        <v>Pending</v>
      </c>
      <c r="M42" s="1" t="str">
        <f>IF(Matches!M19="","",Matches!M19)</f>
        <v/>
      </c>
      <c r="N42" s="1" t="str">
        <f>IF(Matches!N19="","",Matches!N19)</f>
        <v/>
      </c>
      <c r="O42" s="1" t="str">
        <f>IF(Matches!O19="","",Matches!O19)</f>
        <v/>
      </c>
      <c r="P42" s="1" t="str">
        <f>IF(Matches!P19="","",Matches!P19)</f>
        <v/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 t="str">
        <f>Matches!A20</f>
        <v>M19</v>
      </c>
      <c r="B43" s="1" t="str">
        <f>Matches!B20</f>
        <v>Group</v>
      </c>
      <c r="C43" s="1" t="str">
        <f>Matches!C20</f>
        <v>B</v>
      </c>
      <c r="D43" s="1">
        <f>Matches!D20</f>
        <v>3</v>
      </c>
      <c r="E43" s="1" t="str">
        <f>Matches!E20</f>
        <v>1</v>
      </c>
      <c r="F43" s="1" t="str">
        <f>Matches!F20</f>
        <v>17:30</v>
      </c>
      <c r="G43" s="1" t="str">
        <f>Matches!G20</f>
        <v>Totani</v>
      </c>
      <c r="H43" s="1" t="str">
        <f>Matches!H20</f>
        <v>Beverton</v>
      </c>
      <c r="I43" s="1" t="str">
        <f>IF(Matches!I20="","",Matches!I20)</f>
        <v/>
      </c>
      <c r="J43" s="1" t="str">
        <f>IF(Matches!J20="","",Matches!J20)</f>
        <v/>
      </c>
      <c r="K43" s="1" t="str">
        <f>IF(Matches!K20="","",Matches!K20)</f>
        <v/>
      </c>
      <c r="L43" s="1" t="str">
        <f>Matches!L20</f>
        <v>Pending</v>
      </c>
      <c r="M43" s="1" t="str">
        <f>IF(Matches!M20="","",Matches!M20)</f>
        <v/>
      </c>
      <c r="N43" s="1" t="str">
        <f>IF(Matches!N20="","",Matches!N20)</f>
        <v/>
      </c>
      <c r="O43" s="1" t="str">
        <f>IF(Matches!O20="","",Matches!O20)</f>
        <v/>
      </c>
      <c r="P43" s="1" t="str">
        <f>IF(Matches!P20="","",Matches!P20)</f>
        <v/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 t="str">
        <f>Matches!A21</f>
        <v>M20</v>
      </c>
      <c r="B44" s="1" t="str">
        <f>Matches!B21</f>
        <v>Group</v>
      </c>
      <c r="C44" s="1" t="str">
        <f>Matches!C21</f>
        <v>B</v>
      </c>
      <c r="D44" s="1">
        <f>Matches!D21</f>
        <v>3</v>
      </c>
      <c r="E44" s="1" t="str">
        <f>Matches!E21</f>
        <v>2</v>
      </c>
      <c r="F44" s="1" t="str">
        <f>Matches!F21</f>
        <v>17:30</v>
      </c>
      <c r="G44" s="1" t="str">
        <f>Matches!G21</f>
        <v>Vecchie Glorie Rovigo</v>
      </c>
      <c r="H44" s="1" t="str">
        <f>Matches!H21</f>
        <v>AS Bancatore</v>
      </c>
      <c r="I44" s="1" t="str">
        <f>IF(Matches!I21="","",Matches!I21)</f>
        <v/>
      </c>
      <c r="J44" s="1" t="str">
        <f>IF(Matches!J21="","",Matches!J21)</f>
        <v/>
      </c>
      <c r="K44" s="1" t="str">
        <f>IF(Matches!K21="","",Matches!K21)</f>
        <v/>
      </c>
      <c r="L44" s="1" t="str">
        <f>Matches!L21</f>
        <v>Pending</v>
      </c>
      <c r="M44" s="1" t="str">
        <f>IF(Matches!M21="","",Matches!M21)</f>
        <v/>
      </c>
      <c r="N44" s="1" t="str">
        <f>IF(Matches!N21="","",Matches!N21)</f>
        <v/>
      </c>
      <c r="O44" s="1" t="str">
        <f>IF(Matches!O21="","",Matches!O21)</f>
        <v/>
      </c>
      <c r="P44" s="1" t="str">
        <f>IF(Matches!P21="","",Matches!P21)</f>
        <v/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 t="str">
        <f>Matches!A22</f>
        <v>M21</v>
      </c>
      <c r="B45" s="1" t="str">
        <f>Matches!B22</f>
        <v>Group</v>
      </c>
      <c r="C45" s="1" t="str">
        <f>Matches!C22</f>
        <v>C</v>
      </c>
      <c r="D45" s="1">
        <f>Matches!D22</f>
        <v>3</v>
      </c>
      <c r="E45" s="1" t="str">
        <f>Matches!E22</f>
        <v>3 (S)</v>
      </c>
      <c r="F45" s="1" t="str">
        <f>Matches!F22</f>
        <v>17:30</v>
      </c>
      <c r="G45" s="1" t="str">
        <f>Matches!G22</f>
        <v>Leoni di Ricky</v>
      </c>
      <c r="H45" s="1" t="str">
        <f>Matches!H22</f>
        <v>Cani</v>
      </c>
      <c r="I45" s="1" t="str">
        <f>IF(Matches!I22="","",Matches!I22)</f>
        <v/>
      </c>
      <c r="J45" s="1" t="str">
        <f>IF(Matches!J22="","",Matches!J22)</f>
        <v/>
      </c>
      <c r="K45" s="1" t="str">
        <f>IF(Matches!K22="","",Matches!K22)</f>
        <v/>
      </c>
      <c r="L45" s="1" t="str">
        <f>Matches!L22</f>
        <v>Pending</v>
      </c>
      <c r="M45" s="1" t="str">
        <f>IF(Matches!M22="","",Matches!M22)</f>
        <v/>
      </c>
      <c r="N45" s="1" t="str">
        <f>IF(Matches!N22="","",Matches!N22)</f>
        <v/>
      </c>
      <c r="O45" s="1" t="str">
        <f>IF(Matches!O22="","",Matches!O22)</f>
        <v/>
      </c>
      <c r="P45" s="1" t="str">
        <f>IF(Matches!P22="","",Matches!P22)</f>
        <v/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 t="str">
        <f>Matches!A23</f>
        <v>M22</v>
      </c>
      <c r="B46" s="1" t="str">
        <f>Matches!B23</f>
        <v>Group</v>
      </c>
      <c r="C46" s="1" t="str">
        <f>Matches!C23</f>
        <v>A</v>
      </c>
      <c r="D46" s="1">
        <f>Matches!D23</f>
        <v>3</v>
      </c>
      <c r="E46" s="1" t="str">
        <f>Matches!E23</f>
        <v>1</v>
      </c>
      <c r="F46" s="1" t="str">
        <f>Matches!F23</f>
        <v>18:00</v>
      </c>
      <c r="G46" s="1" t="str">
        <f>Matches!G23</f>
        <v>Fatine FC</v>
      </c>
      <c r="H46" s="1" t="str">
        <f>Matches!H23</f>
        <v>Astolfi Impianti Elettrici</v>
      </c>
      <c r="I46" s="1" t="str">
        <f>IF(Matches!I23="","",Matches!I23)</f>
        <v/>
      </c>
      <c r="J46" s="1" t="str">
        <f>IF(Matches!J23="","",Matches!J23)</f>
        <v/>
      </c>
      <c r="K46" s="1" t="str">
        <f>IF(Matches!K23="","",Matches!K23)</f>
        <v/>
      </c>
      <c r="L46" s="1" t="str">
        <f>Matches!L23</f>
        <v>Pending</v>
      </c>
      <c r="M46" s="1" t="str">
        <f>IF(Matches!M23="","",Matches!M23)</f>
        <v/>
      </c>
      <c r="N46" s="1" t="str">
        <f>IF(Matches!N23="","",Matches!N23)</f>
        <v/>
      </c>
      <c r="O46" s="1" t="str">
        <f>IF(Matches!O23="","",Matches!O23)</f>
        <v/>
      </c>
      <c r="P46" s="1" t="str">
        <f>IF(Matches!P23="","",Matches!P23)</f>
        <v/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 t="str">
        <f>Matches!A24</f>
        <v>M23</v>
      </c>
      <c r="B47" s="1" t="str">
        <f>Matches!B24</f>
        <v>Group</v>
      </c>
      <c r="C47" s="1" t="str">
        <f>Matches!C24</f>
        <v>A</v>
      </c>
      <c r="D47" s="1">
        <f>Matches!D24</f>
        <v>3</v>
      </c>
      <c r="E47" s="1" t="str">
        <f>Matches!E24</f>
        <v>2</v>
      </c>
      <c r="F47" s="1" t="str">
        <f>Matches!F24</f>
        <v>18:00</v>
      </c>
      <c r="G47" s="1" t="str">
        <f>Matches!G24</f>
        <v>FC Internazionale Rovigo</v>
      </c>
      <c r="H47" s="1" t="str">
        <f>Matches!H24</f>
        <v>Moviola Utd</v>
      </c>
      <c r="I47" s="1" t="str">
        <f>IF(Matches!I24="","",Matches!I24)</f>
        <v/>
      </c>
      <c r="J47" s="1" t="str">
        <f>IF(Matches!J24="","",Matches!J24)</f>
        <v/>
      </c>
      <c r="K47" s="1" t="str">
        <f>IF(Matches!K24="","",Matches!K24)</f>
        <v/>
      </c>
      <c r="L47" s="1" t="str">
        <f>Matches!L24</f>
        <v>Pending</v>
      </c>
      <c r="M47" s="1" t="str">
        <f>IF(Matches!M24="","",Matches!M24)</f>
        <v/>
      </c>
      <c r="N47" s="1" t="str">
        <f>IF(Matches!N24="","",Matches!N24)</f>
        <v/>
      </c>
      <c r="O47" s="1" t="str">
        <f>IF(Matches!O24="","",Matches!O24)</f>
        <v/>
      </c>
      <c r="P47" s="1" t="str">
        <f>IF(Matches!P24="","",Matches!P24)</f>
        <v/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 t="str">
        <f>Matches!A25</f>
        <v>M24</v>
      </c>
      <c r="B48" s="1" t="str">
        <f>Matches!B25</f>
        <v>Group</v>
      </c>
      <c r="C48" s="1" t="str">
        <f>Matches!C25</f>
        <v>C</v>
      </c>
      <c r="D48" s="1">
        <f>Matches!D25</f>
        <v>3</v>
      </c>
      <c r="E48" s="1" t="str">
        <f>Matches!E25</f>
        <v>3 (S)</v>
      </c>
      <c r="F48" s="1" t="str">
        <f>Matches!F25</f>
        <v>18:00</v>
      </c>
      <c r="G48" s="1" t="str">
        <f>Matches!G25</f>
        <v>Pink 5ive</v>
      </c>
      <c r="H48" s="1" t="str">
        <f>Matches!H25</f>
        <v>Barrio Boys</v>
      </c>
      <c r="I48" s="1" t="str">
        <f>IF(Matches!I25="","",Matches!I25)</f>
        <v/>
      </c>
      <c r="J48" s="1" t="str">
        <f>IF(Matches!J25="","",Matches!J25)</f>
        <v/>
      </c>
      <c r="K48" s="1" t="str">
        <f>IF(Matches!K25="","",Matches!K25)</f>
        <v/>
      </c>
      <c r="L48" s="1" t="str">
        <f>Matches!L25</f>
        <v>Pending</v>
      </c>
      <c r="M48" s="1" t="str">
        <f>IF(Matches!M25="","",Matches!M25)</f>
        <v/>
      </c>
      <c r="N48" s="1" t="str">
        <f>IF(Matches!N25="","",Matches!N25)</f>
        <v/>
      </c>
      <c r="O48" s="1" t="str">
        <f>IF(Matches!O25="","",Matches!O25)</f>
        <v/>
      </c>
      <c r="P48" s="1" t="str">
        <f>IF(Matches!P25="","",Matches!P25)</f>
        <v/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 t="str">
        <f>IF(TopScorers!A46="","",TopScorers!A46)</f>
        <v/>
      </c>
      <c r="O49" s="1" t="str">
        <f>IF(TopScorers!B46="","",TopScorers!B46)</f>
        <v/>
      </c>
      <c r="P49" s="1" t="str">
        <f>IF(TopScorers!C46="","",TopScorers!C46)</f>
        <v/>
      </c>
      <c r="Q49" s="1" t="str">
        <f>IF(TopScorers!D46="","",TopScorers!D46)</f>
        <v/>
      </c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 t="str">
        <f>IF(TopScorers!A47="","",TopScorers!A47)</f>
        <v/>
      </c>
      <c r="O50" s="1" t="str">
        <f>IF(TopScorers!B47="","",TopScorers!B47)</f>
        <v/>
      </c>
      <c r="P50" s="1" t="str">
        <f>IF(TopScorers!C47="","",TopScorers!C47)</f>
        <v/>
      </c>
      <c r="Q50" s="1" t="str">
        <f>IF(TopScorers!D47="","",TopScorers!D47)</f>
        <v/>
      </c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8" t="s">
        <v>661</v>
      </c>
      <c r="B51" s="10"/>
      <c r="C51" s="10"/>
      <c r="D51" s="10"/>
      <c r="E51" s="10"/>
      <c r="F51" s="10"/>
      <c r="G51" s="1"/>
      <c r="H51" s="1"/>
      <c r="I51" s="1"/>
      <c r="J51" s="1"/>
      <c r="K51" s="1"/>
      <c r="L51" s="1"/>
      <c r="M51" s="1"/>
      <c r="N51" s="1" t="str">
        <f>IF(TopScorers!A48="","",TopScorers!A48)</f>
        <v/>
      </c>
      <c r="O51" s="1" t="str">
        <f>IF(TopScorers!B48="","",TopScorers!B48)</f>
        <v/>
      </c>
      <c r="P51" s="1" t="str">
        <f>IF(TopScorers!C48="","",TopScorers!C48)</f>
        <v/>
      </c>
      <c r="Q51" s="1" t="str">
        <f>IF(TopScorers!D48="","",TopScorers!D48)</f>
        <v/>
      </c>
      <c r="R51" s="1"/>
      <c r="S51" s="1"/>
      <c r="T51" s="1"/>
      <c r="U51" s="1"/>
      <c r="V51" s="1"/>
      <c r="W51" s="1"/>
      <c r="X51" s="1"/>
      <c r="Y51" s="1"/>
      <c r="Z51" s="1"/>
    </row>
    <row r="52" spans="1:26" ht="28.8" x14ac:dyDescent="0.3">
      <c r="A52" s="7" t="s">
        <v>643</v>
      </c>
      <c r="B52" s="7" t="s">
        <v>662</v>
      </c>
      <c r="C52" s="7" t="s">
        <v>663</v>
      </c>
      <c r="D52" s="7" t="s">
        <v>664</v>
      </c>
      <c r="E52" s="7" t="s">
        <v>640</v>
      </c>
      <c r="F52" s="7" t="s">
        <v>665</v>
      </c>
      <c r="G52" s="1"/>
      <c r="H52" s="1"/>
      <c r="I52" s="1"/>
      <c r="J52" s="1"/>
      <c r="K52" s="1"/>
      <c r="L52" s="1"/>
      <c r="M52" s="1"/>
      <c r="N52" s="1" t="str">
        <f>IF(TopScorers!A49="","",TopScorers!A49)</f>
        <v/>
      </c>
      <c r="O52" s="1" t="str">
        <f>IF(TopScorers!B49="","",TopScorers!B49)</f>
        <v/>
      </c>
      <c r="P52" s="1" t="str">
        <f>IF(TopScorers!C49="","",TopScorers!C49)</f>
        <v/>
      </c>
      <c r="Q52" s="1" t="str">
        <f>IF(TopScorers!D49="","",TopScorers!D49)</f>
        <v/>
      </c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 t="str">
        <f>IF(Goals!A2="","",Goals!A2)</f>
        <v>M01</v>
      </c>
      <c r="B53" s="1" t="str">
        <f>IF(Goals!A2="","",Goals!B2)</f>
        <v>All Blacks</v>
      </c>
      <c r="C53" s="1">
        <f>IF(Goals!A2="","",Goals!C2)</f>
        <v>1</v>
      </c>
      <c r="D53" s="1" t="str">
        <f>IF(Goals!A2="","",Goals!D2)</f>
        <v>Goal</v>
      </c>
      <c r="E53" s="1" t="str">
        <f>IF(Goals!A2="","",Goals!E2)</f>
        <v>4 - STEFANO BRAGHIN</v>
      </c>
      <c r="F53" s="1" t="str">
        <f>IF(Goals!A2="","",Goals!F2)</f>
        <v>All Blacks</v>
      </c>
      <c r="G53" s="1"/>
      <c r="H53" s="1"/>
      <c r="I53" s="1"/>
      <c r="J53" s="1"/>
      <c r="K53" s="1"/>
      <c r="L53" s="1"/>
      <c r="M53" s="1"/>
      <c r="N53" s="1" t="str">
        <f>IF(TopScorers!A50="","",TopScorers!A50)</f>
        <v/>
      </c>
      <c r="O53" s="1" t="str">
        <f>IF(TopScorers!B50="","",TopScorers!B50)</f>
        <v/>
      </c>
      <c r="P53" s="1" t="str">
        <f>IF(TopScorers!C50="","",TopScorers!C50)</f>
        <v/>
      </c>
      <c r="Q53" s="1" t="str">
        <f>IF(TopScorers!D50="","",TopScorers!D50)</f>
        <v/>
      </c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 t="str">
        <f>IF(Goals!A3="","",Goals!A3)</f>
        <v/>
      </c>
      <c r="B54" s="1" t="str">
        <f>IF(Goals!A3="","",Goals!B3)</f>
        <v/>
      </c>
      <c r="C54" s="1" t="str">
        <f>IF(Goals!A3="","",Goals!C3)</f>
        <v/>
      </c>
      <c r="D54" s="1" t="str">
        <f>IF(Goals!A3="","",Goals!D3)</f>
        <v/>
      </c>
      <c r="E54" s="1" t="str">
        <f>IF(Goals!A3="","",Goals!E3)</f>
        <v/>
      </c>
      <c r="F54" s="1" t="str">
        <f>IF(Goals!A3="","",Goals!F3)</f>
        <v/>
      </c>
      <c r="G54" s="1"/>
      <c r="H54" s="1"/>
      <c r="I54" s="1"/>
      <c r="J54" s="1"/>
      <c r="K54" s="1"/>
      <c r="L54" s="1"/>
      <c r="M54" s="1"/>
      <c r="N54" s="1" t="str">
        <f>IF(TopScorers!A51="","",TopScorers!A51)</f>
        <v/>
      </c>
      <c r="O54" s="1" t="str">
        <f>IF(TopScorers!B51="","",TopScorers!B51)</f>
        <v/>
      </c>
      <c r="P54" s="1" t="str">
        <f>IF(TopScorers!C51="","",TopScorers!C51)</f>
        <v/>
      </c>
      <c r="Q54" s="1" t="str">
        <f>IF(TopScorers!D51="","",TopScorers!D51)</f>
        <v/>
      </c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 t="str">
        <f>IF(Goals!A4="","",Goals!A4)</f>
        <v/>
      </c>
      <c r="B55" s="1" t="str">
        <f>IF(Goals!A4="","",Goals!B4)</f>
        <v/>
      </c>
      <c r="C55" s="1" t="str">
        <f>IF(Goals!A4="","",Goals!C4)</f>
        <v/>
      </c>
      <c r="D55" s="1" t="str">
        <f>IF(Goals!A4="","",Goals!D4)</f>
        <v/>
      </c>
      <c r="E55" s="1" t="str">
        <f>IF(Goals!A4="","",Goals!E4)</f>
        <v/>
      </c>
      <c r="F55" s="1" t="str">
        <f>IF(Goals!A4="","",Goals!F4)</f>
        <v/>
      </c>
      <c r="G55" s="1"/>
      <c r="H55" s="1"/>
      <c r="I55" s="1"/>
      <c r="J55" s="1"/>
      <c r="K55" s="1"/>
      <c r="L55" s="1"/>
      <c r="M55" s="1"/>
      <c r="N55" s="1" t="str">
        <f>IF(TopScorers!A52="","",TopScorers!A52)</f>
        <v/>
      </c>
      <c r="O55" s="1" t="str">
        <f>IF(TopScorers!B52="","",TopScorers!B52)</f>
        <v/>
      </c>
      <c r="P55" s="1" t="str">
        <f>IF(TopScorers!C52="","",TopScorers!C52)</f>
        <v/>
      </c>
      <c r="Q55" s="1" t="str">
        <f>IF(TopScorers!D52="","",TopScorers!D52)</f>
        <v/>
      </c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 t="str">
        <f>IF(Goals!A5="","",Goals!A5)</f>
        <v/>
      </c>
      <c r="B56" s="1" t="str">
        <f>IF(Goals!A5="","",Goals!B5)</f>
        <v/>
      </c>
      <c r="C56" s="1" t="str">
        <f>IF(Goals!A5="","",Goals!C5)</f>
        <v/>
      </c>
      <c r="D56" s="1" t="str">
        <f>IF(Goals!A5="","",Goals!D5)</f>
        <v/>
      </c>
      <c r="E56" s="1" t="str">
        <f>IF(Goals!A5="","",Goals!E5)</f>
        <v/>
      </c>
      <c r="F56" s="1" t="str">
        <f>IF(Goals!A5="","",Goals!F5)</f>
        <v/>
      </c>
      <c r="G56" s="1"/>
      <c r="H56" s="1"/>
      <c r="I56" s="1"/>
      <c r="J56" s="1"/>
      <c r="K56" s="1"/>
      <c r="L56" s="1"/>
      <c r="M56" s="1"/>
      <c r="N56" s="1" t="str">
        <f>IF(TopScorers!A53="","",TopScorers!A53)</f>
        <v/>
      </c>
      <c r="O56" s="1" t="str">
        <f>IF(TopScorers!B53="","",TopScorers!B53)</f>
        <v/>
      </c>
      <c r="P56" s="1" t="str">
        <f>IF(TopScorers!C53="","",TopScorers!C53)</f>
        <v/>
      </c>
      <c r="Q56" s="1" t="str">
        <f>IF(TopScorers!D53="","",TopScorers!D53)</f>
        <v/>
      </c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 t="str">
        <f>IF(Goals!A6="","",Goals!A6)</f>
        <v/>
      </c>
      <c r="B57" s="1" t="str">
        <f>IF(Goals!A6="","",Goals!B6)</f>
        <v/>
      </c>
      <c r="C57" s="1" t="str">
        <f>IF(Goals!A6="","",Goals!C6)</f>
        <v/>
      </c>
      <c r="D57" s="1" t="str">
        <f>IF(Goals!A6="","",Goals!D6)</f>
        <v/>
      </c>
      <c r="E57" s="1" t="str">
        <f>IF(Goals!A6="","",Goals!E6)</f>
        <v/>
      </c>
      <c r="F57" s="1" t="str">
        <f>IF(Goals!A6="","",Goals!F6)</f>
        <v/>
      </c>
      <c r="G57" s="1"/>
      <c r="H57" s="1"/>
      <c r="I57" s="1"/>
      <c r="J57" s="1"/>
      <c r="K57" s="1"/>
      <c r="L57" s="1"/>
      <c r="M57" s="1"/>
      <c r="N57" s="1" t="str">
        <f>IF(TopScorers!A54="","",TopScorers!A54)</f>
        <v/>
      </c>
      <c r="O57" s="1" t="str">
        <f>IF(TopScorers!B54="","",TopScorers!B54)</f>
        <v/>
      </c>
      <c r="P57" s="1" t="str">
        <f>IF(TopScorers!C54="","",TopScorers!C54)</f>
        <v/>
      </c>
      <c r="Q57" s="1" t="str">
        <f>IF(TopScorers!D54="","",TopScorers!D54)</f>
        <v/>
      </c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 t="str">
        <f>IF(Goals!A7="","",Goals!A7)</f>
        <v/>
      </c>
      <c r="B58" s="1" t="str">
        <f>IF(Goals!A7="","",Goals!B7)</f>
        <v/>
      </c>
      <c r="C58" s="1" t="str">
        <f>IF(Goals!A7="","",Goals!C7)</f>
        <v/>
      </c>
      <c r="D58" s="1" t="str">
        <f>IF(Goals!A7="","",Goals!D7)</f>
        <v/>
      </c>
      <c r="E58" s="1" t="str">
        <f>IF(Goals!A7="","",Goals!E7)</f>
        <v/>
      </c>
      <c r="F58" s="1" t="str">
        <f>IF(Goals!A7="","",Goals!F7)</f>
        <v/>
      </c>
      <c r="G58" s="1"/>
      <c r="H58" s="1"/>
      <c r="I58" s="1"/>
      <c r="J58" s="1"/>
      <c r="K58" s="1"/>
      <c r="L58" s="1"/>
      <c r="M58" s="1"/>
      <c r="N58" s="1" t="str">
        <f>IF(TopScorers!A55="","",TopScorers!A55)</f>
        <v/>
      </c>
      <c r="O58" s="1" t="str">
        <f>IF(TopScorers!B55="","",TopScorers!B55)</f>
        <v/>
      </c>
      <c r="P58" s="1" t="str">
        <f>IF(TopScorers!C55="","",TopScorers!C55)</f>
        <v/>
      </c>
      <c r="Q58" s="1" t="str">
        <f>IF(TopScorers!D55="","",TopScorers!D55)</f>
        <v/>
      </c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 t="str">
        <f>IF(Goals!A8="","",Goals!A8)</f>
        <v/>
      </c>
      <c r="B59" s="1" t="str">
        <f>IF(Goals!A8="","",Goals!B8)</f>
        <v/>
      </c>
      <c r="C59" s="1" t="str">
        <f>IF(Goals!A8="","",Goals!C8)</f>
        <v/>
      </c>
      <c r="D59" s="1" t="str">
        <f>IF(Goals!A8="","",Goals!D8)</f>
        <v/>
      </c>
      <c r="E59" s="1" t="str">
        <f>IF(Goals!A8="","",Goals!E8)</f>
        <v/>
      </c>
      <c r="F59" s="1" t="str">
        <f>IF(Goals!A8="","",Goals!F8)</f>
        <v/>
      </c>
      <c r="G59" s="1"/>
      <c r="H59" s="1"/>
      <c r="I59" s="1"/>
      <c r="J59" s="1"/>
      <c r="K59" s="1"/>
      <c r="L59" s="1"/>
      <c r="M59" s="1"/>
      <c r="N59" s="1" t="str">
        <f>IF(TopScorers!A56="","",TopScorers!A56)</f>
        <v/>
      </c>
      <c r="O59" s="1" t="str">
        <f>IF(TopScorers!B56="","",TopScorers!B56)</f>
        <v/>
      </c>
      <c r="P59" s="1" t="str">
        <f>IF(TopScorers!C56="","",TopScorers!C56)</f>
        <v/>
      </c>
      <c r="Q59" s="1" t="str">
        <f>IF(TopScorers!D56="","",TopScorers!D56)</f>
        <v/>
      </c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 t="str">
        <f>IF(Goals!A9="","",Goals!A9)</f>
        <v/>
      </c>
      <c r="B60" s="1" t="str">
        <f>IF(Goals!A9="","",Goals!B9)</f>
        <v/>
      </c>
      <c r="C60" s="1" t="str">
        <f>IF(Goals!A9="","",Goals!C9)</f>
        <v/>
      </c>
      <c r="D60" s="1" t="str">
        <f>IF(Goals!A9="","",Goals!D9)</f>
        <v/>
      </c>
      <c r="E60" s="1" t="str">
        <f>IF(Goals!A9="","",Goals!E9)</f>
        <v/>
      </c>
      <c r="F60" s="1" t="str">
        <f>IF(Goals!A9="","",Goals!F9)</f>
        <v/>
      </c>
      <c r="G60" s="1"/>
      <c r="H60" s="1"/>
      <c r="I60" s="1"/>
      <c r="J60" s="1"/>
      <c r="K60" s="1"/>
      <c r="L60" s="1"/>
      <c r="M60" s="1"/>
      <c r="N60" s="1" t="str">
        <f>IF(TopScorers!A57="","",TopScorers!A57)</f>
        <v/>
      </c>
      <c r="O60" s="1" t="str">
        <f>IF(TopScorers!B57="","",TopScorers!B57)</f>
        <v/>
      </c>
      <c r="P60" s="1" t="str">
        <f>IF(TopScorers!C57="","",TopScorers!C57)</f>
        <v/>
      </c>
      <c r="Q60" s="1" t="str">
        <f>IF(TopScorers!D57="","",TopScorers!D57)</f>
        <v/>
      </c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 t="str">
        <f>IF(Goals!A10="","",Goals!A10)</f>
        <v/>
      </c>
      <c r="B61" s="1" t="str">
        <f>IF(Goals!A10="","",Goals!B10)</f>
        <v/>
      </c>
      <c r="C61" s="1" t="str">
        <f>IF(Goals!A10="","",Goals!C10)</f>
        <v/>
      </c>
      <c r="D61" s="1" t="str">
        <f>IF(Goals!A10="","",Goals!D10)</f>
        <v/>
      </c>
      <c r="E61" s="1" t="str">
        <f>IF(Goals!A10="","",Goals!E10)</f>
        <v/>
      </c>
      <c r="F61" s="1" t="str">
        <f>IF(Goals!A10="","",Goals!F10)</f>
        <v/>
      </c>
      <c r="G61" s="1"/>
      <c r="H61" s="1"/>
      <c r="I61" s="1"/>
      <c r="J61" s="1"/>
      <c r="K61" s="1"/>
      <c r="L61" s="1"/>
      <c r="M61" s="1"/>
      <c r="N61" s="1" t="str">
        <f>IF(TopScorers!A58="","",TopScorers!A58)</f>
        <v/>
      </c>
      <c r="O61" s="1" t="str">
        <f>IF(TopScorers!B58="","",TopScorers!B58)</f>
        <v/>
      </c>
      <c r="P61" s="1" t="str">
        <f>IF(TopScorers!C58="","",TopScorers!C58)</f>
        <v/>
      </c>
      <c r="Q61" s="1" t="str">
        <f>IF(TopScorers!D58="","",TopScorers!D58)</f>
        <v/>
      </c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 t="str">
        <f>IF(Goals!A11="","",Goals!A11)</f>
        <v/>
      </c>
      <c r="B62" s="1" t="str">
        <f>IF(Goals!A11="","",Goals!B11)</f>
        <v/>
      </c>
      <c r="C62" s="1" t="str">
        <f>IF(Goals!A11="","",Goals!C11)</f>
        <v/>
      </c>
      <c r="D62" s="1" t="str">
        <f>IF(Goals!A11="","",Goals!D11)</f>
        <v/>
      </c>
      <c r="E62" s="1" t="str">
        <f>IF(Goals!A11="","",Goals!E11)</f>
        <v/>
      </c>
      <c r="F62" s="1" t="str">
        <f>IF(Goals!A11="","",Goals!F11)</f>
        <v/>
      </c>
      <c r="G62" s="1"/>
      <c r="H62" s="1"/>
      <c r="I62" s="1"/>
      <c r="J62" s="1"/>
      <c r="K62" s="1"/>
      <c r="L62" s="1"/>
      <c r="M62" s="1"/>
      <c r="N62" s="1" t="str">
        <f>IF(TopScorers!A59="","",TopScorers!A59)</f>
        <v/>
      </c>
      <c r="O62" s="1" t="str">
        <f>IF(TopScorers!B59="","",TopScorers!B59)</f>
        <v/>
      </c>
      <c r="P62" s="1" t="str">
        <f>IF(TopScorers!C59="","",TopScorers!C59)</f>
        <v/>
      </c>
      <c r="Q62" s="1" t="str">
        <f>IF(TopScorers!D59="","",TopScorers!D59)</f>
        <v/>
      </c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 t="str">
        <f>IF(Goals!A12="","",Goals!A12)</f>
        <v/>
      </c>
      <c r="B63" s="1" t="str">
        <f>IF(Goals!A12="","",Goals!B12)</f>
        <v/>
      </c>
      <c r="C63" s="1" t="str">
        <f>IF(Goals!A12="","",Goals!C12)</f>
        <v/>
      </c>
      <c r="D63" s="1" t="str">
        <f>IF(Goals!A12="","",Goals!D12)</f>
        <v/>
      </c>
      <c r="E63" s="1" t="str">
        <f>IF(Goals!A12="","",Goals!E12)</f>
        <v/>
      </c>
      <c r="F63" s="1" t="str">
        <f>IF(Goals!A12="","",Goals!F12)</f>
        <v/>
      </c>
      <c r="G63" s="1"/>
      <c r="H63" s="1"/>
      <c r="I63" s="1"/>
      <c r="J63" s="1"/>
      <c r="K63" s="1"/>
      <c r="L63" s="1"/>
      <c r="M63" s="1"/>
      <c r="N63" s="1" t="str">
        <f>IF(TopScorers!A60="","",TopScorers!A60)</f>
        <v/>
      </c>
      <c r="O63" s="1" t="str">
        <f>IF(TopScorers!B60="","",TopScorers!B60)</f>
        <v/>
      </c>
      <c r="P63" s="1" t="str">
        <f>IF(TopScorers!C60="","",TopScorers!C60)</f>
        <v/>
      </c>
      <c r="Q63" s="1" t="str">
        <f>IF(TopScorers!D60="","",TopScorers!D60)</f>
        <v/>
      </c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 t="str">
        <f>IF(Goals!A13="","",Goals!A13)</f>
        <v/>
      </c>
      <c r="B64" s="1" t="str">
        <f>IF(Goals!A13="","",Goals!B13)</f>
        <v/>
      </c>
      <c r="C64" s="1" t="str">
        <f>IF(Goals!A13="","",Goals!C13)</f>
        <v/>
      </c>
      <c r="D64" s="1" t="str">
        <f>IF(Goals!A13="","",Goals!D13)</f>
        <v/>
      </c>
      <c r="E64" s="1" t="str">
        <f>IF(Goals!A13="","",Goals!E13)</f>
        <v/>
      </c>
      <c r="F64" s="1" t="str">
        <f>IF(Goals!A13="","",Goals!F13)</f>
        <v/>
      </c>
      <c r="G64" s="1"/>
      <c r="H64" s="1"/>
      <c r="I64" s="1"/>
      <c r="J64" s="1"/>
      <c r="K64" s="1"/>
      <c r="L64" s="1"/>
      <c r="M64" s="1"/>
      <c r="N64" s="1" t="str">
        <f>IF(TopScorers!A61="","",TopScorers!A61)</f>
        <v/>
      </c>
      <c r="O64" s="1" t="str">
        <f>IF(TopScorers!B61="","",TopScorers!B61)</f>
        <v/>
      </c>
      <c r="P64" s="1" t="str">
        <f>IF(TopScorers!C61="","",TopScorers!C61)</f>
        <v/>
      </c>
      <c r="Q64" s="1" t="str">
        <f>IF(TopScorers!D61="","",TopScorers!D61)</f>
        <v/>
      </c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 t="str">
        <f>IF(Goals!A14="","",Goals!A14)</f>
        <v/>
      </c>
      <c r="B65" s="1" t="str">
        <f>IF(Goals!A14="","",Goals!B14)</f>
        <v/>
      </c>
      <c r="C65" s="1" t="str">
        <f>IF(Goals!A14="","",Goals!C14)</f>
        <v/>
      </c>
      <c r="D65" s="1" t="str">
        <f>IF(Goals!A14="","",Goals!D14)</f>
        <v/>
      </c>
      <c r="E65" s="1" t="str">
        <f>IF(Goals!A14="","",Goals!E14)</f>
        <v/>
      </c>
      <c r="F65" s="1" t="str">
        <f>IF(Goals!A14="","",Goals!F14)</f>
        <v/>
      </c>
      <c r="G65" s="1"/>
      <c r="H65" s="1"/>
      <c r="I65" s="1"/>
      <c r="J65" s="1"/>
      <c r="K65" s="1"/>
      <c r="L65" s="1"/>
      <c r="M65" s="1"/>
      <c r="N65" s="1" t="str">
        <f>IF(TopScorers!A62="","",TopScorers!A62)</f>
        <v/>
      </c>
      <c r="O65" s="1" t="str">
        <f>IF(TopScorers!B62="","",TopScorers!B62)</f>
        <v/>
      </c>
      <c r="P65" s="1" t="str">
        <f>IF(TopScorers!C62="","",TopScorers!C62)</f>
        <v/>
      </c>
      <c r="Q65" s="1" t="str">
        <f>IF(TopScorers!D62="","",TopScorers!D62)</f>
        <v/>
      </c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 t="str">
        <f>IF(Goals!A15="","",Goals!A15)</f>
        <v/>
      </c>
      <c r="B66" s="1" t="str">
        <f>IF(Goals!A15="","",Goals!B15)</f>
        <v/>
      </c>
      <c r="C66" s="1" t="str">
        <f>IF(Goals!A15="","",Goals!C15)</f>
        <v/>
      </c>
      <c r="D66" s="1" t="str">
        <f>IF(Goals!A15="","",Goals!D15)</f>
        <v/>
      </c>
      <c r="E66" s="1" t="str">
        <f>IF(Goals!A15="","",Goals!E15)</f>
        <v/>
      </c>
      <c r="F66" s="1" t="str">
        <f>IF(Goals!A15="","",Goals!F15)</f>
        <v/>
      </c>
      <c r="G66" s="1"/>
      <c r="H66" s="1"/>
      <c r="I66" s="1"/>
      <c r="J66" s="1"/>
      <c r="K66" s="1"/>
      <c r="L66" s="1"/>
      <c r="M66" s="1"/>
      <c r="N66" s="1" t="str">
        <f>IF(TopScorers!A63="","",TopScorers!A63)</f>
        <v/>
      </c>
      <c r="O66" s="1" t="str">
        <f>IF(TopScorers!B63="","",TopScorers!B63)</f>
        <v/>
      </c>
      <c r="P66" s="1" t="str">
        <f>IF(TopScorers!C63="","",TopScorers!C63)</f>
        <v/>
      </c>
      <c r="Q66" s="1" t="str">
        <f>IF(TopScorers!D63="","",TopScorers!D63)</f>
        <v/>
      </c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 t="str">
        <f>IF(Goals!A16="","",Goals!A16)</f>
        <v/>
      </c>
      <c r="B67" s="1" t="str">
        <f>IF(Goals!A16="","",Goals!B16)</f>
        <v/>
      </c>
      <c r="C67" s="1" t="str">
        <f>IF(Goals!A16="","",Goals!C16)</f>
        <v/>
      </c>
      <c r="D67" s="1" t="str">
        <f>IF(Goals!A16="","",Goals!D16)</f>
        <v/>
      </c>
      <c r="E67" s="1" t="str">
        <f>IF(Goals!A16="","",Goals!E16)</f>
        <v/>
      </c>
      <c r="F67" s="1" t="str">
        <f>IF(Goals!A16="","",Goals!F16)</f>
        <v/>
      </c>
      <c r="G67" s="1"/>
      <c r="H67" s="1"/>
      <c r="I67" s="1"/>
      <c r="J67" s="1"/>
      <c r="K67" s="1"/>
      <c r="L67" s="1"/>
      <c r="M67" s="1"/>
      <c r="N67" s="1" t="str">
        <f>IF(TopScorers!A64="","",TopScorers!A64)</f>
        <v/>
      </c>
      <c r="O67" s="1" t="str">
        <f>IF(TopScorers!B64="","",TopScorers!B64)</f>
        <v/>
      </c>
      <c r="P67" s="1" t="str">
        <f>IF(TopScorers!C64="","",TopScorers!C64)</f>
        <v/>
      </c>
      <c r="Q67" s="1" t="str">
        <f>IF(TopScorers!D64="","",TopScorers!D64)</f>
        <v/>
      </c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 t="str">
        <f>IF(Goals!A17="","",Goals!A17)</f>
        <v/>
      </c>
      <c r="B68" s="1" t="str">
        <f>IF(Goals!A17="","",Goals!B17)</f>
        <v/>
      </c>
      <c r="C68" s="1" t="str">
        <f>IF(Goals!A17="","",Goals!C17)</f>
        <v/>
      </c>
      <c r="D68" s="1" t="str">
        <f>IF(Goals!A17="","",Goals!D17)</f>
        <v/>
      </c>
      <c r="E68" s="1" t="str">
        <f>IF(Goals!A17="","",Goals!E17)</f>
        <v/>
      </c>
      <c r="F68" s="1" t="str">
        <f>IF(Goals!A17="","",Goals!F17)</f>
        <v/>
      </c>
      <c r="G68" s="1"/>
      <c r="H68" s="1"/>
      <c r="I68" s="1"/>
      <c r="J68" s="1"/>
      <c r="K68" s="1"/>
      <c r="L68" s="1"/>
      <c r="M68" s="1"/>
      <c r="N68" s="1" t="str">
        <f>IF(TopScorers!A65="","",TopScorers!A65)</f>
        <v/>
      </c>
      <c r="O68" s="1" t="str">
        <f>IF(TopScorers!B65="","",TopScorers!B65)</f>
        <v/>
      </c>
      <c r="P68" s="1" t="str">
        <f>IF(TopScorers!C65="","",TopScorers!C65)</f>
        <v/>
      </c>
      <c r="Q68" s="1" t="str">
        <f>IF(TopScorers!D65="","",TopScorers!D65)</f>
        <v/>
      </c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 t="str">
        <f>IF(Goals!A18="","",Goals!A18)</f>
        <v/>
      </c>
      <c r="B69" s="1" t="str">
        <f>IF(Goals!A18="","",Goals!B18)</f>
        <v/>
      </c>
      <c r="C69" s="1" t="str">
        <f>IF(Goals!A18="","",Goals!C18)</f>
        <v/>
      </c>
      <c r="D69" s="1" t="str">
        <f>IF(Goals!A18="","",Goals!D18)</f>
        <v/>
      </c>
      <c r="E69" s="1" t="str">
        <f>IF(Goals!A18="","",Goals!E18)</f>
        <v/>
      </c>
      <c r="F69" s="1" t="str">
        <f>IF(Goals!A18="","",Goals!F18)</f>
        <v/>
      </c>
      <c r="G69" s="1"/>
      <c r="H69" s="1"/>
      <c r="I69" s="1"/>
      <c r="J69" s="1"/>
      <c r="K69" s="1"/>
      <c r="L69" s="1"/>
      <c r="M69" s="1"/>
      <c r="N69" s="1" t="str">
        <f>IF(TopScorers!A66="","",TopScorers!A66)</f>
        <v/>
      </c>
      <c r="O69" s="1" t="str">
        <f>IF(TopScorers!B66="","",TopScorers!B66)</f>
        <v/>
      </c>
      <c r="P69" s="1" t="str">
        <f>IF(TopScorers!C66="","",TopScorers!C66)</f>
        <v/>
      </c>
      <c r="Q69" s="1" t="str">
        <f>IF(TopScorers!D66="","",TopScorers!D66)</f>
        <v/>
      </c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 t="str">
        <f>IF(Goals!A19="","",Goals!A19)</f>
        <v/>
      </c>
      <c r="B70" s="1" t="str">
        <f>IF(Goals!A19="","",Goals!B19)</f>
        <v/>
      </c>
      <c r="C70" s="1" t="str">
        <f>IF(Goals!A19="","",Goals!C19)</f>
        <v/>
      </c>
      <c r="D70" s="1" t="str">
        <f>IF(Goals!A19="","",Goals!D19)</f>
        <v/>
      </c>
      <c r="E70" s="1" t="str">
        <f>IF(Goals!A19="","",Goals!E19)</f>
        <v/>
      </c>
      <c r="F70" s="1" t="str">
        <f>IF(Goals!A19="","",Goals!F19)</f>
        <v/>
      </c>
      <c r="G70" s="1"/>
      <c r="H70" s="1"/>
      <c r="I70" s="1"/>
      <c r="J70" s="1"/>
      <c r="K70" s="1"/>
      <c r="L70" s="1"/>
      <c r="M70" s="1"/>
      <c r="N70" s="1" t="str">
        <f>IF(TopScorers!A67="","",TopScorers!A67)</f>
        <v/>
      </c>
      <c r="O70" s="1" t="str">
        <f>IF(TopScorers!B67="","",TopScorers!B67)</f>
        <v/>
      </c>
      <c r="P70" s="1" t="str">
        <f>IF(TopScorers!C67="","",TopScorers!C67)</f>
        <v/>
      </c>
      <c r="Q70" s="1" t="str">
        <f>IF(TopScorers!D67="","",TopScorers!D67)</f>
        <v/>
      </c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 t="str">
        <f>IF(Goals!A20="","",Goals!A20)</f>
        <v/>
      </c>
      <c r="B71" s="1" t="str">
        <f>IF(Goals!A20="","",Goals!B20)</f>
        <v/>
      </c>
      <c r="C71" s="1" t="str">
        <f>IF(Goals!A20="","",Goals!C20)</f>
        <v/>
      </c>
      <c r="D71" s="1" t="str">
        <f>IF(Goals!A20="","",Goals!D20)</f>
        <v/>
      </c>
      <c r="E71" s="1" t="str">
        <f>IF(Goals!A20="","",Goals!E20)</f>
        <v/>
      </c>
      <c r="F71" s="1" t="str">
        <f>IF(Goals!A20="","",Goals!F20)</f>
        <v/>
      </c>
      <c r="G71" s="1"/>
      <c r="H71" s="1"/>
      <c r="I71" s="1"/>
      <c r="J71" s="1"/>
      <c r="K71" s="1"/>
      <c r="L71" s="1"/>
      <c r="M71" s="1"/>
      <c r="N71" s="1" t="str">
        <f>IF(TopScorers!A68="","",TopScorers!A68)</f>
        <v/>
      </c>
      <c r="O71" s="1" t="str">
        <f>IF(TopScorers!B68="","",TopScorers!B68)</f>
        <v/>
      </c>
      <c r="P71" s="1" t="str">
        <f>IF(TopScorers!C68="","",TopScorers!C68)</f>
        <v/>
      </c>
      <c r="Q71" s="1" t="str">
        <f>IF(TopScorers!D68="","",TopScorers!D68)</f>
        <v/>
      </c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 t="str">
        <f>IF(Goals!A21="","",Goals!A21)</f>
        <v/>
      </c>
      <c r="B72" s="1" t="str">
        <f>IF(Goals!A21="","",Goals!B21)</f>
        <v/>
      </c>
      <c r="C72" s="1" t="str">
        <f>IF(Goals!A21="","",Goals!C21)</f>
        <v/>
      </c>
      <c r="D72" s="1" t="str">
        <f>IF(Goals!A21="","",Goals!D21)</f>
        <v/>
      </c>
      <c r="E72" s="1" t="str">
        <f>IF(Goals!A21="","",Goals!E21)</f>
        <v/>
      </c>
      <c r="F72" s="1" t="str">
        <f>IF(Goals!A21="","",Goals!F21)</f>
        <v/>
      </c>
      <c r="G72" s="1"/>
      <c r="H72" s="1"/>
      <c r="I72" s="1"/>
      <c r="J72" s="1"/>
      <c r="K72" s="1"/>
      <c r="L72" s="1"/>
      <c r="M72" s="1"/>
      <c r="N72" s="1" t="str">
        <f>IF(TopScorers!A69="","",TopScorers!A69)</f>
        <v/>
      </c>
      <c r="O72" s="1" t="str">
        <f>IF(TopScorers!B69="","",TopScorers!B69)</f>
        <v/>
      </c>
      <c r="P72" s="1" t="str">
        <f>IF(TopScorers!C69="","",TopScorers!C69)</f>
        <v/>
      </c>
      <c r="Q72" s="1" t="str">
        <f>IF(TopScorers!D69="","",TopScorers!D69)</f>
        <v/>
      </c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 t="str">
        <f>IF(Goals!A22="","",Goals!A22)</f>
        <v/>
      </c>
      <c r="B73" s="1" t="str">
        <f>IF(Goals!A22="","",Goals!B22)</f>
        <v/>
      </c>
      <c r="C73" s="1" t="str">
        <f>IF(Goals!A22="","",Goals!C22)</f>
        <v/>
      </c>
      <c r="D73" s="1" t="str">
        <f>IF(Goals!A22="","",Goals!D22)</f>
        <v/>
      </c>
      <c r="E73" s="1" t="str">
        <f>IF(Goals!A22="","",Goals!E22)</f>
        <v/>
      </c>
      <c r="F73" s="1" t="str">
        <f>IF(Goals!A22="","",Goals!F22)</f>
        <v/>
      </c>
      <c r="G73" s="1"/>
      <c r="H73" s="1"/>
      <c r="I73" s="1"/>
      <c r="J73" s="1"/>
      <c r="K73" s="1"/>
      <c r="L73" s="1"/>
      <c r="M73" s="1"/>
      <c r="N73" s="1" t="str">
        <f>IF(TopScorers!A70="","",TopScorers!A70)</f>
        <v/>
      </c>
      <c r="O73" s="1" t="str">
        <f>IF(TopScorers!B70="","",TopScorers!B70)</f>
        <v/>
      </c>
      <c r="P73" s="1" t="str">
        <f>IF(TopScorers!C70="","",TopScorers!C70)</f>
        <v/>
      </c>
      <c r="Q73" s="1" t="str">
        <f>IF(TopScorers!D70="","",TopScorers!D70)</f>
        <v/>
      </c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 t="str">
        <f>IF(Goals!A23="","",Goals!A23)</f>
        <v/>
      </c>
      <c r="B74" s="1" t="str">
        <f>IF(Goals!A23="","",Goals!B23)</f>
        <v/>
      </c>
      <c r="C74" s="1" t="str">
        <f>IF(Goals!A23="","",Goals!C23)</f>
        <v/>
      </c>
      <c r="D74" s="1" t="str">
        <f>IF(Goals!A23="","",Goals!D23)</f>
        <v/>
      </c>
      <c r="E74" s="1" t="str">
        <f>IF(Goals!A23="","",Goals!E23)</f>
        <v/>
      </c>
      <c r="F74" s="1" t="str">
        <f>IF(Goals!A23="","",Goals!F23)</f>
        <v/>
      </c>
      <c r="G74" s="1"/>
      <c r="H74" s="1"/>
      <c r="I74" s="1"/>
      <c r="J74" s="1"/>
      <c r="K74" s="1"/>
      <c r="L74" s="1"/>
      <c r="M74" s="1"/>
      <c r="N74" s="1" t="str">
        <f>IF(TopScorers!A71="","",TopScorers!A71)</f>
        <v/>
      </c>
      <c r="O74" s="1" t="str">
        <f>IF(TopScorers!B71="","",TopScorers!B71)</f>
        <v/>
      </c>
      <c r="P74" s="1" t="str">
        <f>IF(TopScorers!C71="","",TopScorers!C71)</f>
        <v/>
      </c>
      <c r="Q74" s="1" t="str">
        <f>IF(TopScorers!D71="","",TopScorers!D71)</f>
        <v/>
      </c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 t="str">
        <f>IF(Goals!A24="","",Goals!A24)</f>
        <v/>
      </c>
      <c r="B75" s="1" t="str">
        <f>IF(Goals!A24="","",Goals!B24)</f>
        <v/>
      </c>
      <c r="C75" s="1" t="str">
        <f>IF(Goals!A24="","",Goals!C24)</f>
        <v/>
      </c>
      <c r="D75" s="1" t="str">
        <f>IF(Goals!A24="","",Goals!D24)</f>
        <v/>
      </c>
      <c r="E75" s="1" t="str">
        <f>IF(Goals!A24="","",Goals!E24)</f>
        <v/>
      </c>
      <c r="F75" s="1" t="str">
        <f>IF(Goals!A24="","",Goals!F24)</f>
        <v/>
      </c>
      <c r="G75" s="1"/>
      <c r="H75" s="1"/>
      <c r="I75" s="1"/>
      <c r="J75" s="1"/>
      <c r="K75" s="1"/>
      <c r="L75" s="1"/>
      <c r="M75" s="1"/>
      <c r="N75" s="1" t="str">
        <f>IF(TopScorers!A72="","",TopScorers!A72)</f>
        <v/>
      </c>
      <c r="O75" s="1" t="str">
        <f>IF(TopScorers!B72="","",TopScorers!B72)</f>
        <v/>
      </c>
      <c r="P75" s="1" t="str">
        <f>IF(TopScorers!C72="","",TopScorers!C72)</f>
        <v/>
      </c>
      <c r="Q75" s="1" t="str">
        <f>IF(TopScorers!D72="","",TopScorers!D72)</f>
        <v/>
      </c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 t="str">
        <f>IF(Goals!A25="","",Goals!A25)</f>
        <v/>
      </c>
      <c r="B76" s="1" t="str">
        <f>IF(Goals!A25="","",Goals!B25)</f>
        <v/>
      </c>
      <c r="C76" s="1" t="str">
        <f>IF(Goals!A25="","",Goals!C25)</f>
        <v/>
      </c>
      <c r="D76" s="1" t="str">
        <f>IF(Goals!A25="","",Goals!D25)</f>
        <v/>
      </c>
      <c r="E76" s="1" t="str">
        <f>IF(Goals!A25="","",Goals!E25)</f>
        <v/>
      </c>
      <c r="F76" s="1" t="str">
        <f>IF(Goals!A25="","",Goals!F25)</f>
        <v/>
      </c>
      <c r="G76" s="1"/>
      <c r="H76" s="1"/>
      <c r="I76" s="1"/>
      <c r="J76" s="1"/>
      <c r="K76" s="1"/>
      <c r="L76" s="1"/>
      <c r="M76" s="1"/>
      <c r="N76" s="1" t="str">
        <f>IF(TopScorers!A73="","",TopScorers!A73)</f>
        <v/>
      </c>
      <c r="O76" s="1" t="str">
        <f>IF(TopScorers!B73="","",TopScorers!B73)</f>
        <v/>
      </c>
      <c r="P76" s="1" t="str">
        <f>IF(TopScorers!C73="","",TopScorers!C73)</f>
        <v/>
      </c>
      <c r="Q76" s="1" t="str">
        <f>IF(TopScorers!D73="","",TopScorers!D73)</f>
        <v/>
      </c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 t="str">
        <f>IF(Goals!A26="","",Goals!A26)</f>
        <v/>
      </c>
      <c r="B77" s="1" t="str">
        <f>IF(Goals!A26="","",Goals!B26)</f>
        <v/>
      </c>
      <c r="C77" s="1" t="str">
        <f>IF(Goals!A26="","",Goals!C26)</f>
        <v/>
      </c>
      <c r="D77" s="1" t="str">
        <f>IF(Goals!A26="","",Goals!D26)</f>
        <v/>
      </c>
      <c r="E77" s="1" t="str">
        <f>IF(Goals!A26="","",Goals!E26)</f>
        <v/>
      </c>
      <c r="F77" s="1" t="str">
        <f>IF(Goals!A26="","",Goals!F26)</f>
        <v/>
      </c>
      <c r="G77" s="1"/>
      <c r="H77" s="1"/>
      <c r="I77" s="1"/>
      <c r="J77" s="1"/>
      <c r="K77" s="1"/>
      <c r="L77" s="1"/>
      <c r="M77" s="1"/>
      <c r="N77" s="1" t="str">
        <f>IF(TopScorers!A74="","",TopScorers!A74)</f>
        <v/>
      </c>
      <c r="O77" s="1" t="str">
        <f>IF(TopScorers!B74="","",TopScorers!B74)</f>
        <v/>
      </c>
      <c r="P77" s="1" t="str">
        <f>IF(TopScorers!C74="","",TopScorers!C74)</f>
        <v/>
      </c>
      <c r="Q77" s="1" t="str">
        <f>IF(TopScorers!D74="","",TopScorers!D74)</f>
        <v/>
      </c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 t="str">
        <f>IF(Goals!A27="","",Goals!A27)</f>
        <v/>
      </c>
      <c r="B78" s="1" t="str">
        <f>IF(Goals!A27="","",Goals!B27)</f>
        <v/>
      </c>
      <c r="C78" s="1" t="str">
        <f>IF(Goals!A27="","",Goals!C27)</f>
        <v/>
      </c>
      <c r="D78" s="1" t="str">
        <f>IF(Goals!A27="","",Goals!D27)</f>
        <v/>
      </c>
      <c r="E78" s="1" t="str">
        <f>IF(Goals!A27="","",Goals!E27)</f>
        <v/>
      </c>
      <c r="F78" s="1" t="str">
        <f>IF(Goals!A27="","",Goals!F27)</f>
        <v/>
      </c>
      <c r="G78" s="1"/>
      <c r="H78" s="1"/>
      <c r="I78" s="1"/>
      <c r="J78" s="1"/>
      <c r="K78" s="1"/>
      <c r="L78" s="1"/>
      <c r="M78" s="1"/>
      <c r="N78" s="1" t="str">
        <f>IF(TopScorers!A75="","",TopScorers!A75)</f>
        <v/>
      </c>
      <c r="O78" s="1" t="str">
        <f>IF(TopScorers!B75="","",TopScorers!B75)</f>
        <v/>
      </c>
      <c r="P78" s="1" t="str">
        <f>IF(TopScorers!C75="","",TopScorers!C75)</f>
        <v/>
      </c>
      <c r="Q78" s="1" t="str">
        <f>IF(TopScorers!D75="","",TopScorers!D75)</f>
        <v/>
      </c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 t="str">
        <f>IF(Goals!A28="","",Goals!A28)</f>
        <v/>
      </c>
      <c r="B79" s="1" t="str">
        <f>IF(Goals!A28="","",Goals!B28)</f>
        <v/>
      </c>
      <c r="C79" s="1" t="str">
        <f>IF(Goals!A28="","",Goals!C28)</f>
        <v/>
      </c>
      <c r="D79" s="1" t="str">
        <f>IF(Goals!A28="","",Goals!D28)</f>
        <v/>
      </c>
      <c r="E79" s="1" t="str">
        <f>IF(Goals!A28="","",Goals!E28)</f>
        <v/>
      </c>
      <c r="F79" s="1" t="str">
        <f>IF(Goals!A28="","",Goals!F28)</f>
        <v/>
      </c>
      <c r="G79" s="1"/>
      <c r="H79" s="1"/>
      <c r="I79" s="1"/>
      <c r="J79" s="1"/>
      <c r="K79" s="1"/>
      <c r="L79" s="1"/>
      <c r="M79" s="1"/>
      <c r="N79" s="1" t="str">
        <f>IF(TopScorers!A76="","",TopScorers!A76)</f>
        <v/>
      </c>
      <c r="O79" s="1" t="str">
        <f>IF(TopScorers!B76="","",TopScorers!B76)</f>
        <v/>
      </c>
      <c r="P79" s="1" t="str">
        <f>IF(TopScorers!C76="","",TopScorers!C76)</f>
        <v/>
      </c>
      <c r="Q79" s="1" t="str">
        <f>IF(TopScorers!D76="","",TopScorers!D76)</f>
        <v/>
      </c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 t="str">
        <f>IF(Goals!A29="","",Goals!A29)</f>
        <v/>
      </c>
      <c r="B80" s="1" t="str">
        <f>IF(Goals!A29="","",Goals!B29)</f>
        <v/>
      </c>
      <c r="C80" s="1" t="str">
        <f>IF(Goals!A29="","",Goals!C29)</f>
        <v/>
      </c>
      <c r="D80" s="1" t="str">
        <f>IF(Goals!A29="","",Goals!D29)</f>
        <v/>
      </c>
      <c r="E80" s="1" t="str">
        <f>IF(Goals!A29="","",Goals!E29)</f>
        <v/>
      </c>
      <c r="F80" s="1" t="str">
        <f>IF(Goals!A29="","",Goals!F29)</f>
        <v/>
      </c>
      <c r="G80" s="1"/>
      <c r="H80" s="1"/>
      <c r="I80" s="1"/>
      <c r="J80" s="1"/>
      <c r="K80" s="1"/>
      <c r="L80" s="1"/>
      <c r="M80" s="1"/>
      <c r="N80" s="1" t="str">
        <f>IF(TopScorers!A77="","",TopScorers!A77)</f>
        <v/>
      </c>
      <c r="O80" s="1" t="str">
        <f>IF(TopScorers!B77="","",TopScorers!B77)</f>
        <v/>
      </c>
      <c r="P80" s="1" t="str">
        <f>IF(TopScorers!C77="","",TopScorers!C77)</f>
        <v/>
      </c>
      <c r="Q80" s="1" t="str">
        <f>IF(TopScorers!D77="","",TopScorers!D77)</f>
        <v/>
      </c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 t="str">
        <f>IF(Goals!A30="","",Goals!A30)</f>
        <v/>
      </c>
      <c r="B81" s="1" t="str">
        <f>IF(Goals!A30="","",Goals!B30)</f>
        <v/>
      </c>
      <c r="C81" s="1" t="str">
        <f>IF(Goals!A30="","",Goals!C30)</f>
        <v/>
      </c>
      <c r="D81" s="1" t="str">
        <f>IF(Goals!A30="","",Goals!D30)</f>
        <v/>
      </c>
      <c r="E81" s="1" t="str">
        <f>IF(Goals!A30="","",Goals!E30)</f>
        <v/>
      </c>
      <c r="F81" s="1" t="str">
        <f>IF(Goals!A30="","",Goals!F30)</f>
        <v/>
      </c>
      <c r="G81" s="1"/>
      <c r="H81" s="1"/>
      <c r="I81" s="1"/>
      <c r="J81" s="1"/>
      <c r="K81" s="1"/>
      <c r="L81" s="1"/>
      <c r="M81" s="1"/>
      <c r="N81" s="1" t="str">
        <f>IF(TopScorers!A78="","",TopScorers!A78)</f>
        <v/>
      </c>
      <c r="O81" s="1" t="str">
        <f>IF(TopScorers!B78="","",TopScorers!B78)</f>
        <v/>
      </c>
      <c r="P81" s="1" t="str">
        <f>IF(TopScorers!C78="","",TopScorers!C78)</f>
        <v/>
      </c>
      <c r="Q81" s="1" t="str">
        <f>IF(TopScorers!D78="","",TopScorers!D78)</f>
        <v/>
      </c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 t="str">
        <f>IF(Goals!A31="","",Goals!A31)</f>
        <v/>
      </c>
      <c r="B82" s="1" t="str">
        <f>IF(Goals!A31="","",Goals!B31)</f>
        <v/>
      </c>
      <c r="C82" s="1" t="str">
        <f>IF(Goals!A31="","",Goals!C31)</f>
        <v/>
      </c>
      <c r="D82" s="1" t="str">
        <f>IF(Goals!A31="","",Goals!D31)</f>
        <v/>
      </c>
      <c r="E82" s="1" t="str">
        <f>IF(Goals!A31="","",Goals!E31)</f>
        <v/>
      </c>
      <c r="F82" s="1" t="str">
        <f>IF(Goals!A31="","",Goals!F31)</f>
        <v/>
      </c>
      <c r="G82" s="1"/>
      <c r="H82" s="1"/>
      <c r="I82" s="1"/>
      <c r="J82" s="1"/>
      <c r="K82" s="1"/>
      <c r="L82" s="1"/>
      <c r="M82" s="1"/>
      <c r="N82" s="1" t="str">
        <f>IF(TopScorers!A79="","",TopScorers!A79)</f>
        <v/>
      </c>
      <c r="O82" s="1" t="str">
        <f>IF(TopScorers!B79="","",TopScorers!B79)</f>
        <v/>
      </c>
      <c r="P82" s="1" t="str">
        <f>IF(TopScorers!C79="","",TopScorers!C79)</f>
        <v/>
      </c>
      <c r="Q82" s="1" t="str">
        <f>IF(TopScorers!D79="","",TopScorers!D79)</f>
        <v/>
      </c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 t="str">
        <f>IF(Goals!A32="","",Goals!A32)</f>
        <v/>
      </c>
      <c r="B83" s="1" t="str">
        <f>IF(Goals!A32="","",Goals!B32)</f>
        <v/>
      </c>
      <c r="C83" s="1" t="str">
        <f>IF(Goals!A32="","",Goals!C32)</f>
        <v/>
      </c>
      <c r="D83" s="1" t="str">
        <f>IF(Goals!A32="","",Goals!D32)</f>
        <v/>
      </c>
      <c r="E83" s="1" t="str">
        <f>IF(Goals!A32="","",Goals!E32)</f>
        <v/>
      </c>
      <c r="F83" s="1" t="str">
        <f>IF(Goals!A32="","",Goals!F32)</f>
        <v/>
      </c>
      <c r="G83" s="1"/>
      <c r="H83" s="1"/>
      <c r="I83" s="1"/>
      <c r="J83" s="1"/>
      <c r="K83" s="1"/>
      <c r="L83" s="1"/>
      <c r="M83" s="1"/>
      <c r="N83" s="1" t="str">
        <f>IF(TopScorers!A80="","",TopScorers!A80)</f>
        <v/>
      </c>
      <c r="O83" s="1" t="str">
        <f>IF(TopScorers!B80="","",TopScorers!B80)</f>
        <v/>
      </c>
      <c r="P83" s="1" t="str">
        <f>IF(TopScorers!C80="","",TopScorers!C80)</f>
        <v/>
      </c>
      <c r="Q83" s="1" t="str">
        <f>IF(TopScorers!D80="","",TopScorers!D80)</f>
        <v/>
      </c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 t="str">
        <f>IF(Goals!A33="","",Goals!A33)</f>
        <v/>
      </c>
      <c r="B84" s="1" t="str">
        <f>IF(Goals!A33="","",Goals!B33)</f>
        <v/>
      </c>
      <c r="C84" s="1" t="str">
        <f>IF(Goals!A33="","",Goals!C33)</f>
        <v/>
      </c>
      <c r="D84" s="1" t="str">
        <f>IF(Goals!A33="","",Goals!D33)</f>
        <v/>
      </c>
      <c r="E84" s="1" t="str">
        <f>IF(Goals!A33="","",Goals!E33)</f>
        <v/>
      </c>
      <c r="F84" s="1" t="str">
        <f>IF(Goals!A33="","",Goals!F33)</f>
        <v/>
      </c>
      <c r="G84" s="1"/>
      <c r="H84" s="1"/>
      <c r="I84" s="1"/>
      <c r="J84" s="1"/>
      <c r="K84" s="1"/>
      <c r="L84" s="1"/>
      <c r="M84" s="1"/>
      <c r="N84" s="1" t="str">
        <f>IF(TopScorers!A81="","",TopScorers!A81)</f>
        <v/>
      </c>
      <c r="O84" s="1" t="str">
        <f>IF(TopScorers!B81="","",TopScorers!B81)</f>
        <v/>
      </c>
      <c r="P84" s="1" t="str">
        <f>IF(TopScorers!C81="","",TopScorers!C81)</f>
        <v/>
      </c>
      <c r="Q84" s="1" t="str">
        <f>IF(TopScorers!D81="","",TopScorers!D81)</f>
        <v/>
      </c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 t="str">
        <f>IF(Goals!A34="","",Goals!A34)</f>
        <v/>
      </c>
      <c r="B85" s="1" t="str">
        <f>IF(Goals!A34="","",Goals!B34)</f>
        <v/>
      </c>
      <c r="C85" s="1" t="str">
        <f>IF(Goals!A34="","",Goals!C34)</f>
        <v/>
      </c>
      <c r="D85" s="1" t="str">
        <f>IF(Goals!A34="","",Goals!D34)</f>
        <v/>
      </c>
      <c r="E85" s="1" t="str">
        <f>IF(Goals!A34="","",Goals!E34)</f>
        <v/>
      </c>
      <c r="F85" s="1" t="str">
        <f>IF(Goals!A34="","",Goals!F34)</f>
        <v/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 t="str">
        <f>IF(Goals!A35="","",Goals!A35)</f>
        <v/>
      </c>
      <c r="B86" s="1" t="str">
        <f>IF(Goals!A35="","",Goals!B35)</f>
        <v/>
      </c>
      <c r="C86" s="1" t="str">
        <f>IF(Goals!A35="","",Goals!C35)</f>
        <v/>
      </c>
      <c r="D86" s="1" t="str">
        <f>IF(Goals!A35="","",Goals!D35)</f>
        <v/>
      </c>
      <c r="E86" s="1" t="str">
        <f>IF(Goals!A35="","",Goals!E35)</f>
        <v/>
      </c>
      <c r="F86" s="1" t="str">
        <f>IF(Goals!A35="","",Goals!F35)</f>
        <v/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 t="str">
        <f>IF(Goals!A36="","",Goals!A36)</f>
        <v/>
      </c>
      <c r="B87" s="1" t="str">
        <f>IF(Goals!A36="","",Goals!B36)</f>
        <v/>
      </c>
      <c r="C87" s="1" t="str">
        <f>IF(Goals!A36="","",Goals!C36)</f>
        <v/>
      </c>
      <c r="D87" s="1" t="str">
        <f>IF(Goals!A36="","",Goals!D36)</f>
        <v/>
      </c>
      <c r="E87" s="1" t="str">
        <f>IF(Goals!A36="","",Goals!E36)</f>
        <v/>
      </c>
      <c r="F87" s="1" t="str">
        <f>IF(Goals!A36="","",Goals!F36)</f>
        <v/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 t="str">
        <f>IF(Goals!A37="","",Goals!A37)</f>
        <v/>
      </c>
      <c r="B88" s="1" t="str">
        <f>IF(Goals!A37="","",Goals!B37)</f>
        <v/>
      </c>
      <c r="C88" s="1" t="str">
        <f>IF(Goals!A37="","",Goals!C37)</f>
        <v/>
      </c>
      <c r="D88" s="1" t="str">
        <f>IF(Goals!A37="","",Goals!D37)</f>
        <v/>
      </c>
      <c r="E88" s="1" t="str">
        <f>IF(Goals!A37="","",Goals!E37)</f>
        <v/>
      </c>
      <c r="F88" s="1" t="str">
        <f>IF(Goals!A37="","",Goals!F37)</f>
        <v/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 t="str">
        <f>IF(Goals!A38="","",Goals!A38)</f>
        <v/>
      </c>
      <c r="B89" s="1" t="str">
        <f>IF(Goals!A38="","",Goals!B38)</f>
        <v/>
      </c>
      <c r="C89" s="1" t="str">
        <f>IF(Goals!A38="","",Goals!C38)</f>
        <v/>
      </c>
      <c r="D89" s="1" t="str">
        <f>IF(Goals!A38="","",Goals!D38)</f>
        <v/>
      </c>
      <c r="E89" s="1" t="str">
        <f>IF(Goals!A38="","",Goals!E38)</f>
        <v/>
      </c>
      <c r="F89" s="1" t="str">
        <f>IF(Goals!A38="","",Goals!F38)</f>
        <v/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 t="str">
        <f>IF(Goals!A39="","",Goals!A39)</f>
        <v/>
      </c>
      <c r="B90" s="1" t="str">
        <f>IF(Goals!A39="","",Goals!B39)</f>
        <v/>
      </c>
      <c r="C90" s="1" t="str">
        <f>IF(Goals!A39="","",Goals!C39)</f>
        <v/>
      </c>
      <c r="D90" s="1" t="str">
        <f>IF(Goals!A39="","",Goals!D39)</f>
        <v/>
      </c>
      <c r="E90" s="1" t="str">
        <f>IF(Goals!A39="","",Goals!E39)</f>
        <v/>
      </c>
      <c r="F90" s="1" t="str">
        <f>IF(Goals!A39="","",Goals!F39)</f>
        <v/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 t="str">
        <f>IF(Goals!A40="","",Goals!A40)</f>
        <v/>
      </c>
      <c r="B91" s="1" t="str">
        <f>IF(Goals!A40="","",Goals!B40)</f>
        <v/>
      </c>
      <c r="C91" s="1" t="str">
        <f>IF(Goals!A40="","",Goals!C40)</f>
        <v/>
      </c>
      <c r="D91" s="1" t="str">
        <f>IF(Goals!A40="","",Goals!D40)</f>
        <v/>
      </c>
      <c r="E91" s="1" t="str">
        <f>IF(Goals!A40="","",Goals!E40)</f>
        <v/>
      </c>
      <c r="F91" s="1" t="str">
        <f>IF(Goals!A40="","",Goals!F40)</f>
        <v/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 t="str">
        <f>IF(Goals!A41="","",Goals!A41)</f>
        <v/>
      </c>
      <c r="B92" s="1" t="str">
        <f>IF(Goals!A41="","",Goals!B41)</f>
        <v/>
      </c>
      <c r="C92" s="1" t="str">
        <f>IF(Goals!A41="","",Goals!C41)</f>
        <v/>
      </c>
      <c r="D92" s="1" t="str">
        <f>IF(Goals!A41="","",Goals!D41)</f>
        <v/>
      </c>
      <c r="E92" s="1" t="str">
        <f>IF(Goals!A41="","",Goals!E41)</f>
        <v/>
      </c>
      <c r="F92" s="1" t="str">
        <f>IF(Goals!A41="","",Goals!F41)</f>
        <v/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 t="str">
        <f>IF(Goals!A42="","",Goals!A42)</f>
        <v/>
      </c>
      <c r="B93" s="1" t="str">
        <f>IF(Goals!A42="","",Goals!B42)</f>
        <v/>
      </c>
      <c r="C93" s="1" t="str">
        <f>IF(Goals!A42="","",Goals!C42)</f>
        <v/>
      </c>
      <c r="D93" s="1" t="str">
        <f>IF(Goals!A42="","",Goals!D42)</f>
        <v/>
      </c>
      <c r="E93" s="1" t="str">
        <f>IF(Goals!A42="","",Goals!E42)</f>
        <v/>
      </c>
      <c r="F93" s="1" t="str">
        <f>IF(Goals!A42="","",Goals!F42)</f>
        <v/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 t="str">
        <f>IF(Goals!A43="","",Goals!A43)</f>
        <v/>
      </c>
      <c r="B94" s="1" t="str">
        <f>IF(Goals!A43="","",Goals!B43)</f>
        <v/>
      </c>
      <c r="C94" s="1" t="str">
        <f>IF(Goals!A43="","",Goals!C43)</f>
        <v/>
      </c>
      <c r="D94" s="1" t="str">
        <f>IF(Goals!A43="","",Goals!D43)</f>
        <v/>
      </c>
      <c r="E94" s="1" t="str">
        <f>IF(Goals!A43="","",Goals!E43)</f>
        <v/>
      </c>
      <c r="F94" s="1" t="str">
        <f>IF(Goals!A43="","",Goals!F43)</f>
        <v/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 t="str">
        <f>IF(Goals!A44="","",Goals!A44)</f>
        <v/>
      </c>
      <c r="B95" s="1" t="str">
        <f>IF(Goals!A44="","",Goals!B44)</f>
        <v/>
      </c>
      <c r="C95" s="1" t="str">
        <f>IF(Goals!A44="","",Goals!C44)</f>
        <v/>
      </c>
      <c r="D95" s="1" t="str">
        <f>IF(Goals!A44="","",Goals!D44)</f>
        <v/>
      </c>
      <c r="E95" s="1" t="str">
        <f>IF(Goals!A44="","",Goals!E44)</f>
        <v/>
      </c>
      <c r="F95" s="1" t="str">
        <f>IF(Goals!A44="","",Goals!F44)</f>
        <v/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 t="str">
        <f>IF(Goals!A45="","",Goals!A45)</f>
        <v/>
      </c>
      <c r="B96" s="1" t="str">
        <f>IF(Goals!A45="","",Goals!B45)</f>
        <v/>
      </c>
      <c r="C96" s="1" t="str">
        <f>IF(Goals!A45="","",Goals!C45)</f>
        <v/>
      </c>
      <c r="D96" s="1" t="str">
        <f>IF(Goals!A45="","",Goals!D45)</f>
        <v/>
      </c>
      <c r="E96" s="1" t="str">
        <f>IF(Goals!A45="","",Goals!E45)</f>
        <v/>
      </c>
      <c r="F96" s="1" t="str">
        <f>IF(Goals!A45="","",Goals!F45)</f>
        <v/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 t="str">
        <f>IF(Goals!A46="","",Goals!A46)</f>
        <v/>
      </c>
      <c r="B97" s="1" t="str">
        <f>IF(Goals!A46="","",Goals!B46)</f>
        <v/>
      </c>
      <c r="C97" s="1" t="str">
        <f>IF(Goals!A46="","",Goals!C46)</f>
        <v/>
      </c>
      <c r="D97" s="1" t="str">
        <f>IF(Goals!A46="","",Goals!D46)</f>
        <v/>
      </c>
      <c r="E97" s="1" t="str">
        <f>IF(Goals!A46="","",Goals!E46)</f>
        <v/>
      </c>
      <c r="F97" s="1" t="str">
        <f>IF(Goals!A46="","",Goals!F46)</f>
        <v/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 t="str">
        <f>IF(Goals!A47="","",Goals!A47)</f>
        <v/>
      </c>
      <c r="B98" s="1" t="str">
        <f>IF(Goals!A47="","",Goals!B47)</f>
        <v/>
      </c>
      <c r="C98" s="1" t="str">
        <f>IF(Goals!A47="","",Goals!C47)</f>
        <v/>
      </c>
      <c r="D98" s="1" t="str">
        <f>IF(Goals!A47="","",Goals!D47)</f>
        <v/>
      </c>
      <c r="E98" s="1" t="str">
        <f>IF(Goals!A47="","",Goals!E47)</f>
        <v/>
      </c>
      <c r="F98" s="1" t="str">
        <f>IF(Goals!A47="","",Goals!F47)</f>
        <v/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 t="str">
        <f>IF(Goals!A48="","",Goals!A48)</f>
        <v/>
      </c>
      <c r="B99" s="1" t="str">
        <f>IF(Goals!A48="","",Goals!B48)</f>
        <v/>
      </c>
      <c r="C99" s="1" t="str">
        <f>IF(Goals!A48="","",Goals!C48)</f>
        <v/>
      </c>
      <c r="D99" s="1" t="str">
        <f>IF(Goals!A48="","",Goals!D48)</f>
        <v/>
      </c>
      <c r="E99" s="1" t="str">
        <f>IF(Goals!A48="","",Goals!E48)</f>
        <v/>
      </c>
      <c r="F99" s="1" t="str">
        <f>IF(Goals!A48="","",Goals!F48)</f>
        <v/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 t="str">
        <f>IF(Goals!A49="","",Goals!A49)</f>
        <v/>
      </c>
      <c r="B100" s="1" t="str">
        <f>IF(Goals!A49="","",Goals!B49)</f>
        <v/>
      </c>
      <c r="C100" s="1" t="str">
        <f>IF(Goals!A49="","",Goals!C49)</f>
        <v/>
      </c>
      <c r="D100" s="1" t="str">
        <f>IF(Goals!A49="","",Goals!D49)</f>
        <v/>
      </c>
      <c r="E100" s="1" t="str">
        <f>IF(Goals!A49="","",Goals!E49)</f>
        <v/>
      </c>
      <c r="F100" s="1" t="str">
        <f>IF(Goals!A49="","",Goals!F49)</f>
        <v/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 t="str">
        <f>IF(Goals!A50="","",Goals!A50)</f>
        <v/>
      </c>
      <c r="B101" s="1" t="str">
        <f>IF(Goals!A50="","",Goals!B50)</f>
        <v/>
      </c>
      <c r="C101" s="1" t="str">
        <f>IF(Goals!A50="","",Goals!C50)</f>
        <v/>
      </c>
      <c r="D101" s="1" t="str">
        <f>IF(Goals!A50="","",Goals!D50)</f>
        <v/>
      </c>
      <c r="E101" s="1" t="str">
        <f>IF(Goals!A50="","",Goals!E50)</f>
        <v/>
      </c>
      <c r="F101" s="1" t="str">
        <f>IF(Goals!A50="","",Goals!F50)</f>
        <v/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 t="str">
        <f>IF(Goals!A51="","",Goals!A51)</f>
        <v/>
      </c>
      <c r="B102" s="1" t="str">
        <f>IF(Goals!A51="","",Goals!B51)</f>
        <v/>
      </c>
      <c r="C102" s="1" t="str">
        <f>IF(Goals!A51="","",Goals!C51)</f>
        <v/>
      </c>
      <c r="D102" s="1" t="str">
        <f>IF(Goals!A51="","",Goals!D51)</f>
        <v/>
      </c>
      <c r="E102" s="1" t="str">
        <f>IF(Goals!A51="","",Goals!E51)</f>
        <v/>
      </c>
      <c r="F102" s="1" t="str">
        <f>IF(Goals!A51="","",Goals!F51)</f>
        <v/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 t="str">
        <f>IF(Goals!A52="","",Goals!A52)</f>
        <v/>
      </c>
      <c r="B103" s="1" t="str">
        <f>IF(Goals!A52="","",Goals!B52)</f>
        <v/>
      </c>
      <c r="C103" s="1" t="str">
        <f>IF(Goals!A52="","",Goals!C52)</f>
        <v/>
      </c>
      <c r="D103" s="1" t="str">
        <f>IF(Goals!A52="","",Goals!D52)</f>
        <v/>
      </c>
      <c r="E103" s="1" t="str">
        <f>IF(Goals!A52="","",Goals!E52)</f>
        <v/>
      </c>
      <c r="F103" s="1" t="str">
        <f>IF(Goals!A52="","",Goals!F52)</f>
        <v/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 t="str">
        <f>IF(Goals!A53="","",Goals!A53)</f>
        <v/>
      </c>
      <c r="B104" s="1" t="str">
        <f>IF(Goals!A53="","",Goals!B53)</f>
        <v/>
      </c>
      <c r="C104" s="1" t="str">
        <f>IF(Goals!A53="","",Goals!C53)</f>
        <v/>
      </c>
      <c r="D104" s="1" t="str">
        <f>IF(Goals!A53="","",Goals!D53)</f>
        <v/>
      </c>
      <c r="E104" s="1" t="str">
        <f>IF(Goals!A53="","",Goals!E53)</f>
        <v/>
      </c>
      <c r="F104" s="1" t="str">
        <f>IF(Goals!A53="","",Goals!F53)</f>
        <v/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 t="str">
        <f>IF(Goals!A54="","",Goals!A54)</f>
        <v/>
      </c>
      <c r="B105" s="1" t="str">
        <f>IF(Goals!A54="","",Goals!B54)</f>
        <v/>
      </c>
      <c r="C105" s="1" t="str">
        <f>IF(Goals!A54="","",Goals!C54)</f>
        <v/>
      </c>
      <c r="D105" s="1" t="str">
        <f>IF(Goals!A54="","",Goals!D54)</f>
        <v/>
      </c>
      <c r="E105" s="1" t="str">
        <f>IF(Goals!A54="","",Goals!E54)</f>
        <v/>
      </c>
      <c r="F105" s="1" t="str">
        <f>IF(Goals!A54="","",Goals!F54)</f>
        <v/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 t="str">
        <f>IF(Goals!A55="","",Goals!A55)</f>
        <v/>
      </c>
      <c r="B106" s="1" t="str">
        <f>IF(Goals!A55="","",Goals!B55)</f>
        <v/>
      </c>
      <c r="C106" s="1" t="str">
        <f>IF(Goals!A55="","",Goals!C55)</f>
        <v/>
      </c>
      <c r="D106" s="1" t="str">
        <f>IF(Goals!A55="","",Goals!D55)</f>
        <v/>
      </c>
      <c r="E106" s="1" t="str">
        <f>IF(Goals!A55="","",Goals!E55)</f>
        <v/>
      </c>
      <c r="F106" s="1" t="str">
        <f>IF(Goals!A55="","",Goals!F55)</f>
        <v/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 t="str">
        <f>IF(Goals!A56="","",Goals!A56)</f>
        <v/>
      </c>
      <c r="B107" s="1" t="str">
        <f>IF(Goals!A56="","",Goals!B56)</f>
        <v/>
      </c>
      <c r="C107" s="1" t="str">
        <f>IF(Goals!A56="","",Goals!C56)</f>
        <v/>
      </c>
      <c r="D107" s="1" t="str">
        <f>IF(Goals!A56="","",Goals!D56)</f>
        <v/>
      </c>
      <c r="E107" s="1" t="str">
        <f>IF(Goals!A56="","",Goals!E56)</f>
        <v/>
      </c>
      <c r="F107" s="1" t="str">
        <f>IF(Goals!A56="","",Goals!F56)</f>
        <v/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 t="str">
        <f>IF(Goals!A57="","",Goals!A57)</f>
        <v/>
      </c>
      <c r="B108" s="1" t="str">
        <f>IF(Goals!A57="","",Goals!B57)</f>
        <v/>
      </c>
      <c r="C108" s="1" t="str">
        <f>IF(Goals!A57="","",Goals!C57)</f>
        <v/>
      </c>
      <c r="D108" s="1" t="str">
        <f>IF(Goals!A57="","",Goals!D57)</f>
        <v/>
      </c>
      <c r="E108" s="1" t="str">
        <f>IF(Goals!A57="","",Goals!E57)</f>
        <v/>
      </c>
      <c r="F108" s="1" t="str">
        <f>IF(Goals!A57="","",Goals!F57)</f>
        <v/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 t="str">
        <f>IF(Goals!A58="","",Goals!A58)</f>
        <v/>
      </c>
      <c r="B109" s="1" t="str">
        <f>IF(Goals!A58="","",Goals!B58)</f>
        <v/>
      </c>
      <c r="C109" s="1" t="str">
        <f>IF(Goals!A58="","",Goals!C58)</f>
        <v/>
      </c>
      <c r="D109" s="1" t="str">
        <f>IF(Goals!A58="","",Goals!D58)</f>
        <v/>
      </c>
      <c r="E109" s="1" t="str">
        <f>IF(Goals!A58="","",Goals!E58)</f>
        <v/>
      </c>
      <c r="F109" s="1" t="str">
        <f>IF(Goals!A58="","",Goals!F58)</f>
        <v/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 t="str">
        <f>IF(Goals!A59="","",Goals!A59)</f>
        <v/>
      </c>
      <c r="B110" s="1" t="str">
        <f>IF(Goals!A59="","",Goals!B59)</f>
        <v/>
      </c>
      <c r="C110" s="1" t="str">
        <f>IF(Goals!A59="","",Goals!C59)</f>
        <v/>
      </c>
      <c r="D110" s="1" t="str">
        <f>IF(Goals!A59="","",Goals!D59)</f>
        <v/>
      </c>
      <c r="E110" s="1" t="str">
        <f>IF(Goals!A59="","",Goals!E59)</f>
        <v/>
      </c>
      <c r="F110" s="1" t="str">
        <f>IF(Goals!A59="","",Goals!F59)</f>
        <v/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 t="str">
        <f>IF(Goals!A60="","",Goals!A60)</f>
        <v/>
      </c>
      <c r="B111" s="1" t="str">
        <f>IF(Goals!A60="","",Goals!B60)</f>
        <v/>
      </c>
      <c r="C111" s="1" t="str">
        <f>IF(Goals!A60="","",Goals!C60)</f>
        <v/>
      </c>
      <c r="D111" s="1" t="str">
        <f>IF(Goals!A60="","",Goals!D60)</f>
        <v/>
      </c>
      <c r="E111" s="1" t="str">
        <f>IF(Goals!A60="","",Goals!E60)</f>
        <v/>
      </c>
      <c r="F111" s="1" t="str">
        <f>IF(Goals!A60="","",Goals!F60)</f>
        <v/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 t="str">
        <f>IF(Goals!A61="","",Goals!A61)</f>
        <v/>
      </c>
      <c r="B112" s="1" t="str">
        <f>IF(Goals!A61="","",Goals!B61)</f>
        <v/>
      </c>
      <c r="C112" s="1" t="str">
        <f>IF(Goals!A61="","",Goals!C61)</f>
        <v/>
      </c>
      <c r="D112" s="1" t="str">
        <f>IF(Goals!A61="","",Goals!D61)</f>
        <v/>
      </c>
      <c r="E112" s="1" t="str">
        <f>IF(Goals!A61="","",Goals!E61)</f>
        <v/>
      </c>
      <c r="F112" s="1" t="str">
        <f>IF(Goals!A61="","",Goals!F61)</f>
        <v/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 t="str">
        <f>IF(Goals!A62="","",Goals!A62)</f>
        <v/>
      </c>
      <c r="B113" s="1" t="str">
        <f>IF(Goals!A62="","",Goals!B62)</f>
        <v/>
      </c>
      <c r="C113" s="1" t="str">
        <f>IF(Goals!A62="","",Goals!C62)</f>
        <v/>
      </c>
      <c r="D113" s="1" t="str">
        <f>IF(Goals!A62="","",Goals!D62)</f>
        <v/>
      </c>
      <c r="E113" s="1" t="str">
        <f>IF(Goals!A62="","",Goals!E62)</f>
        <v/>
      </c>
      <c r="F113" s="1" t="str">
        <f>IF(Goals!A62="","",Goals!F62)</f>
        <v/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 t="str">
        <f>IF(Goals!A63="","",Goals!A63)</f>
        <v/>
      </c>
      <c r="B114" s="1" t="str">
        <f>IF(Goals!A63="","",Goals!B63)</f>
        <v/>
      </c>
      <c r="C114" s="1" t="str">
        <f>IF(Goals!A63="","",Goals!C63)</f>
        <v/>
      </c>
      <c r="D114" s="1" t="str">
        <f>IF(Goals!A63="","",Goals!D63)</f>
        <v/>
      </c>
      <c r="E114" s="1" t="str">
        <f>IF(Goals!A63="","",Goals!E63)</f>
        <v/>
      </c>
      <c r="F114" s="1" t="str">
        <f>IF(Goals!A63="","",Goals!F63)</f>
        <v/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 t="str">
        <f>IF(Goals!A64="","",Goals!A64)</f>
        <v/>
      </c>
      <c r="B115" s="1" t="str">
        <f>IF(Goals!A64="","",Goals!B64)</f>
        <v/>
      </c>
      <c r="C115" s="1" t="str">
        <f>IF(Goals!A64="","",Goals!C64)</f>
        <v/>
      </c>
      <c r="D115" s="1" t="str">
        <f>IF(Goals!A64="","",Goals!D64)</f>
        <v/>
      </c>
      <c r="E115" s="1" t="str">
        <f>IF(Goals!A64="","",Goals!E64)</f>
        <v/>
      </c>
      <c r="F115" s="1" t="str">
        <f>IF(Goals!A64="","",Goals!F64)</f>
        <v/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 t="str">
        <f>IF(Goals!A65="","",Goals!A65)</f>
        <v/>
      </c>
      <c r="B116" s="1" t="str">
        <f>IF(Goals!A65="","",Goals!B65)</f>
        <v/>
      </c>
      <c r="C116" s="1" t="str">
        <f>IF(Goals!A65="","",Goals!C65)</f>
        <v/>
      </c>
      <c r="D116" s="1" t="str">
        <f>IF(Goals!A65="","",Goals!D65)</f>
        <v/>
      </c>
      <c r="E116" s="1" t="str">
        <f>IF(Goals!A65="","",Goals!E65)</f>
        <v/>
      </c>
      <c r="F116" s="1" t="str">
        <f>IF(Goals!A65="","",Goals!F65)</f>
        <v/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 t="str">
        <f>IF(Goals!A66="","",Goals!A66)</f>
        <v/>
      </c>
      <c r="B117" s="1" t="str">
        <f>IF(Goals!A66="","",Goals!B66)</f>
        <v/>
      </c>
      <c r="C117" s="1" t="str">
        <f>IF(Goals!A66="","",Goals!C66)</f>
        <v/>
      </c>
      <c r="D117" s="1" t="str">
        <f>IF(Goals!A66="","",Goals!D66)</f>
        <v/>
      </c>
      <c r="E117" s="1" t="str">
        <f>IF(Goals!A66="","",Goals!E66)</f>
        <v/>
      </c>
      <c r="F117" s="1" t="str">
        <f>IF(Goals!A66="","",Goals!F66)</f>
        <v/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 t="str">
        <f>IF(Goals!A67="","",Goals!A67)</f>
        <v/>
      </c>
      <c r="B118" s="1" t="str">
        <f>IF(Goals!A67="","",Goals!B67)</f>
        <v/>
      </c>
      <c r="C118" s="1" t="str">
        <f>IF(Goals!A67="","",Goals!C67)</f>
        <v/>
      </c>
      <c r="D118" s="1" t="str">
        <f>IF(Goals!A67="","",Goals!D67)</f>
        <v/>
      </c>
      <c r="E118" s="1" t="str">
        <f>IF(Goals!A67="","",Goals!E67)</f>
        <v/>
      </c>
      <c r="F118" s="1" t="str">
        <f>IF(Goals!A67="","",Goals!F67)</f>
        <v/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 t="str">
        <f>IF(Goals!A68="","",Goals!A68)</f>
        <v/>
      </c>
      <c r="B119" s="1" t="str">
        <f>IF(Goals!A68="","",Goals!B68)</f>
        <v/>
      </c>
      <c r="C119" s="1" t="str">
        <f>IF(Goals!A68="","",Goals!C68)</f>
        <v/>
      </c>
      <c r="D119" s="1" t="str">
        <f>IF(Goals!A68="","",Goals!D68)</f>
        <v/>
      </c>
      <c r="E119" s="1" t="str">
        <f>IF(Goals!A68="","",Goals!E68)</f>
        <v/>
      </c>
      <c r="F119" s="1" t="str">
        <f>IF(Goals!A68="","",Goals!F68)</f>
        <v/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 t="str">
        <f>IF(Goals!A69="","",Goals!A69)</f>
        <v/>
      </c>
      <c r="B120" s="1" t="str">
        <f>IF(Goals!A69="","",Goals!B69)</f>
        <v/>
      </c>
      <c r="C120" s="1" t="str">
        <f>IF(Goals!A69="","",Goals!C69)</f>
        <v/>
      </c>
      <c r="D120" s="1" t="str">
        <f>IF(Goals!A69="","",Goals!D69)</f>
        <v/>
      </c>
      <c r="E120" s="1" t="str">
        <f>IF(Goals!A69="","",Goals!E69)</f>
        <v/>
      </c>
      <c r="F120" s="1" t="str">
        <f>IF(Goals!A69="","",Goals!F69)</f>
        <v/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 t="str">
        <f>IF(Goals!A70="","",Goals!A70)</f>
        <v/>
      </c>
      <c r="B121" s="1" t="str">
        <f>IF(Goals!A70="","",Goals!B70)</f>
        <v/>
      </c>
      <c r="C121" s="1" t="str">
        <f>IF(Goals!A70="","",Goals!C70)</f>
        <v/>
      </c>
      <c r="D121" s="1" t="str">
        <f>IF(Goals!A70="","",Goals!D70)</f>
        <v/>
      </c>
      <c r="E121" s="1" t="str">
        <f>IF(Goals!A70="","",Goals!E70)</f>
        <v/>
      </c>
      <c r="F121" s="1" t="str">
        <f>IF(Goals!A70="","",Goals!F70)</f>
        <v/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 t="str">
        <f>IF(Goals!A71="","",Goals!A71)</f>
        <v/>
      </c>
      <c r="B122" s="1" t="str">
        <f>IF(Goals!A71="","",Goals!B71)</f>
        <v/>
      </c>
      <c r="C122" s="1" t="str">
        <f>IF(Goals!A71="","",Goals!C71)</f>
        <v/>
      </c>
      <c r="D122" s="1" t="str">
        <f>IF(Goals!A71="","",Goals!D71)</f>
        <v/>
      </c>
      <c r="E122" s="1" t="str">
        <f>IF(Goals!A71="","",Goals!E71)</f>
        <v/>
      </c>
      <c r="F122" s="1" t="str">
        <f>IF(Goals!A71="","",Goals!F71)</f>
        <v/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 t="str">
        <f>IF(Goals!A72="","",Goals!A72)</f>
        <v/>
      </c>
      <c r="B123" s="1" t="str">
        <f>IF(Goals!A72="","",Goals!B72)</f>
        <v/>
      </c>
      <c r="C123" s="1" t="str">
        <f>IF(Goals!A72="","",Goals!C72)</f>
        <v/>
      </c>
      <c r="D123" s="1" t="str">
        <f>IF(Goals!A72="","",Goals!D72)</f>
        <v/>
      </c>
      <c r="E123" s="1" t="str">
        <f>IF(Goals!A72="","",Goals!E72)</f>
        <v/>
      </c>
      <c r="F123" s="1" t="str">
        <f>IF(Goals!A72="","",Goals!F72)</f>
        <v/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 t="str">
        <f>IF(Goals!A73="","",Goals!A73)</f>
        <v/>
      </c>
      <c r="B124" s="1" t="str">
        <f>IF(Goals!A73="","",Goals!B73)</f>
        <v/>
      </c>
      <c r="C124" s="1" t="str">
        <f>IF(Goals!A73="","",Goals!C73)</f>
        <v/>
      </c>
      <c r="D124" s="1" t="str">
        <f>IF(Goals!A73="","",Goals!D73)</f>
        <v/>
      </c>
      <c r="E124" s="1" t="str">
        <f>IF(Goals!A73="","",Goals!E73)</f>
        <v/>
      </c>
      <c r="F124" s="1" t="str">
        <f>IF(Goals!A73="","",Goals!F73)</f>
        <v/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 t="str">
        <f>IF(Goals!A74="","",Goals!A74)</f>
        <v/>
      </c>
      <c r="B125" s="1" t="str">
        <f>IF(Goals!A74="","",Goals!B74)</f>
        <v/>
      </c>
      <c r="C125" s="1" t="str">
        <f>IF(Goals!A74="","",Goals!C74)</f>
        <v/>
      </c>
      <c r="D125" s="1" t="str">
        <f>IF(Goals!A74="","",Goals!D74)</f>
        <v/>
      </c>
      <c r="E125" s="1" t="str">
        <f>IF(Goals!A74="","",Goals!E74)</f>
        <v/>
      </c>
      <c r="F125" s="1" t="str">
        <f>IF(Goals!A74="","",Goals!F74)</f>
        <v/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 t="str">
        <f>IF(Goals!A75="","",Goals!A75)</f>
        <v/>
      </c>
      <c r="B126" s="1" t="str">
        <f>IF(Goals!A75="","",Goals!B75)</f>
        <v/>
      </c>
      <c r="C126" s="1" t="str">
        <f>IF(Goals!A75="","",Goals!C75)</f>
        <v/>
      </c>
      <c r="D126" s="1" t="str">
        <f>IF(Goals!A75="","",Goals!D75)</f>
        <v/>
      </c>
      <c r="E126" s="1" t="str">
        <f>IF(Goals!A75="","",Goals!E75)</f>
        <v/>
      </c>
      <c r="F126" s="1" t="str">
        <f>IF(Goals!A75="","",Goals!F75)</f>
        <v/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 t="str">
        <f>IF(Goals!A76="","",Goals!A76)</f>
        <v/>
      </c>
      <c r="B127" s="1" t="str">
        <f>IF(Goals!A76="","",Goals!B76)</f>
        <v/>
      </c>
      <c r="C127" s="1" t="str">
        <f>IF(Goals!A76="","",Goals!C76)</f>
        <v/>
      </c>
      <c r="D127" s="1" t="str">
        <f>IF(Goals!A76="","",Goals!D76)</f>
        <v/>
      </c>
      <c r="E127" s="1" t="str">
        <f>IF(Goals!A76="","",Goals!E76)</f>
        <v/>
      </c>
      <c r="F127" s="1" t="str">
        <f>IF(Goals!A76="","",Goals!F76)</f>
        <v/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 t="str">
        <f>IF(Goals!A77="","",Goals!A77)</f>
        <v/>
      </c>
      <c r="B128" s="1" t="str">
        <f>IF(Goals!A77="","",Goals!B77)</f>
        <v/>
      </c>
      <c r="C128" s="1" t="str">
        <f>IF(Goals!A77="","",Goals!C77)</f>
        <v/>
      </c>
      <c r="D128" s="1" t="str">
        <f>IF(Goals!A77="","",Goals!D77)</f>
        <v/>
      </c>
      <c r="E128" s="1" t="str">
        <f>IF(Goals!A77="","",Goals!E77)</f>
        <v/>
      </c>
      <c r="F128" s="1" t="str">
        <f>IF(Goals!A77="","",Goals!F77)</f>
        <v/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 t="str">
        <f>IF(Goals!A78="","",Goals!A78)</f>
        <v/>
      </c>
      <c r="B129" s="1" t="str">
        <f>IF(Goals!A78="","",Goals!B78)</f>
        <v/>
      </c>
      <c r="C129" s="1" t="str">
        <f>IF(Goals!A78="","",Goals!C78)</f>
        <v/>
      </c>
      <c r="D129" s="1" t="str">
        <f>IF(Goals!A78="","",Goals!D78)</f>
        <v/>
      </c>
      <c r="E129" s="1" t="str">
        <f>IF(Goals!A78="","",Goals!E78)</f>
        <v/>
      </c>
      <c r="F129" s="1" t="str">
        <f>IF(Goals!A78="","",Goals!F78)</f>
        <v/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 t="str">
        <f>IF(Goals!A79="","",Goals!A79)</f>
        <v/>
      </c>
      <c r="B130" s="1" t="str">
        <f>IF(Goals!A79="","",Goals!B79)</f>
        <v/>
      </c>
      <c r="C130" s="1" t="str">
        <f>IF(Goals!A79="","",Goals!C79)</f>
        <v/>
      </c>
      <c r="D130" s="1" t="str">
        <f>IF(Goals!A79="","",Goals!D79)</f>
        <v/>
      </c>
      <c r="E130" s="1" t="str">
        <f>IF(Goals!A79="","",Goals!E79)</f>
        <v/>
      </c>
      <c r="F130" s="1" t="str">
        <f>IF(Goals!A79="","",Goals!F79)</f>
        <v/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 t="str">
        <f>IF(Goals!A80="","",Goals!A80)</f>
        <v/>
      </c>
      <c r="B131" s="1" t="str">
        <f>IF(Goals!A80="","",Goals!B80)</f>
        <v/>
      </c>
      <c r="C131" s="1" t="str">
        <f>IF(Goals!A80="","",Goals!C80)</f>
        <v/>
      </c>
      <c r="D131" s="1" t="str">
        <f>IF(Goals!A80="","",Goals!D80)</f>
        <v/>
      </c>
      <c r="E131" s="1" t="str">
        <f>IF(Goals!A80="","",Goals!E80)</f>
        <v/>
      </c>
      <c r="F131" s="1" t="str">
        <f>IF(Goals!A80="","",Goals!F80)</f>
        <v/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 t="str">
        <f>IF(Goals!A81="","",Goals!A81)</f>
        <v/>
      </c>
      <c r="B132" s="1" t="str">
        <f>IF(Goals!A81="","",Goals!B81)</f>
        <v/>
      </c>
      <c r="C132" s="1" t="str">
        <f>IF(Goals!A81="","",Goals!C81)</f>
        <v/>
      </c>
      <c r="D132" s="1" t="str">
        <f>IF(Goals!A81="","",Goals!D81)</f>
        <v/>
      </c>
      <c r="E132" s="1" t="str">
        <f>IF(Goals!A81="","",Goals!E81)</f>
        <v/>
      </c>
      <c r="F132" s="1" t="str">
        <f>IF(Goals!A81="","",Goals!F81)</f>
        <v/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 t="str">
        <f>IF(Goals!A82="","",Goals!A82)</f>
        <v/>
      </c>
      <c r="B133" s="1" t="str">
        <f>IF(Goals!A82="","",Goals!B82)</f>
        <v/>
      </c>
      <c r="C133" s="1" t="str">
        <f>IF(Goals!A82="","",Goals!C82)</f>
        <v/>
      </c>
      <c r="D133" s="1" t="str">
        <f>IF(Goals!A82="","",Goals!D82)</f>
        <v/>
      </c>
      <c r="E133" s="1" t="str">
        <f>IF(Goals!A82="","",Goals!E82)</f>
        <v/>
      </c>
      <c r="F133" s="1" t="str">
        <f>IF(Goals!A82="","",Goals!F82)</f>
        <v/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 t="str">
        <f>IF(Goals!A83="","",Goals!A83)</f>
        <v/>
      </c>
      <c r="B134" s="1" t="str">
        <f>IF(Goals!A83="","",Goals!B83)</f>
        <v/>
      </c>
      <c r="C134" s="1" t="str">
        <f>IF(Goals!A83="","",Goals!C83)</f>
        <v/>
      </c>
      <c r="D134" s="1" t="str">
        <f>IF(Goals!A83="","",Goals!D83)</f>
        <v/>
      </c>
      <c r="E134" s="1" t="str">
        <f>IF(Goals!A83="","",Goals!E83)</f>
        <v/>
      </c>
      <c r="F134" s="1" t="str">
        <f>IF(Goals!A83="","",Goals!F83)</f>
        <v/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 t="str">
        <f>IF(Goals!A84="","",Goals!A84)</f>
        <v/>
      </c>
      <c r="B135" s="1" t="str">
        <f>IF(Goals!A84="","",Goals!B84)</f>
        <v/>
      </c>
      <c r="C135" s="1" t="str">
        <f>IF(Goals!A84="","",Goals!C84)</f>
        <v/>
      </c>
      <c r="D135" s="1" t="str">
        <f>IF(Goals!A84="","",Goals!D84)</f>
        <v/>
      </c>
      <c r="E135" s="1" t="str">
        <f>IF(Goals!A84="","",Goals!E84)</f>
        <v/>
      </c>
      <c r="F135" s="1" t="str">
        <f>IF(Goals!A84="","",Goals!F84)</f>
        <v/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 t="str">
        <f>IF(Goals!A85="","",Goals!A85)</f>
        <v/>
      </c>
      <c r="B136" s="1" t="str">
        <f>IF(Goals!A85="","",Goals!B85)</f>
        <v/>
      </c>
      <c r="C136" s="1" t="str">
        <f>IF(Goals!A85="","",Goals!C85)</f>
        <v/>
      </c>
      <c r="D136" s="1" t="str">
        <f>IF(Goals!A85="","",Goals!D85)</f>
        <v/>
      </c>
      <c r="E136" s="1" t="str">
        <f>IF(Goals!A85="","",Goals!E85)</f>
        <v/>
      </c>
      <c r="F136" s="1" t="str">
        <f>IF(Goals!A85="","",Goals!F85)</f>
        <v/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 t="str">
        <f>IF(Goals!A86="","",Goals!A86)</f>
        <v/>
      </c>
      <c r="B137" s="1" t="str">
        <f>IF(Goals!A86="","",Goals!B86)</f>
        <v/>
      </c>
      <c r="C137" s="1" t="str">
        <f>IF(Goals!A86="","",Goals!C86)</f>
        <v/>
      </c>
      <c r="D137" s="1" t="str">
        <f>IF(Goals!A86="","",Goals!D86)</f>
        <v/>
      </c>
      <c r="E137" s="1" t="str">
        <f>IF(Goals!A86="","",Goals!E86)</f>
        <v/>
      </c>
      <c r="F137" s="1" t="str">
        <f>IF(Goals!A86="","",Goals!F86)</f>
        <v/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 t="str">
        <f>IF(Goals!A87="","",Goals!A87)</f>
        <v/>
      </c>
      <c r="B138" s="1" t="str">
        <f>IF(Goals!A87="","",Goals!B87)</f>
        <v/>
      </c>
      <c r="C138" s="1" t="str">
        <f>IF(Goals!A87="","",Goals!C87)</f>
        <v/>
      </c>
      <c r="D138" s="1" t="str">
        <f>IF(Goals!A87="","",Goals!D87)</f>
        <v/>
      </c>
      <c r="E138" s="1" t="str">
        <f>IF(Goals!A87="","",Goals!E87)</f>
        <v/>
      </c>
      <c r="F138" s="1" t="str">
        <f>IF(Goals!A87="","",Goals!F87)</f>
        <v/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 t="str">
        <f>IF(Goals!A88="","",Goals!A88)</f>
        <v/>
      </c>
      <c r="B139" s="1" t="str">
        <f>IF(Goals!A88="","",Goals!B88)</f>
        <v/>
      </c>
      <c r="C139" s="1" t="str">
        <f>IF(Goals!A88="","",Goals!C88)</f>
        <v/>
      </c>
      <c r="D139" s="1" t="str">
        <f>IF(Goals!A88="","",Goals!D88)</f>
        <v/>
      </c>
      <c r="E139" s="1" t="str">
        <f>IF(Goals!A88="","",Goals!E88)</f>
        <v/>
      </c>
      <c r="F139" s="1" t="str">
        <f>IF(Goals!A88="","",Goals!F88)</f>
        <v/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 t="str">
        <f>IF(Goals!A89="","",Goals!A89)</f>
        <v/>
      </c>
      <c r="B140" s="1" t="str">
        <f>IF(Goals!A89="","",Goals!B89)</f>
        <v/>
      </c>
      <c r="C140" s="1" t="str">
        <f>IF(Goals!A89="","",Goals!C89)</f>
        <v/>
      </c>
      <c r="D140" s="1" t="str">
        <f>IF(Goals!A89="","",Goals!D89)</f>
        <v/>
      </c>
      <c r="E140" s="1" t="str">
        <f>IF(Goals!A89="","",Goals!E89)</f>
        <v/>
      </c>
      <c r="F140" s="1" t="str">
        <f>IF(Goals!A89="","",Goals!F89)</f>
        <v/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 t="str">
        <f>IF(Goals!A90="","",Goals!A90)</f>
        <v/>
      </c>
      <c r="B141" s="1" t="str">
        <f>IF(Goals!A90="","",Goals!B90)</f>
        <v/>
      </c>
      <c r="C141" s="1" t="str">
        <f>IF(Goals!A90="","",Goals!C90)</f>
        <v/>
      </c>
      <c r="D141" s="1" t="str">
        <f>IF(Goals!A90="","",Goals!D90)</f>
        <v/>
      </c>
      <c r="E141" s="1" t="str">
        <f>IF(Goals!A90="","",Goals!E90)</f>
        <v/>
      </c>
      <c r="F141" s="1" t="str">
        <f>IF(Goals!A90="","",Goals!F90)</f>
        <v/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 t="str">
        <f>IF(Goals!A91="","",Goals!A91)</f>
        <v/>
      </c>
      <c r="B142" s="1" t="str">
        <f>IF(Goals!A91="","",Goals!B91)</f>
        <v/>
      </c>
      <c r="C142" s="1" t="str">
        <f>IF(Goals!A91="","",Goals!C91)</f>
        <v/>
      </c>
      <c r="D142" s="1" t="str">
        <f>IF(Goals!A91="","",Goals!D91)</f>
        <v/>
      </c>
      <c r="E142" s="1" t="str">
        <f>IF(Goals!A91="","",Goals!E91)</f>
        <v/>
      </c>
      <c r="F142" s="1" t="str">
        <f>IF(Goals!A91="","",Goals!F91)</f>
        <v/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 t="str">
        <f>IF(Goals!A92="","",Goals!A92)</f>
        <v/>
      </c>
      <c r="B143" s="1" t="str">
        <f>IF(Goals!A92="","",Goals!B92)</f>
        <v/>
      </c>
      <c r="C143" s="1" t="str">
        <f>IF(Goals!A92="","",Goals!C92)</f>
        <v/>
      </c>
      <c r="D143" s="1" t="str">
        <f>IF(Goals!A92="","",Goals!D92)</f>
        <v/>
      </c>
      <c r="E143" s="1" t="str">
        <f>IF(Goals!A92="","",Goals!E92)</f>
        <v/>
      </c>
      <c r="F143" s="1" t="str">
        <f>IF(Goals!A92="","",Goals!F92)</f>
        <v/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 t="str">
        <f>IF(Goals!A93="","",Goals!A93)</f>
        <v/>
      </c>
      <c r="B144" s="1" t="str">
        <f>IF(Goals!A93="","",Goals!B93)</f>
        <v/>
      </c>
      <c r="C144" s="1" t="str">
        <f>IF(Goals!A93="","",Goals!C93)</f>
        <v/>
      </c>
      <c r="D144" s="1" t="str">
        <f>IF(Goals!A93="","",Goals!D93)</f>
        <v/>
      </c>
      <c r="E144" s="1" t="str">
        <f>IF(Goals!A93="","",Goals!E93)</f>
        <v/>
      </c>
      <c r="F144" s="1" t="str">
        <f>IF(Goals!A93="","",Goals!F93)</f>
        <v/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 t="str">
        <f>IF(Goals!A94="","",Goals!A94)</f>
        <v/>
      </c>
      <c r="B145" s="1" t="str">
        <f>IF(Goals!A94="","",Goals!B94)</f>
        <v/>
      </c>
      <c r="C145" s="1" t="str">
        <f>IF(Goals!A94="","",Goals!C94)</f>
        <v/>
      </c>
      <c r="D145" s="1" t="str">
        <f>IF(Goals!A94="","",Goals!D94)</f>
        <v/>
      </c>
      <c r="E145" s="1" t="str">
        <f>IF(Goals!A94="","",Goals!E94)</f>
        <v/>
      </c>
      <c r="F145" s="1" t="str">
        <f>IF(Goals!A94="","",Goals!F94)</f>
        <v/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 t="str">
        <f>IF(Goals!A95="","",Goals!A95)</f>
        <v/>
      </c>
      <c r="B146" s="1" t="str">
        <f>IF(Goals!A95="","",Goals!B95)</f>
        <v/>
      </c>
      <c r="C146" s="1" t="str">
        <f>IF(Goals!A95="","",Goals!C95)</f>
        <v/>
      </c>
      <c r="D146" s="1" t="str">
        <f>IF(Goals!A95="","",Goals!D95)</f>
        <v/>
      </c>
      <c r="E146" s="1" t="str">
        <f>IF(Goals!A95="","",Goals!E95)</f>
        <v/>
      </c>
      <c r="F146" s="1" t="str">
        <f>IF(Goals!A95="","",Goals!F95)</f>
        <v/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 t="str">
        <f>IF(Goals!A96="","",Goals!A96)</f>
        <v/>
      </c>
      <c r="B147" s="1" t="str">
        <f>IF(Goals!A96="","",Goals!B96)</f>
        <v/>
      </c>
      <c r="C147" s="1" t="str">
        <f>IF(Goals!A96="","",Goals!C96)</f>
        <v/>
      </c>
      <c r="D147" s="1" t="str">
        <f>IF(Goals!A96="","",Goals!D96)</f>
        <v/>
      </c>
      <c r="E147" s="1" t="str">
        <f>IF(Goals!A96="","",Goals!E96)</f>
        <v/>
      </c>
      <c r="F147" s="1" t="str">
        <f>IF(Goals!A96="","",Goals!F96)</f>
        <v/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 t="str">
        <f>IF(Goals!A97="","",Goals!A97)</f>
        <v/>
      </c>
      <c r="B148" s="1" t="str">
        <f>IF(Goals!A97="","",Goals!B97)</f>
        <v/>
      </c>
      <c r="C148" s="1" t="str">
        <f>IF(Goals!A97="","",Goals!C97)</f>
        <v/>
      </c>
      <c r="D148" s="1" t="str">
        <f>IF(Goals!A97="","",Goals!D97)</f>
        <v/>
      </c>
      <c r="E148" s="1" t="str">
        <f>IF(Goals!A97="","",Goals!E97)</f>
        <v/>
      </c>
      <c r="F148" s="1" t="str">
        <f>IF(Goals!A97="","",Goals!F97)</f>
        <v/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 t="str">
        <f>IF(Goals!A98="","",Goals!A98)</f>
        <v/>
      </c>
      <c r="B149" s="1" t="str">
        <f>IF(Goals!A98="","",Goals!B98)</f>
        <v/>
      </c>
      <c r="C149" s="1" t="str">
        <f>IF(Goals!A98="","",Goals!C98)</f>
        <v/>
      </c>
      <c r="D149" s="1" t="str">
        <f>IF(Goals!A98="","",Goals!D98)</f>
        <v/>
      </c>
      <c r="E149" s="1" t="str">
        <f>IF(Goals!A98="","",Goals!E98)</f>
        <v/>
      </c>
      <c r="F149" s="1" t="str">
        <f>IF(Goals!A98="","",Goals!F98)</f>
        <v/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 t="str">
        <f>IF(Goals!A99="","",Goals!A99)</f>
        <v/>
      </c>
      <c r="B150" s="1" t="str">
        <f>IF(Goals!A99="","",Goals!B99)</f>
        <v/>
      </c>
      <c r="C150" s="1" t="str">
        <f>IF(Goals!A99="","",Goals!C99)</f>
        <v/>
      </c>
      <c r="D150" s="1" t="str">
        <f>IF(Goals!A99="","",Goals!D99)</f>
        <v/>
      </c>
      <c r="E150" s="1" t="str">
        <f>IF(Goals!A99="","",Goals!E99)</f>
        <v/>
      </c>
      <c r="F150" s="1" t="str">
        <f>IF(Goals!A99="","",Goals!F99)</f>
        <v/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 t="str">
        <f>IF(Goals!A100="","",Goals!A100)</f>
        <v/>
      </c>
      <c r="B151" s="1" t="str">
        <f>IF(Goals!A100="","",Goals!B100)</f>
        <v/>
      </c>
      <c r="C151" s="1" t="str">
        <f>IF(Goals!A100="","",Goals!C100)</f>
        <v/>
      </c>
      <c r="D151" s="1" t="str">
        <f>IF(Goals!A100="","",Goals!D100)</f>
        <v/>
      </c>
      <c r="E151" s="1" t="str">
        <f>IF(Goals!A100="","",Goals!E100)</f>
        <v/>
      </c>
      <c r="F151" s="1" t="str">
        <f>IF(Goals!A100="","",Goals!F100)</f>
        <v/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 t="str">
        <f>IF(Goals!A101="","",Goals!A101)</f>
        <v/>
      </c>
      <c r="B152" s="1" t="str">
        <f>IF(Goals!A101="","",Goals!B101)</f>
        <v/>
      </c>
      <c r="C152" s="1" t="str">
        <f>IF(Goals!A101="","",Goals!C101)</f>
        <v/>
      </c>
      <c r="D152" s="1" t="str">
        <f>IF(Goals!A101="","",Goals!D101)</f>
        <v/>
      </c>
      <c r="E152" s="1" t="str">
        <f>IF(Goals!A101="","",Goals!E101)</f>
        <v/>
      </c>
      <c r="F152" s="1" t="str">
        <f>IF(Goals!A101="","",Goals!F101)</f>
        <v/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 t="str">
        <f>IF(Goals!A102="","",Goals!A102)</f>
        <v/>
      </c>
      <c r="B153" s="1" t="str">
        <f>IF(Goals!A102="","",Goals!B102)</f>
        <v/>
      </c>
      <c r="C153" s="1" t="str">
        <f>IF(Goals!A102="","",Goals!C102)</f>
        <v/>
      </c>
      <c r="D153" s="1" t="str">
        <f>IF(Goals!A102="","",Goals!D102)</f>
        <v/>
      </c>
      <c r="E153" s="1" t="str">
        <f>IF(Goals!A102="","",Goals!E102)</f>
        <v/>
      </c>
      <c r="F153" s="1" t="str">
        <f>IF(Goals!A102="","",Goals!F102)</f>
        <v/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 t="str">
        <f>IF(Goals!A103="","",Goals!A103)</f>
        <v/>
      </c>
      <c r="B154" s="1" t="str">
        <f>IF(Goals!A103="","",Goals!B103)</f>
        <v/>
      </c>
      <c r="C154" s="1" t="str">
        <f>IF(Goals!A103="","",Goals!C103)</f>
        <v/>
      </c>
      <c r="D154" s="1" t="str">
        <f>IF(Goals!A103="","",Goals!D103)</f>
        <v/>
      </c>
      <c r="E154" s="1" t="str">
        <f>IF(Goals!A103="","",Goals!E103)</f>
        <v/>
      </c>
      <c r="F154" s="1" t="str">
        <f>IF(Goals!A103="","",Goals!F103)</f>
        <v/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 t="str">
        <f>IF(Goals!A104="","",Goals!A104)</f>
        <v/>
      </c>
      <c r="B155" s="1" t="str">
        <f>IF(Goals!A104="","",Goals!B104)</f>
        <v/>
      </c>
      <c r="C155" s="1" t="str">
        <f>IF(Goals!A104="","",Goals!C104)</f>
        <v/>
      </c>
      <c r="D155" s="1" t="str">
        <f>IF(Goals!A104="","",Goals!D104)</f>
        <v/>
      </c>
      <c r="E155" s="1" t="str">
        <f>IF(Goals!A104="","",Goals!E104)</f>
        <v/>
      </c>
      <c r="F155" s="1" t="str">
        <f>IF(Goals!A104="","",Goals!F104)</f>
        <v/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 t="str">
        <f>IF(Goals!A105="","",Goals!A105)</f>
        <v/>
      </c>
      <c r="B156" s="1" t="str">
        <f>IF(Goals!A105="","",Goals!B105)</f>
        <v/>
      </c>
      <c r="C156" s="1" t="str">
        <f>IF(Goals!A105="","",Goals!C105)</f>
        <v/>
      </c>
      <c r="D156" s="1" t="str">
        <f>IF(Goals!A105="","",Goals!D105)</f>
        <v/>
      </c>
      <c r="E156" s="1" t="str">
        <f>IF(Goals!A105="","",Goals!E105)</f>
        <v/>
      </c>
      <c r="F156" s="1" t="str">
        <f>IF(Goals!A105="","",Goals!F105)</f>
        <v/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 t="str">
        <f>IF(Goals!A106="","",Goals!A106)</f>
        <v/>
      </c>
      <c r="B157" s="1" t="str">
        <f>IF(Goals!A106="","",Goals!B106)</f>
        <v/>
      </c>
      <c r="C157" s="1" t="str">
        <f>IF(Goals!A106="","",Goals!C106)</f>
        <v/>
      </c>
      <c r="D157" s="1" t="str">
        <f>IF(Goals!A106="","",Goals!D106)</f>
        <v/>
      </c>
      <c r="E157" s="1" t="str">
        <f>IF(Goals!A106="","",Goals!E106)</f>
        <v/>
      </c>
      <c r="F157" s="1" t="str">
        <f>IF(Goals!A106="","",Goals!F106)</f>
        <v/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 t="str">
        <f>IF(Goals!A107="","",Goals!A107)</f>
        <v/>
      </c>
      <c r="B158" s="1" t="str">
        <f>IF(Goals!A107="","",Goals!B107)</f>
        <v/>
      </c>
      <c r="C158" s="1" t="str">
        <f>IF(Goals!A107="","",Goals!C107)</f>
        <v/>
      </c>
      <c r="D158" s="1" t="str">
        <f>IF(Goals!A107="","",Goals!D107)</f>
        <v/>
      </c>
      <c r="E158" s="1" t="str">
        <f>IF(Goals!A107="","",Goals!E107)</f>
        <v/>
      </c>
      <c r="F158" s="1" t="str">
        <f>IF(Goals!A107="","",Goals!F107)</f>
        <v/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 t="str">
        <f>IF(Goals!A108="","",Goals!A108)</f>
        <v/>
      </c>
      <c r="B159" s="1" t="str">
        <f>IF(Goals!A108="","",Goals!B108)</f>
        <v/>
      </c>
      <c r="C159" s="1" t="str">
        <f>IF(Goals!A108="","",Goals!C108)</f>
        <v/>
      </c>
      <c r="D159" s="1" t="str">
        <f>IF(Goals!A108="","",Goals!D108)</f>
        <v/>
      </c>
      <c r="E159" s="1" t="str">
        <f>IF(Goals!A108="","",Goals!E108)</f>
        <v/>
      </c>
      <c r="F159" s="1" t="str">
        <f>IF(Goals!A108="","",Goals!F108)</f>
        <v/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 t="str">
        <f>IF(Goals!A109="","",Goals!A109)</f>
        <v/>
      </c>
      <c r="B160" s="1" t="str">
        <f>IF(Goals!A109="","",Goals!B109)</f>
        <v/>
      </c>
      <c r="C160" s="1" t="str">
        <f>IF(Goals!A109="","",Goals!C109)</f>
        <v/>
      </c>
      <c r="D160" s="1" t="str">
        <f>IF(Goals!A109="","",Goals!D109)</f>
        <v/>
      </c>
      <c r="E160" s="1" t="str">
        <f>IF(Goals!A109="","",Goals!E109)</f>
        <v/>
      </c>
      <c r="F160" s="1" t="str">
        <f>IF(Goals!A109="","",Goals!F109)</f>
        <v/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 t="str">
        <f>IF(Goals!A110="","",Goals!A110)</f>
        <v/>
      </c>
      <c r="B161" s="1" t="str">
        <f>IF(Goals!A110="","",Goals!B110)</f>
        <v/>
      </c>
      <c r="C161" s="1" t="str">
        <f>IF(Goals!A110="","",Goals!C110)</f>
        <v/>
      </c>
      <c r="D161" s="1" t="str">
        <f>IF(Goals!A110="","",Goals!D110)</f>
        <v/>
      </c>
      <c r="E161" s="1" t="str">
        <f>IF(Goals!A110="","",Goals!E110)</f>
        <v/>
      </c>
      <c r="F161" s="1" t="str">
        <f>IF(Goals!A110="","",Goals!F110)</f>
        <v/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 t="str">
        <f>IF(Goals!A111="","",Goals!A111)</f>
        <v/>
      </c>
      <c r="B162" s="1" t="str">
        <f>IF(Goals!A111="","",Goals!B111)</f>
        <v/>
      </c>
      <c r="C162" s="1" t="str">
        <f>IF(Goals!A111="","",Goals!C111)</f>
        <v/>
      </c>
      <c r="D162" s="1" t="str">
        <f>IF(Goals!A111="","",Goals!D111)</f>
        <v/>
      </c>
      <c r="E162" s="1" t="str">
        <f>IF(Goals!A111="","",Goals!E111)</f>
        <v/>
      </c>
      <c r="F162" s="1" t="str">
        <f>IF(Goals!A111="","",Goals!F111)</f>
        <v/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 t="str">
        <f>IF(Goals!A112="","",Goals!A112)</f>
        <v/>
      </c>
      <c r="B163" s="1" t="str">
        <f>IF(Goals!A112="","",Goals!B112)</f>
        <v/>
      </c>
      <c r="C163" s="1" t="str">
        <f>IF(Goals!A112="","",Goals!C112)</f>
        <v/>
      </c>
      <c r="D163" s="1" t="str">
        <f>IF(Goals!A112="","",Goals!D112)</f>
        <v/>
      </c>
      <c r="E163" s="1" t="str">
        <f>IF(Goals!A112="","",Goals!E112)</f>
        <v/>
      </c>
      <c r="F163" s="1" t="str">
        <f>IF(Goals!A112="","",Goals!F112)</f>
        <v/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 t="str">
        <f>IF(Goals!A113="","",Goals!A113)</f>
        <v/>
      </c>
      <c r="B164" s="1" t="str">
        <f>IF(Goals!A113="","",Goals!B113)</f>
        <v/>
      </c>
      <c r="C164" s="1" t="str">
        <f>IF(Goals!A113="","",Goals!C113)</f>
        <v/>
      </c>
      <c r="D164" s="1" t="str">
        <f>IF(Goals!A113="","",Goals!D113)</f>
        <v/>
      </c>
      <c r="E164" s="1" t="str">
        <f>IF(Goals!A113="","",Goals!E113)</f>
        <v/>
      </c>
      <c r="F164" s="1" t="str">
        <f>IF(Goals!A113="","",Goals!F113)</f>
        <v/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 t="str">
        <f>IF(Goals!A114="","",Goals!A114)</f>
        <v/>
      </c>
      <c r="B165" s="1" t="str">
        <f>IF(Goals!A114="","",Goals!B114)</f>
        <v/>
      </c>
      <c r="C165" s="1" t="str">
        <f>IF(Goals!A114="","",Goals!C114)</f>
        <v/>
      </c>
      <c r="D165" s="1" t="str">
        <f>IF(Goals!A114="","",Goals!D114)</f>
        <v/>
      </c>
      <c r="E165" s="1" t="str">
        <f>IF(Goals!A114="","",Goals!E114)</f>
        <v/>
      </c>
      <c r="F165" s="1" t="str">
        <f>IF(Goals!A114="","",Goals!F114)</f>
        <v/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 t="str">
        <f>IF(Goals!A115="","",Goals!A115)</f>
        <v/>
      </c>
      <c r="B166" s="1" t="str">
        <f>IF(Goals!A115="","",Goals!B115)</f>
        <v/>
      </c>
      <c r="C166" s="1" t="str">
        <f>IF(Goals!A115="","",Goals!C115)</f>
        <v/>
      </c>
      <c r="D166" s="1" t="str">
        <f>IF(Goals!A115="","",Goals!D115)</f>
        <v/>
      </c>
      <c r="E166" s="1" t="str">
        <f>IF(Goals!A115="","",Goals!E115)</f>
        <v/>
      </c>
      <c r="F166" s="1" t="str">
        <f>IF(Goals!A115="","",Goals!F115)</f>
        <v/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 t="str">
        <f>IF(Goals!A116="","",Goals!A116)</f>
        <v/>
      </c>
      <c r="B167" s="1" t="str">
        <f>IF(Goals!A116="","",Goals!B116)</f>
        <v/>
      </c>
      <c r="C167" s="1" t="str">
        <f>IF(Goals!A116="","",Goals!C116)</f>
        <v/>
      </c>
      <c r="D167" s="1" t="str">
        <f>IF(Goals!A116="","",Goals!D116)</f>
        <v/>
      </c>
      <c r="E167" s="1" t="str">
        <f>IF(Goals!A116="","",Goals!E116)</f>
        <v/>
      </c>
      <c r="F167" s="1" t="str">
        <f>IF(Goals!A116="","",Goals!F116)</f>
        <v/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 t="str">
        <f>IF(Goals!A117="","",Goals!A117)</f>
        <v/>
      </c>
      <c r="B168" s="1" t="str">
        <f>IF(Goals!A117="","",Goals!B117)</f>
        <v/>
      </c>
      <c r="C168" s="1" t="str">
        <f>IF(Goals!A117="","",Goals!C117)</f>
        <v/>
      </c>
      <c r="D168" s="1" t="str">
        <f>IF(Goals!A117="","",Goals!D117)</f>
        <v/>
      </c>
      <c r="E168" s="1" t="str">
        <f>IF(Goals!A117="","",Goals!E117)</f>
        <v/>
      </c>
      <c r="F168" s="1" t="str">
        <f>IF(Goals!A117="","",Goals!F117)</f>
        <v/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 t="str">
        <f>IF(Goals!A118="","",Goals!A118)</f>
        <v/>
      </c>
      <c r="B169" s="1" t="str">
        <f>IF(Goals!A118="","",Goals!B118)</f>
        <v/>
      </c>
      <c r="C169" s="1" t="str">
        <f>IF(Goals!A118="","",Goals!C118)</f>
        <v/>
      </c>
      <c r="D169" s="1" t="str">
        <f>IF(Goals!A118="","",Goals!D118)</f>
        <v/>
      </c>
      <c r="E169" s="1" t="str">
        <f>IF(Goals!A118="","",Goals!E118)</f>
        <v/>
      </c>
      <c r="F169" s="1" t="str">
        <f>IF(Goals!A118="","",Goals!F118)</f>
        <v/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 t="str">
        <f>IF(Goals!A119="","",Goals!A119)</f>
        <v/>
      </c>
      <c r="B170" s="1" t="str">
        <f>IF(Goals!A119="","",Goals!B119)</f>
        <v/>
      </c>
      <c r="C170" s="1" t="str">
        <f>IF(Goals!A119="","",Goals!C119)</f>
        <v/>
      </c>
      <c r="D170" s="1" t="str">
        <f>IF(Goals!A119="","",Goals!D119)</f>
        <v/>
      </c>
      <c r="E170" s="1" t="str">
        <f>IF(Goals!A119="","",Goals!E119)</f>
        <v/>
      </c>
      <c r="F170" s="1" t="str">
        <f>IF(Goals!A119="","",Goals!F119)</f>
        <v/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 t="str">
        <f>IF(Goals!A120="","",Goals!A120)</f>
        <v/>
      </c>
      <c r="B171" s="1" t="str">
        <f>IF(Goals!A120="","",Goals!B120)</f>
        <v/>
      </c>
      <c r="C171" s="1" t="str">
        <f>IF(Goals!A120="","",Goals!C120)</f>
        <v/>
      </c>
      <c r="D171" s="1" t="str">
        <f>IF(Goals!A120="","",Goals!D120)</f>
        <v/>
      </c>
      <c r="E171" s="1" t="str">
        <f>IF(Goals!A120="","",Goals!E120)</f>
        <v/>
      </c>
      <c r="F171" s="1" t="str">
        <f>IF(Goals!A120="","",Goals!F120)</f>
        <v/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 t="str">
        <f>IF(Goals!A121="","",Goals!A121)</f>
        <v/>
      </c>
      <c r="B172" s="1" t="str">
        <f>IF(Goals!A121="","",Goals!B121)</f>
        <v/>
      </c>
      <c r="C172" s="1" t="str">
        <f>IF(Goals!A121="","",Goals!C121)</f>
        <v/>
      </c>
      <c r="D172" s="1" t="str">
        <f>IF(Goals!A121="","",Goals!D121)</f>
        <v/>
      </c>
      <c r="E172" s="1" t="str">
        <f>IF(Goals!A121="","",Goals!E121)</f>
        <v/>
      </c>
      <c r="F172" s="1" t="str">
        <f>IF(Goals!A121="","",Goals!F121)</f>
        <v/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 t="str">
        <f>IF(Goals!A122="","",Goals!A122)</f>
        <v/>
      </c>
      <c r="B173" s="1" t="str">
        <f>IF(Goals!A122="","",Goals!B122)</f>
        <v/>
      </c>
      <c r="C173" s="1" t="str">
        <f>IF(Goals!A122="","",Goals!C122)</f>
        <v/>
      </c>
      <c r="D173" s="1" t="str">
        <f>IF(Goals!A122="","",Goals!D122)</f>
        <v/>
      </c>
      <c r="E173" s="1" t="str">
        <f>IF(Goals!A122="","",Goals!E122)</f>
        <v/>
      </c>
      <c r="F173" s="1" t="str">
        <f>IF(Goals!A122="","",Goals!F122)</f>
        <v/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 t="str">
        <f>IF(Goals!A123="","",Goals!A123)</f>
        <v/>
      </c>
      <c r="B174" s="1" t="str">
        <f>IF(Goals!A123="","",Goals!B123)</f>
        <v/>
      </c>
      <c r="C174" s="1" t="str">
        <f>IF(Goals!A123="","",Goals!C123)</f>
        <v/>
      </c>
      <c r="D174" s="1" t="str">
        <f>IF(Goals!A123="","",Goals!D123)</f>
        <v/>
      </c>
      <c r="E174" s="1" t="str">
        <f>IF(Goals!A123="","",Goals!E123)</f>
        <v/>
      </c>
      <c r="F174" s="1" t="str">
        <f>IF(Goals!A123="","",Goals!F123)</f>
        <v/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 t="str">
        <f>IF(Goals!A124="","",Goals!A124)</f>
        <v/>
      </c>
      <c r="B175" s="1" t="str">
        <f>IF(Goals!A124="","",Goals!B124)</f>
        <v/>
      </c>
      <c r="C175" s="1" t="str">
        <f>IF(Goals!A124="","",Goals!C124)</f>
        <v/>
      </c>
      <c r="D175" s="1" t="str">
        <f>IF(Goals!A124="","",Goals!D124)</f>
        <v/>
      </c>
      <c r="E175" s="1" t="str">
        <f>IF(Goals!A124="","",Goals!E124)</f>
        <v/>
      </c>
      <c r="F175" s="1" t="str">
        <f>IF(Goals!A124="","",Goals!F124)</f>
        <v/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 t="str">
        <f>IF(Goals!A125="","",Goals!A125)</f>
        <v/>
      </c>
      <c r="B176" s="1" t="str">
        <f>IF(Goals!A125="","",Goals!B125)</f>
        <v/>
      </c>
      <c r="C176" s="1" t="str">
        <f>IF(Goals!A125="","",Goals!C125)</f>
        <v/>
      </c>
      <c r="D176" s="1" t="str">
        <f>IF(Goals!A125="","",Goals!D125)</f>
        <v/>
      </c>
      <c r="E176" s="1" t="str">
        <f>IF(Goals!A125="","",Goals!E125)</f>
        <v/>
      </c>
      <c r="F176" s="1" t="str">
        <f>IF(Goals!A125="","",Goals!F125)</f>
        <v/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 t="str">
        <f>IF(Goals!A126="","",Goals!A126)</f>
        <v/>
      </c>
      <c r="B177" s="1" t="str">
        <f>IF(Goals!A126="","",Goals!B126)</f>
        <v/>
      </c>
      <c r="C177" s="1" t="str">
        <f>IF(Goals!A126="","",Goals!C126)</f>
        <v/>
      </c>
      <c r="D177" s="1" t="str">
        <f>IF(Goals!A126="","",Goals!D126)</f>
        <v/>
      </c>
      <c r="E177" s="1" t="str">
        <f>IF(Goals!A126="","",Goals!E126)</f>
        <v/>
      </c>
      <c r="F177" s="1" t="str">
        <f>IF(Goals!A126="","",Goals!F126)</f>
        <v/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 t="str">
        <f>IF(Goals!A127="","",Goals!A127)</f>
        <v/>
      </c>
      <c r="B178" s="1" t="str">
        <f>IF(Goals!A127="","",Goals!B127)</f>
        <v/>
      </c>
      <c r="C178" s="1" t="str">
        <f>IF(Goals!A127="","",Goals!C127)</f>
        <v/>
      </c>
      <c r="D178" s="1" t="str">
        <f>IF(Goals!A127="","",Goals!D127)</f>
        <v/>
      </c>
      <c r="E178" s="1" t="str">
        <f>IF(Goals!A127="","",Goals!E127)</f>
        <v/>
      </c>
      <c r="F178" s="1" t="str">
        <f>IF(Goals!A127="","",Goals!F127)</f>
        <v/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 t="str">
        <f>IF(Goals!A128="","",Goals!A128)</f>
        <v/>
      </c>
      <c r="B179" s="1" t="str">
        <f>IF(Goals!A128="","",Goals!B128)</f>
        <v/>
      </c>
      <c r="C179" s="1" t="str">
        <f>IF(Goals!A128="","",Goals!C128)</f>
        <v/>
      </c>
      <c r="D179" s="1" t="str">
        <f>IF(Goals!A128="","",Goals!D128)</f>
        <v/>
      </c>
      <c r="E179" s="1" t="str">
        <f>IF(Goals!A128="","",Goals!E128)</f>
        <v/>
      </c>
      <c r="F179" s="1" t="str">
        <f>IF(Goals!A128="","",Goals!F128)</f>
        <v/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 t="str">
        <f>IF(Goals!A129="","",Goals!A129)</f>
        <v/>
      </c>
      <c r="B180" s="1" t="str">
        <f>IF(Goals!A129="","",Goals!B129)</f>
        <v/>
      </c>
      <c r="C180" s="1" t="str">
        <f>IF(Goals!A129="","",Goals!C129)</f>
        <v/>
      </c>
      <c r="D180" s="1" t="str">
        <f>IF(Goals!A129="","",Goals!D129)</f>
        <v/>
      </c>
      <c r="E180" s="1" t="str">
        <f>IF(Goals!A129="","",Goals!E129)</f>
        <v/>
      </c>
      <c r="F180" s="1" t="str">
        <f>IF(Goals!A129="","",Goals!F129)</f>
        <v/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 t="str">
        <f>IF(Goals!A130="","",Goals!A130)</f>
        <v/>
      </c>
      <c r="B181" s="1" t="str">
        <f>IF(Goals!A130="","",Goals!B130)</f>
        <v/>
      </c>
      <c r="C181" s="1" t="str">
        <f>IF(Goals!A130="","",Goals!C130)</f>
        <v/>
      </c>
      <c r="D181" s="1" t="str">
        <f>IF(Goals!A130="","",Goals!D130)</f>
        <v/>
      </c>
      <c r="E181" s="1" t="str">
        <f>IF(Goals!A130="","",Goals!E130)</f>
        <v/>
      </c>
      <c r="F181" s="1" t="str">
        <f>IF(Goals!A130="","",Goals!F130)</f>
        <v/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 t="str">
        <f>IF(Goals!A131="","",Goals!A131)</f>
        <v/>
      </c>
      <c r="B182" s="1" t="str">
        <f>IF(Goals!A131="","",Goals!B131)</f>
        <v/>
      </c>
      <c r="C182" s="1" t="str">
        <f>IF(Goals!A131="","",Goals!C131)</f>
        <v/>
      </c>
      <c r="D182" s="1" t="str">
        <f>IF(Goals!A131="","",Goals!D131)</f>
        <v/>
      </c>
      <c r="E182" s="1" t="str">
        <f>IF(Goals!A131="","",Goals!E131)</f>
        <v/>
      </c>
      <c r="F182" s="1" t="str">
        <f>IF(Goals!A131="","",Goals!F131)</f>
        <v/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 t="str">
        <f>IF(Goals!A132="","",Goals!A132)</f>
        <v/>
      </c>
      <c r="B183" s="1" t="str">
        <f>IF(Goals!A132="","",Goals!B132)</f>
        <v/>
      </c>
      <c r="C183" s="1" t="str">
        <f>IF(Goals!A132="","",Goals!C132)</f>
        <v/>
      </c>
      <c r="D183" s="1" t="str">
        <f>IF(Goals!A132="","",Goals!D132)</f>
        <v/>
      </c>
      <c r="E183" s="1" t="str">
        <f>IF(Goals!A132="","",Goals!E132)</f>
        <v/>
      </c>
      <c r="F183" s="1" t="str">
        <f>IF(Goals!A132="","",Goals!F132)</f>
        <v/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 t="str">
        <f>IF(Goals!A133="","",Goals!A133)</f>
        <v/>
      </c>
      <c r="B184" s="1" t="str">
        <f>IF(Goals!A133="","",Goals!B133)</f>
        <v/>
      </c>
      <c r="C184" s="1" t="str">
        <f>IF(Goals!A133="","",Goals!C133)</f>
        <v/>
      </c>
      <c r="D184" s="1" t="str">
        <f>IF(Goals!A133="","",Goals!D133)</f>
        <v/>
      </c>
      <c r="E184" s="1" t="str">
        <f>IF(Goals!A133="","",Goals!E133)</f>
        <v/>
      </c>
      <c r="F184" s="1" t="str">
        <f>IF(Goals!A133="","",Goals!F133)</f>
        <v/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 t="str">
        <f>IF(Goals!A134="","",Goals!A134)</f>
        <v/>
      </c>
      <c r="B185" s="1" t="str">
        <f>IF(Goals!A134="","",Goals!B134)</f>
        <v/>
      </c>
      <c r="C185" s="1" t="str">
        <f>IF(Goals!A134="","",Goals!C134)</f>
        <v/>
      </c>
      <c r="D185" s="1" t="str">
        <f>IF(Goals!A134="","",Goals!D134)</f>
        <v/>
      </c>
      <c r="E185" s="1" t="str">
        <f>IF(Goals!A134="","",Goals!E134)</f>
        <v/>
      </c>
      <c r="F185" s="1" t="str">
        <f>IF(Goals!A134="","",Goals!F134)</f>
        <v/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 t="str">
        <f>IF(Goals!A135="","",Goals!A135)</f>
        <v/>
      </c>
      <c r="B186" s="1" t="str">
        <f>IF(Goals!A135="","",Goals!B135)</f>
        <v/>
      </c>
      <c r="C186" s="1" t="str">
        <f>IF(Goals!A135="","",Goals!C135)</f>
        <v/>
      </c>
      <c r="D186" s="1" t="str">
        <f>IF(Goals!A135="","",Goals!D135)</f>
        <v/>
      </c>
      <c r="E186" s="1" t="str">
        <f>IF(Goals!A135="","",Goals!E135)</f>
        <v/>
      </c>
      <c r="F186" s="1" t="str">
        <f>IF(Goals!A135="","",Goals!F135)</f>
        <v/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 t="str">
        <f>IF(Goals!A136="","",Goals!A136)</f>
        <v/>
      </c>
      <c r="B187" s="1" t="str">
        <f>IF(Goals!A136="","",Goals!B136)</f>
        <v/>
      </c>
      <c r="C187" s="1" t="str">
        <f>IF(Goals!A136="","",Goals!C136)</f>
        <v/>
      </c>
      <c r="D187" s="1" t="str">
        <f>IF(Goals!A136="","",Goals!D136)</f>
        <v/>
      </c>
      <c r="E187" s="1" t="str">
        <f>IF(Goals!A136="","",Goals!E136)</f>
        <v/>
      </c>
      <c r="F187" s="1" t="str">
        <f>IF(Goals!A136="","",Goals!F136)</f>
        <v/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 t="str">
        <f>IF(Goals!A137="","",Goals!A137)</f>
        <v/>
      </c>
      <c r="B188" s="1" t="str">
        <f>IF(Goals!A137="","",Goals!B137)</f>
        <v/>
      </c>
      <c r="C188" s="1" t="str">
        <f>IF(Goals!A137="","",Goals!C137)</f>
        <v/>
      </c>
      <c r="D188" s="1" t="str">
        <f>IF(Goals!A137="","",Goals!D137)</f>
        <v/>
      </c>
      <c r="E188" s="1" t="str">
        <f>IF(Goals!A137="","",Goals!E137)</f>
        <v/>
      </c>
      <c r="F188" s="1" t="str">
        <f>IF(Goals!A137="","",Goals!F137)</f>
        <v/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 t="str">
        <f>IF(Goals!A138="","",Goals!A138)</f>
        <v/>
      </c>
      <c r="B189" s="1" t="str">
        <f>IF(Goals!A138="","",Goals!B138)</f>
        <v/>
      </c>
      <c r="C189" s="1" t="str">
        <f>IF(Goals!A138="","",Goals!C138)</f>
        <v/>
      </c>
      <c r="D189" s="1" t="str">
        <f>IF(Goals!A138="","",Goals!D138)</f>
        <v/>
      </c>
      <c r="E189" s="1" t="str">
        <f>IF(Goals!A138="","",Goals!E138)</f>
        <v/>
      </c>
      <c r="F189" s="1" t="str">
        <f>IF(Goals!A138="","",Goals!F138)</f>
        <v/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 t="str">
        <f>IF(Goals!A139="","",Goals!A139)</f>
        <v/>
      </c>
      <c r="B190" s="1" t="str">
        <f>IF(Goals!A139="","",Goals!B139)</f>
        <v/>
      </c>
      <c r="C190" s="1" t="str">
        <f>IF(Goals!A139="","",Goals!C139)</f>
        <v/>
      </c>
      <c r="D190" s="1" t="str">
        <f>IF(Goals!A139="","",Goals!D139)</f>
        <v/>
      </c>
      <c r="E190" s="1" t="str">
        <f>IF(Goals!A139="","",Goals!E139)</f>
        <v/>
      </c>
      <c r="F190" s="1" t="str">
        <f>IF(Goals!A139="","",Goals!F139)</f>
        <v/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 t="str">
        <f>IF(Goals!A140="","",Goals!A140)</f>
        <v/>
      </c>
      <c r="B191" s="1" t="str">
        <f>IF(Goals!A140="","",Goals!B140)</f>
        <v/>
      </c>
      <c r="C191" s="1" t="str">
        <f>IF(Goals!A140="","",Goals!C140)</f>
        <v/>
      </c>
      <c r="D191" s="1" t="str">
        <f>IF(Goals!A140="","",Goals!D140)</f>
        <v/>
      </c>
      <c r="E191" s="1" t="str">
        <f>IF(Goals!A140="","",Goals!E140)</f>
        <v/>
      </c>
      <c r="F191" s="1" t="str">
        <f>IF(Goals!A140="","",Goals!F140)</f>
        <v/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 t="str">
        <f>IF(Goals!A141="","",Goals!A141)</f>
        <v/>
      </c>
      <c r="B192" s="1" t="str">
        <f>IF(Goals!A141="","",Goals!B141)</f>
        <v/>
      </c>
      <c r="C192" s="1" t="str">
        <f>IF(Goals!A141="","",Goals!C141)</f>
        <v/>
      </c>
      <c r="D192" s="1" t="str">
        <f>IF(Goals!A141="","",Goals!D141)</f>
        <v/>
      </c>
      <c r="E192" s="1" t="str">
        <f>IF(Goals!A141="","",Goals!E141)</f>
        <v/>
      </c>
      <c r="F192" s="1" t="str">
        <f>IF(Goals!A141="","",Goals!F141)</f>
        <v/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 t="str">
        <f>IF(Goals!A142="","",Goals!A142)</f>
        <v/>
      </c>
      <c r="B193" s="1" t="str">
        <f>IF(Goals!A142="","",Goals!B142)</f>
        <v/>
      </c>
      <c r="C193" s="1" t="str">
        <f>IF(Goals!A142="","",Goals!C142)</f>
        <v/>
      </c>
      <c r="D193" s="1" t="str">
        <f>IF(Goals!A142="","",Goals!D142)</f>
        <v/>
      </c>
      <c r="E193" s="1" t="str">
        <f>IF(Goals!A142="","",Goals!E142)</f>
        <v/>
      </c>
      <c r="F193" s="1" t="str">
        <f>IF(Goals!A142="","",Goals!F142)</f>
        <v/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 t="str">
        <f>IF(Goals!A143="","",Goals!A143)</f>
        <v/>
      </c>
      <c r="B194" s="1" t="str">
        <f>IF(Goals!A143="","",Goals!B143)</f>
        <v/>
      </c>
      <c r="C194" s="1" t="str">
        <f>IF(Goals!A143="","",Goals!C143)</f>
        <v/>
      </c>
      <c r="D194" s="1" t="str">
        <f>IF(Goals!A143="","",Goals!D143)</f>
        <v/>
      </c>
      <c r="E194" s="1" t="str">
        <f>IF(Goals!A143="","",Goals!E143)</f>
        <v/>
      </c>
      <c r="F194" s="1" t="str">
        <f>IF(Goals!A143="","",Goals!F143)</f>
        <v/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 t="str">
        <f>IF(Goals!A144="","",Goals!A144)</f>
        <v/>
      </c>
      <c r="B195" s="1" t="str">
        <f>IF(Goals!A144="","",Goals!B144)</f>
        <v/>
      </c>
      <c r="C195" s="1" t="str">
        <f>IF(Goals!A144="","",Goals!C144)</f>
        <v/>
      </c>
      <c r="D195" s="1" t="str">
        <f>IF(Goals!A144="","",Goals!D144)</f>
        <v/>
      </c>
      <c r="E195" s="1" t="str">
        <f>IF(Goals!A144="","",Goals!E144)</f>
        <v/>
      </c>
      <c r="F195" s="1" t="str">
        <f>IF(Goals!A144="","",Goals!F144)</f>
        <v/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 t="str">
        <f>IF(Goals!A145="","",Goals!A145)</f>
        <v/>
      </c>
      <c r="B196" s="1" t="str">
        <f>IF(Goals!A145="","",Goals!B145)</f>
        <v/>
      </c>
      <c r="C196" s="1" t="str">
        <f>IF(Goals!A145="","",Goals!C145)</f>
        <v/>
      </c>
      <c r="D196" s="1" t="str">
        <f>IF(Goals!A145="","",Goals!D145)</f>
        <v/>
      </c>
      <c r="E196" s="1" t="str">
        <f>IF(Goals!A145="","",Goals!E145)</f>
        <v/>
      </c>
      <c r="F196" s="1" t="str">
        <f>IF(Goals!A145="","",Goals!F145)</f>
        <v/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 t="str">
        <f>IF(Goals!A146="","",Goals!A146)</f>
        <v/>
      </c>
      <c r="B197" s="1" t="str">
        <f>IF(Goals!A146="","",Goals!B146)</f>
        <v/>
      </c>
      <c r="C197" s="1" t="str">
        <f>IF(Goals!A146="","",Goals!C146)</f>
        <v/>
      </c>
      <c r="D197" s="1" t="str">
        <f>IF(Goals!A146="","",Goals!D146)</f>
        <v/>
      </c>
      <c r="E197" s="1" t="str">
        <f>IF(Goals!A146="","",Goals!E146)</f>
        <v/>
      </c>
      <c r="F197" s="1" t="str">
        <f>IF(Goals!A146="","",Goals!F146)</f>
        <v/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 t="str">
        <f>IF(Goals!A147="","",Goals!A147)</f>
        <v/>
      </c>
      <c r="B198" s="1" t="str">
        <f>IF(Goals!A147="","",Goals!B147)</f>
        <v/>
      </c>
      <c r="C198" s="1" t="str">
        <f>IF(Goals!A147="","",Goals!C147)</f>
        <v/>
      </c>
      <c r="D198" s="1" t="str">
        <f>IF(Goals!A147="","",Goals!D147)</f>
        <v/>
      </c>
      <c r="E198" s="1" t="str">
        <f>IF(Goals!A147="","",Goals!E147)</f>
        <v/>
      </c>
      <c r="F198" s="1" t="str">
        <f>IF(Goals!A147="","",Goals!F147)</f>
        <v/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 t="str">
        <f>IF(Goals!A148="","",Goals!A148)</f>
        <v/>
      </c>
      <c r="B199" s="1" t="str">
        <f>IF(Goals!A148="","",Goals!B148)</f>
        <v/>
      </c>
      <c r="C199" s="1" t="str">
        <f>IF(Goals!A148="","",Goals!C148)</f>
        <v/>
      </c>
      <c r="D199" s="1" t="str">
        <f>IF(Goals!A148="","",Goals!D148)</f>
        <v/>
      </c>
      <c r="E199" s="1" t="str">
        <f>IF(Goals!A148="","",Goals!E148)</f>
        <v/>
      </c>
      <c r="F199" s="1" t="str">
        <f>IF(Goals!A148="","",Goals!F148)</f>
        <v/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 t="str">
        <f>IF(Goals!A149="","",Goals!A149)</f>
        <v/>
      </c>
      <c r="B200" s="1" t="str">
        <f>IF(Goals!A149="","",Goals!B149)</f>
        <v/>
      </c>
      <c r="C200" s="1" t="str">
        <f>IF(Goals!A149="","",Goals!C149)</f>
        <v/>
      </c>
      <c r="D200" s="1" t="str">
        <f>IF(Goals!A149="","",Goals!D149)</f>
        <v/>
      </c>
      <c r="E200" s="1" t="str">
        <f>IF(Goals!A149="","",Goals!E149)</f>
        <v/>
      </c>
      <c r="F200" s="1" t="str">
        <f>IF(Goals!A149="","",Goals!F149)</f>
        <v/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 t="str">
        <f>IF(Goals!A150="","",Goals!A150)</f>
        <v/>
      </c>
      <c r="B201" s="1" t="str">
        <f>IF(Goals!A150="","",Goals!B150)</f>
        <v/>
      </c>
      <c r="C201" s="1" t="str">
        <f>IF(Goals!A150="","",Goals!C150)</f>
        <v/>
      </c>
      <c r="D201" s="1" t="str">
        <f>IF(Goals!A150="","",Goals!D150)</f>
        <v/>
      </c>
      <c r="E201" s="1" t="str">
        <f>IF(Goals!A150="","",Goals!E150)</f>
        <v/>
      </c>
      <c r="F201" s="1" t="str">
        <f>IF(Goals!A150="","",Goals!F150)</f>
        <v/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 t="str">
        <f>IF(Goals!A151="","",Goals!A151)</f>
        <v/>
      </c>
      <c r="B202" s="1" t="str">
        <f>IF(Goals!A151="","",Goals!B151)</f>
        <v/>
      </c>
      <c r="C202" s="1" t="str">
        <f>IF(Goals!A151="","",Goals!C151)</f>
        <v/>
      </c>
      <c r="D202" s="1" t="str">
        <f>IF(Goals!A151="","",Goals!D151)</f>
        <v/>
      </c>
      <c r="E202" s="1" t="str">
        <f>IF(Goals!A151="","",Goals!E151)</f>
        <v/>
      </c>
      <c r="F202" s="1" t="str">
        <f>IF(Goals!A151="","",Goals!F151)</f>
        <v/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 t="str">
        <f>IF(Goals!A152="","",Goals!A152)</f>
        <v/>
      </c>
      <c r="B203" s="1" t="str">
        <f>IF(Goals!A152="","",Goals!B152)</f>
        <v/>
      </c>
      <c r="C203" s="1" t="str">
        <f>IF(Goals!A152="","",Goals!C152)</f>
        <v/>
      </c>
      <c r="D203" s="1" t="str">
        <f>IF(Goals!A152="","",Goals!D152)</f>
        <v/>
      </c>
      <c r="E203" s="1" t="str">
        <f>IF(Goals!A152="","",Goals!E152)</f>
        <v/>
      </c>
      <c r="F203" s="1" t="str">
        <f>IF(Goals!A152="","",Goals!F152)</f>
        <v/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 t="str">
        <f>IF(Goals!A153="","",Goals!A153)</f>
        <v/>
      </c>
      <c r="B204" s="1" t="str">
        <f>IF(Goals!A153="","",Goals!B153)</f>
        <v/>
      </c>
      <c r="C204" s="1" t="str">
        <f>IF(Goals!A153="","",Goals!C153)</f>
        <v/>
      </c>
      <c r="D204" s="1" t="str">
        <f>IF(Goals!A153="","",Goals!D153)</f>
        <v/>
      </c>
      <c r="E204" s="1" t="str">
        <f>IF(Goals!A153="","",Goals!E153)</f>
        <v/>
      </c>
      <c r="F204" s="1" t="str">
        <f>IF(Goals!A153="","",Goals!F153)</f>
        <v/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 t="str">
        <f>IF(Goals!A154="","",Goals!A154)</f>
        <v/>
      </c>
      <c r="B205" s="1" t="str">
        <f>IF(Goals!A154="","",Goals!B154)</f>
        <v/>
      </c>
      <c r="C205" s="1" t="str">
        <f>IF(Goals!A154="","",Goals!C154)</f>
        <v/>
      </c>
      <c r="D205" s="1" t="str">
        <f>IF(Goals!A154="","",Goals!D154)</f>
        <v/>
      </c>
      <c r="E205" s="1" t="str">
        <f>IF(Goals!A154="","",Goals!E154)</f>
        <v/>
      </c>
      <c r="F205" s="1" t="str">
        <f>IF(Goals!A154="","",Goals!F154)</f>
        <v/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 t="str">
        <f>IF(Goals!A155="","",Goals!A155)</f>
        <v/>
      </c>
      <c r="B206" s="1" t="str">
        <f>IF(Goals!A155="","",Goals!B155)</f>
        <v/>
      </c>
      <c r="C206" s="1" t="str">
        <f>IF(Goals!A155="","",Goals!C155)</f>
        <v/>
      </c>
      <c r="D206" s="1" t="str">
        <f>IF(Goals!A155="","",Goals!D155)</f>
        <v/>
      </c>
      <c r="E206" s="1" t="str">
        <f>IF(Goals!A155="","",Goals!E155)</f>
        <v/>
      </c>
      <c r="F206" s="1" t="str">
        <f>IF(Goals!A155="","",Goals!F155)</f>
        <v/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 t="str">
        <f>IF(Goals!A156="","",Goals!A156)</f>
        <v/>
      </c>
      <c r="B207" s="1" t="str">
        <f>IF(Goals!A156="","",Goals!B156)</f>
        <v/>
      </c>
      <c r="C207" s="1" t="str">
        <f>IF(Goals!A156="","",Goals!C156)</f>
        <v/>
      </c>
      <c r="D207" s="1" t="str">
        <f>IF(Goals!A156="","",Goals!D156)</f>
        <v/>
      </c>
      <c r="E207" s="1" t="str">
        <f>IF(Goals!A156="","",Goals!E156)</f>
        <v/>
      </c>
      <c r="F207" s="1" t="str">
        <f>IF(Goals!A156="","",Goals!F156)</f>
        <v/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 t="str">
        <f>IF(Goals!A157="","",Goals!A157)</f>
        <v/>
      </c>
      <c r="B208" s="1" t="str">
        <f>IF(Goals!A157="","",Goals!B157)</f>
        <v/>
      </c>
      <c r="C208" s="1" t="str">
        <f>IF(Goals!A157="","",Goals!C157)</f>
        <v/>
      </c>
      <c r="D208" s="1" t="str">
        <f>IF(Goals!A157="","",Goals!D157)</f>
        <v/>
      </c>
      <c r="E208" s="1" t="str">
        <f>IF(Goals!A157="","",Goals!E157)</f>
        <v/>
      </c>
      <c r="F208" s="1" t="str">
        <f>IF(Goals!A157="","",Goals!F157)</f>
        <v/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 t="str">
        <f>IF(Goals!A158="","",Goals!A158)</f>
        <v/>
      </c>
      <c r="B209" s="1" t="str">
        <f>IF(Goals!A158="","",Goals!B158)</f>
        <v/>
      </c>
      <c r="C209" s="1" t="str">
        <f>IF(Goals!A158="","",Goals!C158)</f>
        <v/>
      </c>
      <c r="D209" s="1" t="str">
        <f>IF(Goals!A158="","",Goals!D158)</f>
        <v/>
      </c>
      <c r="E209" s="1" t="str">
        <f>IF(Goals!A158="","",Goals!E158)</f>
        <v/>
      </c>
      <c r="F209" s="1" t="str">
        <f>IF(Goals!A158="","",Goals!F158)</f>
        <v/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 t="str">
        <f>IF(Goals!A159="","",Goals!A159)</f>
        <v/>
      </c>
      <c r="B210" s="1" t="str">
        <f>IF(Goals!A159="","",Goals!B159)</f>
        <v/>
      </c>
      <c r="C210" s="1" t="str">
        <f>IF(Goals!A159="","",Goals!C159)</f>
        <v/>
      </c>
      <c r="D210" s="1" t="str">
        <f>IF(Goals!A159="","",Goals!D159)</f>
        <v/>
      </c>
      <c r="E210" s="1" t="str">
        <f>IF(Goals!A159="","",Goals!E159)</f>
        <v/>
      </c>
      <c r="F210" s="1" t="str">
        <f>IF(Goals!A159="","",Goals!F159)</f>
        <v/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 t="str">
        <f>IF(Goals!A160="","",Goals!A160)</f>
        <v/>
      </c>
      <c r="B211" s="1" t="str">
        <f>IF(Goals!A160="","",Goals!B160)</f>
        <v/>
      </c>
      <c r="C211" s="1" t="str">
        <f>IF(Goals!A160="","",Goals!C160)</f>
        <v/>
      </c>
      <c r="D211" s="1" t="str">
        <f>IF(Goals!A160="","",Goals!D160)</f>
        <v/>
      </c>
      <c r="E211" s="1" t="str">
        <f>IF(Goals!A160="","",Goals!E160)</f>
        <v/>
      </c>
      <c r="F211" s="1" t="str">
        <f>IF(Goals!A160="","",Goals!F160)</f>
        <v/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 t="str">
        <f>IF(Goals!A161="","",Goals!A161)</f>
        <v/>
      </c>
      <c r="B212" s="1" t="str">
        <f>IF(Goals!A161="","",Goals!B161)</f>
        <v/>
      </c>
      <c r="C212" s="1" t="str">
        <f>IF(Goals!A161="","",Goals!C161)</f>
        <v/>
      </c>
      <c r="D212" s="1" t="str">
        <f>IF(Goals!A161="","",Goals!D161)</f>
        <v/>
      </c>
      <c r="E212" s="1" t="str">
        <f>IF(Goals!A161="","",Goals!E161)</f>
        <v/>
      </c>
      <c r="F212" s="1" t="str">
        <f>IF(Goals!A161="","",Goals!F161)</f>
        <v/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 t="str">
        <f>IF(Goals!A162="","",Goals!A162)</f>
        <v/>
      </c>
      <c r="B213" s="1" t="str">
        <f>IF(Goals!A162="","",Goals!B162)</f>
        <v/>
      </c>
      <c r="C213" s="1" t="str">
        <f>IF(Goals!A162="","",Goals!C162)</f>
        <v/>
      </c>
      <c r="D213" s="1" t="str">
        <f>IF(Goals!A162="","",Goals!D162)</f>
        <v/>
      </c>
      <c r="E213" s="1" t="str">
        <f>IF(Goals!A162="","",Goals!E162)</f>
        <v/>
      </c>
      <c r="F213" s="1" t="str">
        <f>IF(Goals!A162="","",Goals!F162)</f>
        <v/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 t="str">
        <f>IF(Goals!A163="","",Goals!A163)</f>
        <v/>
      </c>
      <c r="B214" s="1" t="str">
        <f>IF(Goals!A163="","",Goals!B163)</f>
        <v/>
      </c>
      <c r="C214" s="1" t="str">
        <f>IF(Goals!A163="","",Goals!C163)</f>
        <v/>
      </c>
      <c r="D214" s="1" t="str">
        <f>IF(Goals!A163="","",Goals!D163)</f>
        <v/>
      </c>
      <c r="E214" s="1" t="str">
        <f>IF(Goals!A163="","",Goals!E163)</f>
        <v/>
      </c>
      <c r="F214" s="1" t="str">
        <f>IF(Goals!A163="","",Goals!F163)</f>
        <v/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 t="str">
        <f>IF(Goals!A164="","",Goals!A164)</f>
        <v/>
      </c>
      <c r="B215" s="1" t="str">
        <f>IF(Goals!A164="","",Goals!B164)</f>
        <v/>
      </c>
      <c r="C215" s="1" t="str">
        <f>IF(Goals!A164="","",Goals!C164)</f>
        <v/>
      </c>
      <c r="D215" s="1" t="str">
        <f>IF(Goals!A164="","",Goals!D164)</f>
        <v/>
      </c>
      <c r="E215" s="1" t="str">
        <f>IF(Goals!A164="","",Goals!E164)</f>
        <v/>
      </c>
      <c r="F215" s="1" t="str">
        <f>IF(Goals!A164="","",Goals!F164)</f>
        <v/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 t="str">
        <f>IF(Goals!A165="","",Goals!A165)</f>
        <v/>
      </c>
      <c r="B216" s="1" t="str">
        <f>IF(Goals!A165="","",Goals!B165)</f>
        <v/>
      </c>
      <c r="C216" s="1" t="str">
        <f>IF(Goals!A165="","",Goals!C165)</f>
        <v/>
      </c>
      <c r="D216" s="1" t="str">
        <f>IF(Goals!A165="","",Goals!D165)</f>
        <v/>
      </c>
      <c r="E216" s="1" t="str">
        <f>IF(Goals!A165="","",Goals!E165)</f>
        <v/>
      </c>
      <c r="F216" s="1" t="str">
        <f>IF(Goals!A165="","",Goals!F165)</f>
        <v/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 t="str">
        <f>IF(Goals!A166="","",Goals!A166)</f>
        <v/>
      </c>
      <c r="B217" s="1" t="str">
        <f>IF(Goals!A166="","",Goals!B166)</f>
        <v/>
      </c>
      <c r="C217" s="1" t="str">
        <f>IF(Goals!A166="","",Goals!C166)</f>
        <v/>
      </c>
      <c r="D217" s="1" t="str">
        <f>IF(Goals!A166="","",Goals!D166)</f>
        <v/>
      </c>
      <c r="E217" s="1" t="str">
        <f>IF(Goals!A166="","",Goals!E166)</f>
        <v/>
      </c>
      <c r="F217" s="1" t="str">
        <f>IF(Goals!A166="","",Goals!F166)</f>
        <v/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 t="str">
        <f>IF(Goals!A167="","",Goals!A167)</f>
        <v/>
      </c>
      <c r="B218" s="1" t="str">
        <f>IF(Goals!A167="","",Goals!B167)</f>
        <v/>
      </c>
      <c r="C218" s="1" t="str">
        <f>IF(Goals!A167="","",Goals!C167)</f>
        <v/>
      </c>
      <c r="D218" s="1" t="str">
        <f>IF(Goals!A167="","",Goals!D167)</f>
        <v/>
      </c>
      <c r="E218" s="1" t="str">
        <f>IF(Goals!A167="","",Goals!E167)</f>
        <v/>
      </c>
      <c r="F218" s="1" t="str">
        <f>IF(Goals!A167="","",Goals!F167)</f>
        <v/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 t="str">
        <f>IF(Goals!A168="","",Goals!A168)</f>
        <v/>
      </c>
      <c r="B219" s="1" t="str">
        <f>IF(Goals!A168="","",Goals!B168)</f>
        <v/>
      </c>
      <c r="C219" s="1" t="str">
        <f>IF(Goals!A168="","",Goals!C168)</f>
        <v/>
      </c>
      <c r="D219" s="1" t="str">
        <f>IF(Goals!A168="","",Goals!D168)</f>
        <v/>
      </c>
      <c r="E219" s="1" t="str">
        <f>IF(Goals!A168="","",Goals!E168)</f>
        <v/>
      </c>
      <c r="F219" s="1" t="str">
        <f>IF(Goals!A168="","",Goals!F168)</f>
        <v/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 t="str">
        <f>IF(Goals!A169="","",Goals!A169)</f>
        <v/>
      </c>
      <c r="B220" s="1" t="str">
        <f>IF(Goals!A169="","",Goals!B169)</f>
        <v/>
      </c>
      <c r="C220" s="1" t="str">
        <f>IF(Goals!A169="","",Goals!C169)</f>
        <v/>
      </c>
      <c r="D220" s="1" t="str">
        <f>IF(Goals!A169="","",Goals!D169)</f>
        <v/>
      </c>
      <c r="E220" s="1" t="str">
        <f>IF(Goals!A169="","",Goals!E169)</f>
        <v/>
      </c>
      <c r="F220" s="1" t="str">
        <f>IF(Goals!A169="","",Goals!F169)</f>
        <v/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 t="str">
        <f>IF(Goals!A170="","",Goals!A170)</f>
        <v/>
      </c>
      <c r="B221" s="1" t="str">
        <f>IF(Goals!A170="","",Goals!B170)</f>
        <v/>
      </c>
      <c r="C221" s="1" t="str">
        <f>IF(Goals!A170="","",Goals!C170)</f>
        <v/>
      </c>
      <c r="D221" s="1" t="str">
        <f>IF(Goals!A170="","",Goals!D170)</f>
        <v/>
      </c>
      <c r="E221" s="1" t="str">
        <f>IF(Goals!A170="","",Goals!E170)</f>
        <v/>
      </c>
      <c r="F221" s="1" t="str">
        <f>IF(Goals!A170="","",Goals!F170)</f>
        <v/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 t="str">
        <f>IF(Goals!A171="","",Goals!A171)</f>
        <v/>
      </c>
      <c r="B222" s="1" t="str">
        <f>IF(Goals!A171="","",Goals!B171)</f>
        <v/>
      </c>
      <c r="C222" s="1" t="str">
        <f>IF(Goals!A171="","",Goals!C171)</f>
        <v/>
      </c>
      <c r="D222" s="1" t="str">
        <f>IF(Goals!A171="","",Goals!D171)</f>
        <v/>
      </c>
      <c r="E222" s="1" t="str">
        <f>IF(Goals!A171="","",Goals!E171)</f>
        <v/>
      </c>
      <c r="F222" s="1" t="str">
        <f>IF(Goals!A171="","",Goals!F171)</f>
        <v/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 t="str">
        <f>IF(Goals!A172="","",Goals!A172)</f>
        <v/>
      </c>
      <c r="B223" s="1" t="str">
        <f>IF(Goals!A172="","",Goals!B172)</f>
        <v/>
      </c>
      <c r="C223" s="1" t="str">
        <f>IF(Goals!A172="","",Goals!C172)</f>
        <v/>
      </c>
      <c r="D223" s="1" t="str">
        <f>IF(Goals!A172="","",Goals!D172)</f>
        <v/>
      </c>
      <c r="E223" s="1" t="str">
        <f>IF(Goals!A172="","",Goals!E172)</f>
        <v/>
      </c>
      <c r="F223" s="1" t="str">
        <f>IF(Goals!A172="","",Goals!F172)</f>
        <v/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 t="str">
        <f>IF(Goals!A173="","",Goals!A173)</f>
        <v/>
      </c>
      <c r="B224" s="1" t="str">
        <f>IF(Goals!A173="","",Goals!B173)</f>
        <v/>
      </c>
      <c r="C224" s="1" t="str">
        <f>IF(Goals!A173="","",Goals!C173)</f>
        <v/>
      </c>
      <c r="D224" s="1" t="str">
        <f>IF(Goals!A173="","",Goals!D173)</f>
        <v/>
      </c>
      <c r="E224" s="1" t="str">
        <f>IF(Goals!A173="","",Goals!E173)</f>
        <v/>
      </c>
      <c r="F224" s="1" t="str">
        <f>IF(Goals!A173="","",Goals!F173)</f>
        <v/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 t="str">
        <f>IF(Goals!A174="","",Goals!A174)</f>
        <v/>
      </c>
      <c r="B225" s="1" t="str">
        <f>IF(Goals!A174="","",Goals!B174)</f>
        <v/>
      </c>
      <c r="C225" s="1" t="str">
        <f>IF(Goals!A174="","",Goals!C174)</f>
        <v/>
      </c>
      <c r="D225" s="1" t="str">
        <f>IF(Goals!A174="","",Goals!D174)</f>
        <v/>
      </c>
      <c r="E225" s="1" t="str">
        <f>IF(Goals!A174="","",Goals!E174)</f>
        <v/>
      </c>
      <c r="F225" s="1" t="str">
        <f>IF(Goals!A174="","",Goals!F174)</f>
        <v/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 t="str">
        <f>IF(Goals!A175="","",Goals!A175)</f>
        <v/>
      </c>
      <c r="B226" s="1" t="str">
        <f>IF(Goals!A175="","",Goals!B175)</f>
        <v/>
      </c>
      <c r="C226" s="1" t="str">
        <f>IF(Goals!A175="","",Goals!C175)</f>
        <v/>
      </c>
      <c r="D226" s="1" t="str">
        <f>IF(Goals!A175="","",Goals!D175)</f>
        <v/>
      </c>
      <c r="E226" s="1" t="str">
        <f>IF(Goals!A175="","",Goals!E175)</f>
        <v/>
      </c>
      <c r="F226" s="1" t="str">
        <f>IF(Goals!A175="","",Goals!F175)</f>
        <v/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 t="str">
        <f>IF(Goals!A176="","",Goals!A176)</f>
        <v/>
      </c>
      <c r="B227" s="1" t="str">
        <f>IF(Goals!A176="","",Goals!B176)</f>
        <v/>
      </c>
      <c r="C227" s="1" t="str">
        <f>IF(Goals!A176="","",Goals!C176)</f>
        <v/>
      </c>
      <c r="D227" s="1" t="str">
        <f>IF(Goals!A176="","",Goals!D176)</f>
        <v/>
      </c>
      <c r="E227" s="1" t="str">
        <f>IF(Goals!A176="","",Goals!E176)</f>
        <v/>
      </c>
      <c r="F227" s="1" t="str">
        <f>IF(Goals!A176="","",Goals!F176)</f>
        <v/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 t="str">
        <f>IF(Goals!A177="","",Goals!A177)</f>
        <v/>
      </c>
      <c r="B228" s="1" t="str">
        <f>IF(Goals!A177="","",Goals!B177)</f>
        <v/>
      </c>
      <c r="C228" s="1" t="str">
        <f>IF(Goals!A177="","",Goals!C177)</f>
        <v/>
      </c>
      <c r="D228" s="1" t="str">
        <f>IF(Goals!A177="","",Goals!D177)</f>
        <v/>
      </c>
      <c r="E228" s="1" t="str">
        <f>IF(Goals!A177="","",Goals!E177)</f>
        <v/>
      </c>
      <c r="F228" s="1" t="str">
        <f>IF(Goals!A177="","",Goals!F177)</f>
        <v/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 t="str">
        <f>IF(Goals!A178="","",Goals!A178)</f>
        <v/>
      </c>
      <c r="B229" s="1" t="str">
        <f>IF(Goals!A178="","",Goals!B178)</f>
        <v/>
      </c>
      <c r="C229" s="1" t="str">
        <f>IF(Goals!A178="","",Goals!C178)</f>
        <v/>
      </c>
      <c r="D229" s="1" t="str">
        <f>IF(Goals!A178="","",Goals!D178)</f>
        <v/>
      </c>
      <c r="E229" s="1" t="str">
        <f>IF(Goals!A178="","",Goals!E178)</f>
        <v/>
      </c>
      <c r="F229" s="1" t="str">
        <f>IF(Goals!A178="","",Goals!F178)</f>
        <v/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 t="str">
        <f>IF(Goals!A179="","",Goals!A179)</f>
        <v/>
      </c>
      <c r="B230" s="1" t="str">
        <f>IF(Goals!A179="","",Goals!B179)</f>
        <v/>
      </c>
      <c r="C230" s="1" t="str">
        <f>IF(Goals!A179="","",Goals!C179)</f>
        <v/>
      </c>
      <c r="D230" s="1" t="str">
        <f>IF(Goals!A179="","",Goals!D179)</f>
        <v/>
      </c>
      <c r="E230" s="1" t="str">
        <f>IF(Goals!A179="","",Goals!E179)</f>
        <v/>
      </c>
      <c r="F230" s="1" t="str">
        <f>IF(Goals!A179="","",Goals!F179)</f>
        <v/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 t="str">
        <f>IF(Goals!A180="","",Goals!A180)</f>
        <v/>
      </c>
      <c r="B231" s="1" t="str">
        <f>IF(Goals!A180="","",Goals!B180)</f>
        <v/>
      </c>
      <c r="C231" s="1" t="str">
        <f>IF(Goals!A180="","",Goals!C180)</f>
        <v/>
      </c>
      <c r="D231" s="1" t="str">
        <f>IF(Goals!A180="","",Goals!D180)</f>
        <v/>
      </c>
      <c r="E231" s="1" t="str">
        <f>IF(Goals!A180="","",Goals!E180)</f>
        <v/>
      </c>
      <c r="F231" s="1" t="str">
        <f>IF(Goals!A180="","",Goals!F180)</f>
        <v/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 t="str">
        <f>IF(Goals!A181="","",Goals!A181)</f>
        <v/>
      </c>
      <c r="B232" s="1" t="str">
        <f>IF(Goals!A181="","",Goals!B181)</f>
        <v/>
      </c>
      <c r="C232" s="1" t="str">
        <f>IF(Goals!A181="","",Goals!C181)</f>
        <v/>
      </c>
      <c r="D232" s="1" t="str">
        <f>IF(Goals!A181="","",Goals!D181)</f>
        <v/>
      </c>
      <c r="E232" s="1" t="str">
        <f>IF(Goals!A181="","",Goals!E181)</f>
        <v/>
      </c>
      <c r="F232" s="1" t="str">
        <f>IF(Goals!A181="","",Goals!F181)</f>
        <v/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 t="str">
        <f>IF(Goals!A182="","",Goals!A182)</f>
        <v/>
      </c>
      <c r="B233" s="1" t="str">
        <f>IF(Goals!A182="","",Goals!B182)</f>
        <v/>
      </c>
      <c r="C233" s="1" t="str">
        <f>IF(Goals!A182="","",Goals!C182)</f>
        <v/>
      </c>
      <c r="D233" s="1" t="str">
        <f>IF(Goals!A182="","",Goals!D182)</f>
        <v/>
      </c>
      <c r="E233" s="1" t="str">
        <f>IF(Goals!A182="","",Goals!E182)</f>
        <v/>
      </c>
      <c r="F233" s="1" t="str">
        <f>IF(Goals!A182="","",Goals!F182)</f>
        <v/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 t="str">
        <f>IF(Goals!A183="","",Goals!A183)</f>
        <v/>
      </c>
      <c r="B234" s="1" t="str">
        <f>IF(Goals!A183="","",Goals!B183)</f>
        <v/>
      </c>
      <c r="C234" s="1" t="str">
        <f>IF(Goals!A183="","",Goals!C183)</f>
        <v/>
      </c>
      <c r="D234" s="1" t="str">
        <f>IF(Goals!A183="","",Goals!D183)</f>
        <v/>
      </c>
      <c r="E234" s="1" t="str">
        <f>IF(Goals!A183="","",Goals!E183)</f>
        <v/>
      </c>
      <c r="F234" s="1" t="str">
        <f>IF(Goals!A183="","",Goals!F183)</f>
        <v/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 t="str">
        <f>IF(Goals!A184="","",Goals!A184)</f>
        <v/>
      </c>
      <c r="B235" s="1" t="str">
        <f>IF(Goals!A184="","",Goals!B184)</f>
        <v/>
      </c>
      <c r="C235" s="1" t="str">
        <f>IF(Goals!A184="","",Goals!C184)</f>
        <v/>
      </c>
      <c r="D235" s="1" t="str">
        <f>IF(Goals!A184="","",Goals!D184)</f>
        <v/>
      </c>
      <c r="E235" s="1" t="str">
        <f>IF(Goals!A184="","",Goals!E184)</f>
        <v/>
      </c>
      <c r="F235" s="1" t="str">
        <f>IF(Goals!A184="","",Goals!F184)</f>
        <v/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 t="str">
        <f>IF(Goals!A185="","",Goals!A185)</f>
        <v/>
      </c>
      <c r="B236" s="1" t="str">
        <f>IF(Goals!A185="","",Goals!B185)</f>
        <v/>
      </c>
      <c r="C236" s="1" t="str">
        <f>IF(Goals!A185="","",Goals!C185)</f>
        <v/>
      </c>
      <c r="D236" s="1" t="str">
        <f>IF(Goals!A185="","",Goals!D185)</f>
        <v/>
      </c>
      <c r="E236" s="1" t="str">
        <f>IF(Goals!A185="","",Goals!E185)</f>
        <v/>
      </c>
      <c r="F236" s="1" t="str">
        <f>IF(Goals!A185="","",Goals!F185)</f>
        <v/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 t="str">
        <f>IF(Goals!A186="","",Goals!A186)</f>
        <v/>
      </c>
      <c r="B237" s="1" t="str">
        <f>IF(Goals!A186="","",Goals!B186)</f>
        <v/>
      </c>
      <c r="C237" s="1" t="str">
        <f>IF(Goals!A186="","",Goals!C186)</f>
        <v/>
      </c>
      <c r="D237" s="1" t="str">
        <f>IF(Goals!A186="","",Goals!D186)</f>
        <v/>
      </c>
      <c r="E237" s="1" t="str">
        <f>IF(Goals!A186="","",Goals!E186)</f>
        <v/>
      </c>
      <c r="F237" s="1" t="str">
        <f>IF(Goals!A186="","",Goals!F186)</f>
        <v/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 t="str">
        <f>IF(Goals!A187="","",Goals!A187)</f>
        <v/>
      </c>
      <c r="B238" s="1" t="str">
        <f>IF(Goals!A187="","",Goals!B187)</f>
        <v/>
      </c>
      <c r="C238" s="1" t="str">
        <f>IF(Goals!A187="","",Goals!C187)</f>
        <v/>
      </c>
      <c r="D238" s="1" t="str">
        <f>IF(Goals!A187="","",Goals!D187)</f>
        <v/>
      </c>
      <c r="E238" s="1" t="str">
        <f>IF(Goals!A187="","",Goals!E187)</f>
        <v/>
      </c>
      <c r="F238" s="1" t="str">
        <f>IF(Goals!A187="","",Goals!F187)</f>
        <v/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 t="str">
        <f>IF(Goals!A188="","",Goals!A188)</f>
        <v/>
      </c>
      <c r="B239" s="1" t="str">
        <f>IF(Goals!A188="","",Goals!B188)</f>
        <v/>
      </c>
      <c r="C239" s="1" t="str">
        <f>IF(Goals!A188="","",Goals!C188)</f>
        <v/>
      </c>
      <c r="D239" s="1" t="str">
        <f>IF(Goals!A188="","",Goals!D188)</f>
        <v/>
      </c>
      <c r="E239" s="1" t="str">
        <f>IF(Goals!A188="","",Goals!E188)</f>
        <v/>
      </c>
      <c r="F239" s="1" t="str">
        <f>IF(Goals!A188="","",Goals!F188)</f>
        <v/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 t="str">
        <f>IF(Goals!A189="","",Goals!A189)</f>
        <v/>
      </c>
      <c r="B240" s="1" t="str">
        <f>IF(Goals!A189="","",Goals!B189)</f>
        <v/>
      </c>
      <c r="C240" s="1" t="str">
        <f>IF(Goals!A189="","",Goals!C189)</f>
        <v/>
      </c>
      <c r="D240" s="1" t="str">
        <f>IF(Goals!A189="","",Goals!D189)</f>
        <v/>
      </c>
      <c r="E240" s="1" t="str">
        <f>IF(Goals!A189="","",Goals!E189)</f>
        <v/>
      </c>
      <c r="F240" s="1" t="str">
        <f>IF(Goals!A189="","",Goals!F189)</f>
        <v/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 t="str">
        <f>IF(Goals!A190="","",Goals!A190)</f>
        <v/>
      </c>
      <c r="B241" s="1" t="str">
        <f>IF(Goals!A190="","",Goals!B190)</f>
        <v/>
      </c>
      <c r="C241" s="1" t="str">
        <f>IF(Goals!A190="","",Goals!C190)</f>
        <v/>
      </c>
      <c r="D241" s="1" t="str">
        <f>IF(Goals!A190="","",Goals!D190)</f>
        <v/>
      </c>
      <c r="E241" s="1" t="str">
        <f>IF(Goals!A190="","",Goals!E190)</f>
        <v/>
      </c>
      <c r="F241" s="1" t="str">
        <f>IF(Goals!A190="","",Goals!F190)</f>
        <v/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 t="str">
        <f>IF(Goals!A191="","",Goals!A191)</f>
        <v/>
      </c>
      <c r="B242" s="1" t="str">
        <f>IF(Goals!A191="","",Goals!B191)</f>
        <v/>
      </c>
      <c r="C242" s="1" t="str">
        <f>IF(Goals!A191="","",Goals!C191)</f>
        <v/>
      </c>
      <c r="D242" s="1" t="str">
        <f>IF(Goals!A191="","",Goals!D191)</f>
        <v/>
      </c>
      <c r="E242" s="1" t="str">
        <f>IF(Goals!A191="","",Goals!E191)</f>
        <v/>
      </c>
      <c r="F242" s="1" t="str">
        <f>IF(Goals!A191="","",Goals!F191)</f>
        <v/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 t="str">
        <f>IF(Goals!A192="","",Goals!A192)</f>
        <v/>
      </c>
      <c r="B243" s="1" t="str">
        <f>IF(Goals!A192="","",Goals!B192)</f>
        <v/>
      </c>
      <c r="C243" s="1" t="str">
        <f>IF(Goals!A192="","",Goals!C192)</f>
        <v/>
      </c>
      <c r="D243" s="1" t="str">
        <f>IF(Goals!A192="","",Goals!D192)</f>
        <v/>
      </c>
      <c r="E243" s="1" t="str">
        <f>IF(Goals!A192="","",Goals!E192)</f>
        <v/>
      </c>
      <c r="F243" s="1" t="str">
        <f>IF(Goals!A192="","",Goals!F192)</f>
        <v/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 t="str">
        <f>IF(Goals!A193="","",Goals!A193)</f>
        <v/>
      </c>
      <c r="B244" s="1" t="str">
        <f>IF(Goals!A193="","",Goals!B193)</f>
        <v/>
      </c>
      <c r="C244" s="1" t="str">
        <f>IF(Goals!A193="","",Goals!C193)</f>
        <v/>
      </c>
      <c r="D244" s="1" t="str">
        <f>IF(Goals!A193="","",Goals!D193)</f>
        <v/>
      </c>
      <c r="E244" s="1" t="str">
        <f>IF(Goals!A193="","",Goals!E193)</f>
        <v/>
      </c>
      <c r="F244" s="1" t="str">
        <f>IF(Goals!A193="","",Goals!F193)</f>
        <v/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 t="str">
        <f>IF(Goals!A194="","",Goals!A194)</f>
        <v/>
      </c>
      <c r="B245" s="1" t="str">
        <f>IF(Goals!A194="","",Goals!B194)</f>
        <v/>
      </c>
      <c r="C245" s="1" t="str">
        <f>IF(Goals!A194="","",Goals!C194)</f>
        <v/>
      </c>
      <c r="D245" s="1" t="str">
        <f>IF(Goals!A194="","",Goals!D194)</f>
        <v/>
      </c>
      <c r="E245" s="1" t="str">
        <f>IF(Goals!A194="","",Goals!E194)</f>
        <v/>
      </c>
      <c r="F245" s="1" t="str">
        <f>IF(Goals!A194="","",Goals!F194)</f>
        <v/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 t="str">
        <f>IF(Goals!A195="","",Goals!A195)</f>
        <v/>
      </c>
      <c r="B246" s="1" t="str">
        <f>IF(Goals!A195="","",Goals!B195)</f>
        <v/>
      </c>
      <c r="C246" s="1" t="str">
        <f>IF(Goals!A195="","",Goals!C195)</f>
        <v/>
      </c>
      <c r="D246" s="1" t="str">
        <f>IF(Goals!A195="","",Goals!D195)</f>
        <v/>
      </c>
      <c r="E246" s="1" t="str">
        <f>IF(Goals!A195="","",Goals!E195)</f>
        <v/>
      </c>
      <c r="F246" s="1" t="str">
        <f>IF(Goals!A195="","",Goals!F195)</f>
        <v/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 t="str">
        <f>IF(Goals!A196="","",Goals!A196)</f>
        <v/>
      </c>
      <c r="B247" s="1" t="str">
        <f>IF(Goals!A196="","",Goals!B196)</f>
        <v/>
      </c>
      <c r="C247" s="1" t="str">
        <f>IF(Goals!A196="","",Goals!C196)</f>
        <v/>
      </c>
      <c r="D247" s="1" t="str">
        <f>IF(Goals!A196="","",Goals!D196)</f>
        <v/>
      </c>
      <c r="E247" s="1" t="str">
        <f>IF(Goals!A196="","",Goals!E196)</f>
        <v/>
      </c>
      <c r="F247" s="1" t="str">
        <f>IF(Goals!A196="","",Goals!F196)</f>
        <v/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 t="str">
        <f>IF(Goals!A197="","",Goals!A197)</f>
        <v/>
      </c>
      <c r="B248" s="1" t="str">
        <f>IF(Goals!A197="","",Goals!B197)</f>
        <v/>
      </c>
      <c r="C248" s="1" t="str">
        <f>IF(Goals!A197="","",Goals!C197)</f>
        <v/>
      </c>
      <c r="D248" s="1" t="str">
        <f>IF(Goals!A197="","",Goals!D197)</f>
        <v/>
      </c>
      <c r="E248" s="1" t="str">
        <f>IF(Goals!A197="","",Goals!E197)</f>
        <v/>
      </c>
      <c r="F248" s="1" t="str">
        <f>IF(Goals!A197="","",Goals!F197)</f>
        <v/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 t="str">
        <f>IF(Goals!A198="","",Goals!A198)</f>
        <v/>
      </c>
      <c r="B249" s="1" t="str">
        <f>IF(Goals!A198="","",Goals!B198)</f>
        <v/>
      </c>
      <c r="C249" s="1" t="str">
        <f>IF(Goals!A198="","",Goals!C198)</f>
        <v/>
      </c>
      <c r="D249" s="1" t="str">
        <f>IF(Goals!A198="","",Goals!D198)</f>
        <v/>
      </c>
      <c r="E249" s="1" t="str">
        <f>IF(Goals!A198="","",Goals!E198)</f>
        <v/>
      </c>
      <c r="F249" s="1" t="str">
        <f>IF(Goals!A198="","",Goals!F198)</f>
        <v/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 t="str">
        <f>IF(Goals!A199="","",Goals!A199)</f>
        <v/>
      </c>
      <c r="B250" s="1" t="str">
        <f>IF(Goals!A199="","",Goals!B199)</f>
        <v/>
      </c>
      <c r="C250" s="1" t="str">
        <f>IF(Goals!A199="","",Goals!C199)</f>
        <v/>
      </c>
      <c r="D250" s="1" t="str">
        <f>IF(Goals!A199="","",Goals!D199)</f>
        <v/>
      </c>
      <c r="E250" s="1" t="str">
        <f>IF(Goals!A199="","",Goals!E199)</f>
        <v/>
      </c>
      <c r="F250" s="1" t="str">
        <f>IF(Goals!A199="","",Goals!F199)</f>
        <v/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 t="str">
        <f>IF(Goals!A200="","",Goals!A200)</f>
        <v/>
      </c>
      <c r="B251" s="1" t="str">
        <f>IF(Goals!A200="","",Goals!B200)</f>
        <v/>
      </c>
      <c r="C251" s="1" t="str">
        <f>IF(Goals!A200="","",Goals!C200)</f>
        <v/>
      </c>
      <c r="D251" s="1" t="str">
        <f>IF(Goals!A200="","",Goals!D200)</f>
        <v/>
      </c>
      <c r="E251" s="1" t="str">
        <f>IF(Goals!A200="","",Goals!E200)</f>
        <v/>
      </c>
      <c r="F251" s="1" t="str">
        <f>IF(Goals!A200="","",Goals!F200)</f>
        <v/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 t="str">
        <f>IF(Goals!A201="","",Goals!A201)</f>
        <v/>
      </c>
      <c r="B252" s="1" t="str">
        <f>IF(Goals!A201="","",Goals!B201)</f>
        <v/>
      </c>
      <c r="C252" s="1" t="str">
        <f>IF(Goals!A201="","",Goals!C201)</f>
        <v/>
      </c>
      <c r="D252" s="1" t="str">
        <f>IF(Goals!A201="","",Goals!D201)</f>
        <v/>
      </c>
      <c r="E252" s="1" t="str">
        <f>IF(Goals!A201="","",Goals!E201)</f>
        <v/>
      </c>
      <c r="F252" s="1" t="str">
        <f>IF(Goals!A201="","",Goals!F201)</f>
        <v/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 t="str">
        <f>IF(Goals!A202="","",Goals!A202)</f>
        <v/>
      </c>
      <c r="B253" s="1" t="str">
        <f>IF(Goals!A202="","",Goals!B202)</f>
        <v/>
      </c>
      <c r="C253" s="1" t="str">
        <f>IF(Goals!A202="","",Goals!C202)</f>
        <v/>
      </c>
      <c r="D253" s="1" t="str">
        <f>IF(Goals!A202="","",Goals!D202)</f>
        <v/>
      </c>
      <c r="E253" s="1" t="str">
        <f>IF(Goals!A202="","",Goals!E202)</f>
        <v/>
      </c>
      <c r="F253" s="1" t="str">
        <f>IF(Goals!A202="","",Goals!F202)</f>
        <v/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 t="str">
        <f>IF(Goals!A203="","",Goals!A203)</f>
        <v/>
      </c>
      <c r="B254" s="1" t="str">
        <f>IF(Goals!A203="","",Goals!B203)</f>
        <v/>
      </c>
      <c r="C254" s="1" t="str">
        <f>IF(Goals!A203="","",Goals!C203)</f>
        <v/>
      </c>
      <c r="D254" s="1" t="str">
        <f>IF(Goals!A203="","",Goals!D203)</f>
        <v/>
      </c>
      <c r="E254" s="1" t="str">
        <f>IF(Goals!A203="","",Goals!E203)</f>
        <v/>
      </c>
      <c r="F254" s="1" t="str">
        <f>IF(Goals!A203="","",Goals!F203)</f>
        <v/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 t="str">
        <f>IF(Goals!A204="","",Goals!A204)</f>
        <v/>
      </c>
      <c r="B255" s="1" t="str">
        <f>IF(Goals!A204="","",Goals!B204)</f>
        <v/>
      </c>
      <c r="C255" s="1" t="str">
        <f>IF(Goals!A204="","",Goals!C204)</f>
        <v/>
      </c>
      <c r="D255" s="1" t="str">
        <f>IF(Goals!A204="","",Goals!D204)</f>
        <v/>
      </c>
      <c r="E255" s="1" t="str">
        <f>IF(Goals!A204="","",Goals!E204)</f>
        <v/>
      </c>
      <c r="F255" s="1" t="str">
        <f>IF(Goals!A204="","",Goals!F204)</f>
        <v/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 t="str">
        <f>IF(Goals!A205="","",Goals!A205)</f>
        <v/>
      </c>
      <c r="B256" s="1" t="str">
        <f>IF(Goals!A205="","",Goals!B205)</f>
        <v/>
      </c>
      <c r="C256" s="1" t="str">
        <f>IF(Goals!A205="","",Goals!C205)</f>
        <v/>
      </c>
      <c r="D256" s="1" t="str">
        <f>IF(Goals!A205="","",Goals!D205)</f>
        <v/>
      </c>
      <c r="E256" s="1" t="str">
        <f>IF(Goals!A205="","",Goals!E205)</f>
        <v/>
      </c>
      <c r="F256" s="1" t="str">
        <f>IF(Goals!A205="","",Goals!F205)</f>
        <v/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 t="str">
        <f>IF(Goals!A206="","",Goals!A206)</f>
        <v/>
      </c>
      <c r="B257" s="1" t="str">
        <f>IF(Goals!A206="","",Goals!B206)</f>
        <v/>
      </c>
      <c r="C257" s="1" t="str">
        <f>IF(Goals!A206="","",Goals!C206)</f>
        <v/>
      </c>
      <c r="D257" s="1" t="str">
        <f>IF(Goals!A206="","",Goals!D206)</f>
        <v/>
      </c>
      <c r="E257" s="1" t="str">
        <f>IF(Goals!A206="","",Goals!E206)</f>
        <v/>
      </c>
      <c r="F257" s="1" t="str">
        <f>IF(Goals!A206="","",Goals!F206)</f>
        <v/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 t="str">
        <f>IF(Goals!A207="","",Goals!A207)</f>
        <v/>
      </c>
      <c r="B258" s="1" t="str">
        <f>IF(Goals!A207="","",Goals!B207)</f>
        <v/>
      </c>
      <c r="C258" s="1" t="str">
        <f>IF(Goals!A207="","",Goals!C207)</f>
        <v/>
      </c>
      <c r="D258" s="1" t="str">
        <f>IF(Goals!A207="","",Goals!D207)</f>
        <v/>
      </c>
      <c r="E258" s="1" t="str">
        <f>IF(Goals!A207="","",Goals!E207)</f>
        <v/>
      </c>
      <c r="F258" s="1" t="str">
        <f>IF(Goals!A207="","",Goals!F207)</f>
        <v/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 t="str">
        <f>IF(Goals!A208="","",Goals!A208)</f>
        <v/>
      </c>
      <c r="B259" s="1" t="str">
        <f>IF(Goals!A208="","",Goals!B208)</f>
        <v/>
      </c>
      <c r="C259" s="1" t="str">
        <f>IF(Goals!A208="","",Goals!C208)</f>
        <v/>
      </c>
      <c r="D259" s="1" t="str">
        <f>IF(Goals!A208="","",Goals!D208)</f>
        <v/>
      </c>
      <c r="E259" s="1" t="str">
        <f>IF(Goals!A208="","",Goals!E208)</f>
        <v/>
      </c>
      <c r="F259" s="1" t="str">
        <f>IF(Goals!A208="","",Goals!F208)</f>
        <v/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 t="str">
        <f>IF(Goals!A209="","",Goals!A209)</f>
        <v/>
      </c>
      <c r="B260" s="1" t="str">
        <f>IF(Goals!A209="","",Goals!B209)</f>
        <v/>
      </c>
      <c r="C260" s="1" t="str">
        <f>IF(Goals!A209="","",Goals!C209)</f>
        <v/>
      </c>
      <c r="D260" s="1" t="str">
        <f>IF(Goals!A209="","",Goals!D209)</f>
        <v/>
      </c>
      <c r="E260" s="1" t="str">
        <f>IF(Goals!A209="","",Goals!E209)</f>
        <v/>
      </c>
      <c r="F260" s="1" t="str">
        <f>IF(Goals!A209="","",Goals!F209)</f>
        <v/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 t="str">
        <f>IF(Goals!A210="","",Goals!A210)</f>
        <v/>
      </c>
      <c r="B261" s="1" t="str">
        <f>IF(Goals!A210="","",Goals!B210)</f>
        <v/>
      </c>
      <c r="C261" s="1" t="str">
        <f>IF(Goals!A210="","",Goals!C210)</f>
        <v/>
      </c>
      <c r="D261" s="1" t="str">
        <f>IF(Goals!A210="","",Goals!D210)</f>
        <v/>
      </c>
      <c r="E261" s="1" t="str">
        <f>IF(Goals!A210="","",Goals!E210)</f>
        <v/>
      </c>
      <c r="F261" s="1" t="str">
        <f>IF(Goals!A210="","",Goals!F210)</f>
        <v/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 t="str">
        <f>IF(Goals!A211="","",Goals!A211)</f>
        <v/>
      </c>
      <c r="B262" s="1" t="str">
        <f>IF(Goals!A211="","",Goals!B211)</f>
        <v/>
      </c>
      <c r="C262" s="1" t="str">
        <f>IF(Goals!A211="","",Goals!C211)</f>
        <v/>
      </c>
      <c r="D262" s="1" t="str">
        <f>IF(Goals!A211="","",Goals!D211)</f>
        <v/>
      </c>
      <c r="E262" s="1" t="str">
        <f>IF(Goals!A211="","",Goals!E211)</f>
        <v/>
      </c>
      <c r="F262" s="1" t="str">
        <f>IF(Goals!A211="","",Goals!F211)</f>
        <v/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 t="str">
        <f>IF(Goals!A212="","",Goals!A212)</f>
        <v/>
      </c>
      <c r="B263" s="1" t="str">
        <f>IF(Goals!A212="","",Goals!B212)</f>
        <v/>
      </c>
      <c r="C263" s="1" t="str">
        <f>IF(Goals!A212="","",Goals!C212)</f>
        <v/>
      </c>
      <c r="D263" s="1" t="str">
        <f>IF(Goals!A212="","",Goals!D212)</f>
        <v/>
      </c>
      <c r="E263" s="1" t="str">
        <f>IF(Goals!A212="","",Goals!E212)</f>
        <v/>
      </c>
      <c r="F263" s="1" t="str">
        <f>IF(Goals!A212="","",Goals!F212)</f>
        <v/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 t="str">
        <f>IF(Goals!A213="","",Goals!A213)</f>
        <v/>
      </c>
      <c r="B264" s="1" t="str">
        <f>IF(Goals!A213="","",Goals!B213)</f>
        <v/>
      </c>
      <c r="C264" s="1" t="str">
        <f>IF(Goals!A213="","",Goals!C213)</f>
        <v/>
      </c>
      <c r="D264" s="1" t="str">
        <f>IF(Goals!A213="","",Goals!D213)</f>
        <v/>
      </c>
      <c r="E264" s="1" t="str">
        <f>IF(Goals!A213="","",Goals!E213)</f>
        <v/>
      </c>
      <c r="F264" s="1" t="str">
        <f>IF(Goals!A213="","",Goals!F213)</f>
        <v/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 t="str">
        <f>IF(Goals!A214="","",Goals!A214)</f>
        <v/>
      </c>
      <c r="B265" s="1" t="str">
        <f>IF(Goals!A214="","",Goals!B214)</f>
        <v/>
      </c>
      <c r="C265" s="1" t="str">
        <f>IF(Goals!A214="","",Goals!C214)</f>
        <v/>
      </c>
      <c r="D265" s="1" t="str">
        <f>IF(Goals!A214="","",Goals!D214)</f>
        <v/>
      </c>
      <c r="E265" s="1" t="str">
        <f>IF(Goals!A214="","",Goals!E214)</f>
        <v/>
      </c>
      <c r="F265" s="1" t="str">
        <f>IF(Goals!A214="","",Goals!F214)</f>
        <v/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 t="str">
        <f>IF(Goals!A215="","",Goals!A215)</f>
        <v/>
      </c>
      <c r="B266" s="1" t="str">
        <f>IF(Goals!A215="","",Goals!B215)</f>
        <v/>
      </c>
      <c r="C266" s="1" t="str">
        <f>IF(Goals!A215="","",Goals!C215)</f>
        <v/>
      </c>
      <c r="D266" s="1" t="str">
        <f>IF(Goals!A215="","",Goals!D215)</f>
        <v/>
      </c>
      <c r="E266" s="1" t="str">
        <f>IF(Goals!A215="","",Goals!E215)</f>
        <v/>
      </c>
      <c r="F266" s="1" t="str">
        <f>IF(Goals!A215="","",Goals!F215)</f>
        <v/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 t="str">
        <f>IF(Goals!A216="","",Goals!A216)</f>
        <v/>
      </c>
      <c r="B267" s="1" t="str">
        <f>IF(Goals!A216="","",Goals!B216)</f>
        <v/>
      </c>
      <c r="C267" s="1" t="str">
        <f>IF(Goals!A216="","",Goals!C216)</f>
        <v/>
      </c>
      <c r="D267" s="1" t="str">
        <f>IF(Goals!A216="","",Goals!D216)</f>
        <v/>
      </c>
      <c r="E267" s="1" t="str">
        <f>IF(Goals!A216="","",Goals!E216)</f>
        <v/>
      </c>
      <c r="F267" s="1" t="str">
        <f>IF(Goals!A216="","",Goals!F216)</f>
        <v/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 t="str">
        <f>IF(Goals!A217="","",Goals!A217)</f>
        <v/>
      </c>
      <c r="B268" s="1" t="str">
        <f>IF(Goals!A217="","",Goals!B217)</f>
        <v/>
      </c>
      <c r="C268" s="1" t="str">
        <f>IF(Goals!A217="","",Goals!C217)</f>
        <v/>
      </c>
      <c r="D268" s="1" t="str">
        <f>IF(Goals!A217="","",Goals!D217)</f>
        <v/>
      </c>
      <c r="E268" s="1" t="str">
        <f>IF(Goals!A217="","",Goals!E217)</f>
        <v/>
      </c>
      <c r="F268" s="1" t="str">
        <f>IF(Goals!A217="","",Goals!F217)</f>
        <v/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 t="str">
        <f>IF(Goals!A218="","",Goals!A218)</f>
        <v/>
      </c>
      <c r="B269" s="1" t="str">
        <f>IF(Goals!A218="","",Goals!B218)</f>
        <v/>
      </c>
      <c r="C269" s="1" t="str">
        <f>IF(Goals!A218="","",Goals!C218)</f>
        <v/>
      </c>
      <c r="D269" s="1" t="str">
        <f>IF(Goals!A218="","",Goals!D218)</f>
        <v/>
      </c>
      <c r="E269" s="1" t="str">
        <f>IF(Goals!A218="","",Goals!E218)</f>
        <v/>
      </c>
      <c r="F269" s="1" t="str">
        <f>IF(Goals!A218="","",Goals!F218)</f>
        <v/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 t="str">
        <f>IF(Goals!A219="","",Goals!A219)</f>
        <v/>
      </c>
      <c r="B270" s="1" t="str">
        <f>IF(Goals!A219="","",Goals!B219)</f>
        <v/>
      </c>
      <c r="C270" s="1" t="str">
        <f>IF(Goals!A219="","",Goals!C219)</f>
        <v/>
      </c>
      <c r="D270" s="1" t="str">
        <f>IF(Goals!A219="","",Goals!D219)</f>
        <v/>
      </c>
      <c r="E270" s="1" t="str">
        <f>IF(Goals!A219="","",Goals!E219)</f>
        <v/>
      </c>
      <c r="F270" s="1" t="str">
        <f>IF(Goals!A219="","",Goals!F219)</f>
        <v/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 t="str">
        <f>IF(Goals!A220="","",Goals!A220)</f>
        <v/>
      </c>
      <c r="B271" s="1" t="str">
        <f>IF(Goals!A220="","",Goals!B220)</f>
        <v/>
      </c>
      <c r="C271" s="1" t="str">
        <f>IF(Goals!A220="","",Goals!C220)</f>
        <v/>
      </c>
      <c r="D271" s="1" t="str">
        <f>IF(Goals!A220="","",Goals!D220)</f>
        <v/>
      </c>
      <c r="E271" s="1" t="str">
        <f>IF(Goals!A220="","",Goals!E220)</f>
        <v/>
      </c>
      <c r="F271" s="1" t="str">
        <f>IF(Goals!A220="","",Goals!F220)</f>
        <v/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 t="str">
        <f>IF(Goals!A221="","",Goals!A221)</f>
        <v/>
      </c>
      <c r="B272" s="1" t="str">
        <f>IF(Goals!A221="","",Goals!B221)</f>
        <v/>
      </c>
      <c r="C272" s="1" t="str">
        <f>IF(Goals!A221="","",Goals!C221)</f>
        <v/>
      </c>
      <c r="D272" s="1" t="str">
        <f>IF(Goals!A221="","",Goals!D221)</f>
        <v/>
      </c>
      <c r="E272" s="1" t="str">
        <f>IF(Goals!A221="","",Goals!E221)</f>
        <v/>
      </c>
      <c r="F272" s="1" t="str">
        <f>IF(Goals!A221="","",Goals!F221)</f>
        <v/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 t="str">
        <f>IF(Goals!A222="","",Goals!A222)</f>
        <v/>
      </c>
      <c r="B273" s="1" t="str">
        <f>IF(Goals!A222="","",Goals!B222)</f>
        <v/>
      </c>
      <c r="C273" s="1" t="str">
        <f>IF(Goals!A222="","",Goals!C222)</f>
        <v/>
      </c>
      <c r="D273" s="1" t="str">
        <f>IF(Goals!A222="","",Goals!D222)</f>
        <v/>
      </c>
      <c r="E273" s="1" t="str">
        <f>IF(Goals!A222="","",Goals!E222)</f>
        <v/>
      </c>
      <c r="F273" s="1" t="str">
        <f>IF(Goals!A222="","",Goals!F222)</f>
        <v/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 t="str">
        <f>IF(Goals!A223="","",Goals!A223)</f>
        <v/>
      </c>
      <c r="B274" s="1" t="str">
        <f>IF(Goals!A223="","",Goals!B223)</f>
        <v/>
      </c>
      <c r="C274" s="1" t="str">
        <f>IF(Goals!A223="","",Goals!C223)</f>
        <v/>
      </c>
      <c r="D274" s="1" t="str">
        <f>IF(Goals!A223="","",Goals!D223)</f>
        <v/>
      </c>
      <c r="E274" s="1" t="str">
        <f>IF(Goals!A223="","",Goals!E223)</f>
        <v/>
      </c>
      <c r="F274" s="1" t="str">
        <f>IF(Goals!A223="","",Goals!F223)</f>
        <v/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 t="str">
        <f>IF(Goals!A224="","",Goals!A224)</f>
        <v/>
      </c>
      <c r="B275" s="1" t="str">
        <f>IF(Goals!A224="","",Goals!B224)</f>
        <v/>
      </c>
      <c r="C275" s="1" t="str">
        <f>IF(Goals!A224="","",Goals!C224)</f>
        <v/>
      </c>
      <c r="D275" s="1" t="str">
        <f>IF(Goals!A224="","",Goals!D224)</f>
        <v/>
      </c>
      <c r="E275" s="1" t="str">
        <f>IF(Goals!A224="","",Goals!E224)</f>
        <v/>
      </c>
      <c r="F275" s="1" t="str">
        <f>IF(Goals!A224="","",Goals!F224)</f>
        <v/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 t="str">
        <f>IF(Goals!A225="","",Goals!A225)</f>
        <v/>
      </c>
      <c r="B276" s="1" t="str">
        <f>IF(Goals!A225="","",Goals!B225)</f>
        <v/>
      </c>
      <c r="C276" s="1" t="str">
        <f>IF(Goals!A225="","",Goals!C225)</f>
        <v/>
      </c>
      <c r="D276" s="1" t="str">
        <f>IF(Goals!A225="","",Goals!D225)</f>
        <v/>
      </c>
      <c r="E276" s="1" t="str">
        <f>IF(Goals!A225="","",Goals!E225)</f>
        <v/>
      </c>
      <c r="F276" s="1" t="str">
        <f>IF(Goals!A225="","",Goals!F225)</f>
        <v/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 t="str">
        <f>IF(Goals!A226="","",Goals!A226)</f>
        <v/>
      </c>
      <c r="B277" s="1" t="str">
        <f>IF(Goals!A226="","",Goals!B226)</f>
        <v/>
      </c>
      <c r="C277" s="1" t="str">
        <f>IF(Goals!A226="","",Goals!C226)</f>
        <v/>
      </c>
      <c r="D277" s="1" t="str">
        <f>IF(Goals!A226="","",Goals!D226)</f>
        <v/>
      </c>
      <c r="E277" s="1" t="str">
        <f>IF(Goals!A226="","",Goals!E226)</f>
        <v/>
      </c>
      <c r="F277" s="1" t="str">
        <f>IF(Goals!A226="","",Goals!F226)</f>
        <v/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 t="str">
        <f>IF(Goals!A227="","",Goals!A227)</f>
        <v/>
      </c>
      <c r="B278" s="1" t="str">
        <f>IF(Goals!A227="","",Goals!B227)</f>
        <v/>
      </c>
      <c r="C278" s="1" t="str">
        <f>IF(Goals!A227="","",Goals!C227)</f>
        <v/>
      </c>
      <c r="D278" s="1" t="str">
        <f>IF(Goals!A227="","",Goals!D227)</f>
        <v/>
      </c>
      <c r="E278" s="1" t="str">
        <f>IF(Goals!A227="","",Goals!E227)</f>
        <v/>
      </c>
      <c r="F278" s="1" t="str">
        <f>IF(Goals!A227="","",Goals!F227)</f>
        <v/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 t="str">
        <f>IF(Goals!A228="","",Goals!A228)</f>
        <v/>
      </c>
      <c r="B279" s="1" t="str">
        <f>IF(Goals!A228="","",Goals!B228)</f>
        <v/>
      </c>
      <c r="C279" s="1" t="str">
        <f>IF(Goals!A228="","",Goals!C228)</f>
        <v/>
      </c>
      <c r="D279" s="1" t="str">
        <f>IF(Goals!A228="","",Goals!D228)</f>
        <v/>
      </c>
      <c r="E279" s="1" t="str">
        <f>IF(Goals!A228="","",Goals!E228)</f>
        <v/>
      </c>
      <c r="F279" s="1" t="str">
        <f>IF(Goals!A228="","",Goals!F228)</f>
        <v/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 t="str">
        <f>IF(Goals!A229="","",Goals!A229)</f>
        <v/>
      </c>
      <c r="B280" s="1" t="str">
        <f>IF(Goals!A229="","",Goals!B229)</f>
        <v/>
      </c>
      <c r="C280" s="1" t="str">
        <f>IF(Goals!A229="","",Goals!C229)</f>
        <v/>
      </c>
      <c r="D280" s="1" t="str">
        <f>IF(Goals!A229="","",Goals!D229)</f>
        <v/>
      </c>
      <c r="E280" s="1" t="str">
        <f>IF(Goals!A229="","",Goals!E229)</f>
        <v/>
      </c>
      <c r="F280" s="1" t="str">
        <f>IF(Goals!A229="","",Goals!F229)</f>
        <v/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 t="str">
        <f>IF(Goals!A230="","",Goals!A230)</f>
        <v/>
      </c>
      <c r="B281" s="1" t="str">
        <f>IF(Goals!A230="","",Goals!B230)</f>
        <v/>
      </c>
      <c r="C281" s="1" t="str">
        <f>IF(Goals!A230="","",Goals!C230)</f>
        <v/>
      </c>
      <c r="D281" s="1" t="str">
        <f>IF(Goals!A230="","",Goals!D230)</f>
        <v/>
      </c>
      <c r="E281" s="1" t="str">
        <f>IF(Goals!A230="","",Goals!E230)</f>
        <v/>
      </c>
      <c r="F281" s="1" t="str">
        <f>IF(Goals!A230="","",Goals!F230)</f>
        <v/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 t="str">
        <f>IF(Goals!A231="","",Goals!A231)</f>
        <v/>
      </c>
      <c r="B282" s="1" t="str">
        <f>IF(Goals!A231="","",Goals!B231)</f>
        <v/>
      </c>
      <c r="C282" s="1" t="str">
        <f>IF(Goals!A231="","",Goals!C231)</f>
        <v/>
      </c>
      <c r="D282" s="1" t="str">
        <f>IF(Goals!A231="","",Goals!D231)</f>
        <v/>
      </c>
      <c r="E282" s="1" t="str">
        <f>IF(Goals!A231="","",Goals!E231)</f>
        <v/>
      </c>
      <c r="F282" s="1" t="str">
        <f>IF(Goals!A231="","",Goals!F231)</f>
        <v/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 t="str">
        <f>IF(Goals!A232="","",Goals!A232)</f>
        <v/>
      </c>
      <c r="B283" s="1" t="str">
        <f>IF(Goals!A232="","",Goals!B232)</f>
        <v/>
      </c>
      <c r="C283" s="1" t="str">
        <f>IF(Goals!A232="","",Goals!C232)</f>
        <v/>
      </c>
      <c r="D283" s="1" t="str">
        <f>IF(Goals!A232="","",Goals!D232)</f>
        <v/>
      </c>
      <c r="E283" s="1" t="str">
        <f>IF(Goals!A232="","",Goals!E232)</f>
        <v/>
      </c>
      <c r="F283" s="1" t="str">
        <f>IF(Goals!A232="","",Goals!F232)</f>
        <v/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 t="str">
        <f>IF(Goals!A233="","",Goals!A233)</f>
        <v/>
      </c>
      <c r="B284" s="1" t="str">
        <f>IF(Goals!A233="","",Goals!B233)</f>
        <v/>
      </c>
      <c r="C284" s="1" t="str">
        <f>IF(Goals!A233="","",Goals!C233)</f>
        <v/>
      </c>
      <c r="D284" s="1" t="str">
        <f>IF(Goals!A233="","",Goals!D233)</f>
        <v/>
      </c>
      <c r="E284" s="1" t="str">
        <f>IF(Goals!A233="","",Goals!E233)</f>
        <v/>
      </c>
      <c r="F284" s="1" t="str">
        <f>IF(Goals!A233="","",Goals!F233)</f>
        <v/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 t="str">
        <f>IF(Goals!A234="","",Goals!A234)</f>
        <v/>
      </c>
      <c r="B285" s="1" t="str">
        <f>IF(Goals!A234="","",Goals!B234)</f>
        <v/>
      </c>
      <c r="C285" s="1" t="str">
        <f>IF(Goals!A234="","",Goals!C234)</f>
        <v/>
      </c>
      <c r="D285" s="1" t="str">
        <f>IF(Goals!A234="","",Goals!D234)</f>
        <v/>
      </c>
      <c r="E285" s="1" t="str">
        <f>IF(Goals!A234="","",Goals!E234)</f>
        <v/>
      </c>
      <c r="F285" s="1" t="str">
        <f>IF(Goals!A234="","",Goals!F234)</f>
        <v/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 t="str">
        <f>IF(Goals!A235="","",Goals!A235)</f>
        <v/>
      </c>
      <c r="B286" s="1" t="str">
        <f>IF(Goals!A235="","",Goals!B235)</f>
        <v/>
      </c>
      <c r="C286" s="1" t="str">
        <f>IF(Goals!A235="","",Goals!C235)</f>
        <v/>
      </c>
      <c r="D286" s="1" t="str">
        <f>IF(Goals!A235="","",Goals!D235)</f>
        <v/>
      </c>
      <c r="E286" s="1" t="str">
        <f>IF(Goals!A235="","",Goals!E235)</f>
        <v/>
      </c>
      <c r="F286" s="1" t="str">
        <f>IF(Goals!A235="","",Goals!F235)</f>
        <v/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 t="str">
        <f>IF(Goals!A236="","",Goals!A236)</f>
        <v/>
      </c>
      <c r="B287" s="1" t="str">
        <f>IF(Goals!A236="","",Goals!B236)</f>
        <v/>
      </c>
      <c r="C287" s="1" t="str">
        <f>IF(Goals!A236="","",Goals!C236)</f>
        <v/>
      </c>
      <c r="D287" s="1" t="str">
        <f>IF(Goals!A236="","",Goals!D236)</f>
        <v/>
      </c>
      <c r="E287" s="1" t="str">
        <f>IF(Goals!A236="","",Goals!E236)</f>
        <v/>
      </c>
      <c r="F287" s="1" t="str">
        <f>IF(Goals!A236="","",Goals!F236)</f>
        <v/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 t="str">
        <f>IF(Goals!A237="","",Goals!A237)</f>
        <v/>
      </c>
      <c r="B288" s="1" t="str">
        <f>IF(Goals!A237="","",Goals!B237)</f>
        <v/>
      </c>
      <c r="C288" s="1" t="str">
        <f>IF(Goals!A237="","",Goals!C237)</f>
        <v/>
      </c>
      <c r="D288" s="1" t="str">
        <f>IF(Goals!A237="","",Goals!D237)</f>
        <v/>
      </c>
      <c r="E288" s="1" t="str">
        <f>IF(Goals!A237="","",Goals!E237)</f>
        <v/>
      </c>
      <c r="F288" s="1" t="str">
        <f>IF(Goals!A237="","",Goals!F237)</f>
        <v/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 t="str">
        <f>IF(Goals!A238="","",Goals!A238)</f>
        <v/>
      </c>
      <c r="B289" s="1" t="str">
        <f>IF(Goals!A238="","",Goals!B238)</f>
        <v/>
      </c>
      <c r="C289" s="1" t="str">
        <f>IF(Goals!A238="","",Goals!C238)</f>
        <v/>
      </c>
      <c r="D289" s="1" t="str">
        <f>IF(Goals!A238="","",Goals!D238)</f>
        <v/>
      </c>
      <c r="E289" s="1" t="str">
        <f>IF(Goals!A238="","",Goals!E238)</f>
        <v/>
      </c>
      <c r="F289" s="1" t="str">
        <f>IF(Goals!A238="","",Goals!F238)</f>
        <v/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 t="str">
        <f>IF(Goals!A239="","",Goals!A239)</f>
        <v/>
      </c>
      <c r="B290" s="1" t="str">
        <f>IF(Goals!A239="","",Goals!B239)</f>
        <v/>
      </c>
      <c r="C290" s="1" t="str">
        <f>IF(Goals!A239="","",Goals!C239)</f>
        <v/>
      </c>
      <c r="D290" s="1" t="str">
        <f>IF(Goals!A239="","",Goals!D239)</f>
        <v/>
      </c>
      <c r="E290" s="1" t="str">
        <f>IF(Goals!A239="","",Goals!E239)</f>
        <v/>
      </c>
      <c r="F290" s="1" t="str">
        <f>IF(Goals!A239="","",Goals!F239)</f>
        <v/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 t="str">
        <f>IF(Goals!A240="","",Goals!A240)</f>
        <v/>
      </c>
      <c r="B291" s="1" t="str">
        <f>IF(Goals!A240="","",Goals!B240)</f>
        <v/>
      </c>
      <c r="C291" s="1" t="str">
        <f>IF(Goals!A240="","",Goals!C240)</f>
        <v/>
      </c>
      <c r="D291" s="1" t="str">
        <f>IF(Goals!A240="","",Goals!D240)</f>
        <v/>
      </c>
      <c r="E291" s="1" t="str">
        <f>IF(Goals!A240="","",Goals!E240)</f>
        <v/>
      </c>
      <c r="F291" s="1" t="str">
        <f>IF(Goals!A240="","",Goals!F240)</f>
        <v/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 t="str">
        <f>IF(Goals!A241="","",Goals!A241)</f>
        <v/>
      </c>
      <c r="B292" s="1" t="str">
        <f>IF(Goals!A241="","",Goals!B241)</f>
        <v/>
      </c>
      <c r="C292" s="1" t="str">
        <f>IF(Goals!A241="","",Goals!C241)</f>
        <v/>
      </c>
      <c r="D292" s="1" t="str">
        <f>IF(Goals!A241="","",Goals!D241)</f>
        <v/>
      </c>
      <c r="E292" s="1" t="str">
        <f>IF(Goals!A241="","",Goals!E241)</f>
        <v/>
      </c>
      <c r="F292" s="1" t="str">
        <f>IF(Goals!A241="","",Goals!F241)</f>
        <v/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 t="str">
        <f>IF(Goals!A242="","",Goals!A242)</f>
        <v/>
      </c>
      <c r="B293" s="1" t="str">
        <f>IF(Goals!A242="","",Goals!B242)</f>
        <v/>
      </c>
      <c r="C293" s="1" t="str">
        <f>IF(Goals!A242="","",Goals!C242)</f>
        <v/>
      </c>
      <c r="D293" s="1" t="str">
        <f>IF(Goals!A242="","",Goals!D242)</f>
        <v/>
      </c>
      <c r="E293" s="1" t="str">
        <f>IF(Goals!A242="","",Goals!E242)</f>
        <v/>
      </c>
      <c r="F293" s="1" t="str">
        <f>IF(Goals!A242="","",Goals!F242)</f>
        <v/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 t="str">
        <f>IF(Goals!A243="","",Goals!A243)</f>
        <v/>
      </c>
      <c r="B294" s="1" t="str">
        <f>IF(Goals!A243="","",Goals!B243)</f>
        <v/>
      </c>
      <c r="C294" s="1" t="str">
        <f>IF(Goals!A243="","",Goals!C243)</f>
        <v/>
      </c>
      <c r="D294" s="1" t="str">
        <f>IF(Goals!A243="","",Goals!D243)</f>
        <v/>
      </c>
      <c r="E294" s="1" t="str">
        <f>IF(Goals!A243="","",Goals!E243)</f>
        <v/>
      </c>
      <c r="F294" s="1" t="str">
        <f>IF(Goals!A243="","",Goals!F243)</f>
        <v/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 t="str">
        <f>IF(Goals!A244="","",Goals!A244)</f>
        <v/>
      </c>
      <c r="B295" s="1" t="str">
        <f>IF(Goals!A244="","",Goals!B244)</f>
        <v/>
      </c>
      <c r="C295" s="1" t="str">
        <f>IF(Goals!A244="","",Goals!C244)</f>
        <v/>
      </c>
      <c r="D295" s="1" t="str">
        <f>IF(Goals!A244="","",Goals!D244)</f>
        <v/>
      </c>
      <c r="E295" s="1" t="str">
        <f>IF(Goals!A244="","",Goals!E244)</f>
        <v/>
      </c>
      <c r="F295" s="1" t="str">
        <f>IF(Goals!A244="","",Goals!F244)</f>
        <v/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 t="str">
        <f>IF(Goals!A245="","",Goals!A245)</f>
        <v/>
      </c>
      <c r="B296" s="1" t="str">
        <f>IF(Goals!A245="","",Goals!B245)</f>
        <v/>
      </c>
      <c r="C296" s="1" t="str">
        <f>IF(Goals!A245="","",Goals!C245)</f>
        <v/>
      </c>
      <c r="D296" s="1" t="str">
        <f>IF(Goals!A245="","",Goals!D245)</f>
        <v/>
      </c>
      <c r="E296" s="1" t="str">
        <f>IF(Goals!A245="","",Goals!E245)</f>
        <v/>
      </c>
      <c r="F296" s="1" t="str">
        <f>IF(Goals!A245="","",Goals!F245)</f>
        <v/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 t="str">
        <f>IF(Goals!A246="","",Goals!A246)</f>
        <v/>
      </c>
      <c r="B297" s="1" t="str">
        <f>IF(Goals!A246="","",Goals!B246)</f>
        <v/>
      </c>
      <c r="C297" s="1" t="str">
        <f>IF(Goals!A246="","",Goals!C246)</f>
        <v/>
      </c>
      <c r="D297" s="1" t="str">
        <f>IF(Goals!A246="","",Goals!D246)</f>
        <v/>
      </c>
      <c r="E297" s="1" t="str">
        <f>IF(Goals!A246="","",Goals!E246)</f>
        <v/>
      </c>
      <c r="F297" s="1" t="str">
        <f>IF(Goals!A246="","",Goals!F246)</f>
        <v/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 t="str">
        <f>IF(Goals!A247="","",Goals!A247)</f>
        <v/>
      </c>
      <c r="B298" s="1" t="str">
        <f>IF(Goals!A247="","",Goals!B247)</f>
        <v/>
      </c>
      <c r="C298" s="1" t="str">
        <f>IF(Goals!A247="","",Goals!C247)</f>
        <v/>
      </c>
      <c r="D298" s="1" t="str">
        <f>IF(Goals!A247="","",Goals!D247)</f>
        <v/>
      </c>
      <c r="E298" s="1" t="str">
        <f>IF(Goals!A247="","",Goals!E247)</f>
        <v/>
      </c>
      <c r="F298" s="1" t="str">
        <f>IF(Goals!A247="","",Goals!F247)</f>
        <v/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 t="str">
        <f>IF(Goals!A248="","",Goals!A248)</f>
        <v/>
      </c>
      <c r="B299" s="1" t="str">
        <f>IF(Goals!A248="","",Goals!B248)</f>
        <v/>
      </c>
      <c r="C299" s="1" t="str">
        <f>IF(Goals!A248="","",Goals!C248)</f>
        <v/>
      </c>
      <c r="D299" s="1" t="str">
        <f>IF(Goals!A248="","",Goals!D248)</f>
        <v/>
      </c>
      <c r="E299" s="1" t="str">
        <f>IF(Goals!A248="","",Goals!E248)</f>
        <v/>
      </c>
      <c r="F299" s="1" t="str">
        <f>IF(Goals!A248="","",Goals!F248)</f>
        <v/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 t="str">
        <f>IF(Goals!A249="","",Goals!A249)</f>
        <v/>
      </c>
      <c r="B300" s="1" t="str">
        <f>IF(Goals!A249="","",Goals!B249)</f>
        <v/>
      </c>
      <c r="C300" s="1" t="str">
        <f>IF(Goals!A249="","",Goals!C249)</f>
        <v/>
      </c>
      <c r="D300" s="1" t="str">
        <f>IF(Goals!A249="","",Goals!D249)</f>
        <v/>
      </c>
      <c r="E300" s="1" t="str">
        <f>IF(Goals!A249="","",Goals!E249)</f>
        <v/>
      </c>
      <c r="F300" s="1" t="str">
        <f>IF(Goals!A249="","",Goals!F249)</f>
        <v/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 t="str">
        <f>IF(Goals!A250="","",Goals!A250)</f>
        <v/>
      </c>
      <c r="B301" s="1" t="str">
        <f>IF(Goals!A250="","",Goals!B250)</f>
        <v/>
      </c>
      <c r="C301" s="1" t="str">
        <f>IF(Goals!A250="","",Goals!C250)</f>
        <v/>
      </c>
      <c r="D301" s="1" t="str">
        <f>IF(Goals!A250="","",Goals!D250)</f>
        <v/>
      </c>
      <c r="E301" s="1" t="str">
        <f>IF(Goals!A250="","",Goals!E250)</f>
        <v/>
      </c>
      <c r="F301" s="1" t="str">
        <f>IF(Goals!A250="","",Goals!F250)</f>
        <v/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 t="str">
        <f>IF(Goals!A251="","",Goals!A251)</f>
        <v/>
      </c>
      <c r="B302" s="1" t="str">
        <f>IF(Goals!A251="","",Goals!B251)</f>
        <v/>
      </c>
      <c r="C302" s="1" t="str">
        <f>IF(Goals!A251="","",Goals!C251)</f>
        <v/>
      </c>
      <c r="D302" s="1" t="str">
        <f>IF(Goals!A251="","",Goals!D251)</f>
        <v/>
      </c>
      <c r="E302" s="1" t="str">
        <f>IF(Goals!A251="","",Goals!E251)</f>
        <v/>
      </c>
      <c r="F302" s="1" t="str">
        <f>IF(Goals!A251="","",Goals!F251)</f>
        <v/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 t="str">
        <f>IF(Goals!A252="","",Goals!A252)</f>
        <v/>
      </c>
      <c r="B303" s="1" t="str">
        <f>IF(Goals!A252="","",Goals!B252)</f>
        <v/>
      </c>
      <c r="C303" s="1" t="str">
        <f>IF(Goals!A252="","",Goals!C252)</f>
        <v/>
      </c>
      <c r="D303" s="1" t="str">
        <f>IF(Goals!A252="","",Goals!D252)</f>
        <v/>
      </c>
      <c r="E303" s="1" t="str">
        <f>IF(Goals!A252="","",Goals!E252)</f>
        <v/>
      </c>
      <c r="F303" s="1" t="str">
        <f>IF(Goals!A252="","",Goals!F252)</f>
        <v/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 t="str">
        <f>IF(Goals!A253="","",Goals!A253)</f>
        <v/>
      </c>
      <c r="B304" s="1" t="str">
        <f>IF(Goals!A253="","",Goals!B253)</f>
        <v/>
      </c>
      <c r="C304" s="1" t="str">
        <f>IF(Goals!A253="","",Goals!C253)</f>
        <v/>
      </c>
      <c r="D304" s="1" t="str">
        <f>IF(Goals!A253="","",Goals!D253)</f>
        <v/>
      </c>
      <c r="E304" s="1" t="str">
        <f>IF(Goals!A253="","",Goals!E253)</f>
        <v/>
      </c>
      <c r="F304" s="1" t="str">
        <f>IF(Goals!A253="","",Goals!F253)</f>
        <v/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 t="str">
        <f>IF(Goals!A254="","",Goals!A254)</f>
        <v/>
      </c>
      <c r="B305" s="1" t="str">
        <f>IF(Goals!A254="","",Goals!B254)</f>
        <v/>
      </c>
      <c r="C305" s="1" t="str">
        <f>IF(Goals!A254="","",Goals!C254)</f>
        <v/>
      </c>
      <c r="D305" s="1" t="str">
        <f>IF(Goals!A254="","",Goals!D254)</f>
        <v/>
      </c>
      <c r="E305" s="1" t="str">
        <f>IF(Goals!A254="","",Goals!E254)</f>
        <v/>
      </c>
      <c r="F305" s="1" t="str">
        <f>IF(Goals!A254="","",Goals!F254)</f>
        <v/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 t="str">
        <f>IF(Goals!A255="","",Goals!A255)</f>
        <v/>
      </c>
      <c r="B306" s="1" t="str">
        <f>IF(Goals!A255="","",Goals!B255)</f>
        <v/>
      </c>
      <c r="C306" s="1" t="str">
        <f>IF(Goals!A255="","",Goals!C255)</f>
        <v/>
      </c>
      <c r="D306" s="1" t="str">
        <f>IF(Goals!A255="","",Goals!D255)</f>
        <v/>
      </c>
      <c r="E306" s="1" t="str">
        <f>IF(Goals!A255="","",Goals!E255)</f>
        <v/>
      </c>
      <c r="F306" s="1" t="str">
        <f>IF(Goals!A255="","",Goals!F255)</f>
        <v/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 t="str">
        <f>IF(Goals!A256="","",Goals!A256)</f>
        <v/>
      </c>
      <c r="B307" s="1" t="str">
        <f>IF(Goals!A256="","",Goals!B256)</f>
        <v/>
      </c>
      <c r="C307" s="1" t="str">
        <f>IF(Goals!A256="","",Goals!C256)</f>
        <v/>
      </c>
      <c r="D307" s="1" t="str">
        <f>IF(Goals!A256="","",Goals!D256)</f>
        <v/>
      </c>
      <c r="E307" s="1" t="str">
        <f>IF(Goals!A256="","",Goals!E256)</f>
        <v/>
      </c>
      <c r="F307" s="1" t="str">
        <f>IF(Goals!A256="","",Goals!F256)</f>
        <v/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 t="str">
        <f>IF(Goals!A257="","",Goals!A257)</f>
        <v/>
      </c>
      <c r="B308" s="1" t="str">
        <f>IF(Goals!A257="","",Goals!B257)</f>
        <v/>
      </c>
      <c r="C308" s="1" t="str">
        <f>IF(Goals!A257="","",Goals!C257)</f>
        <v/>
      </c>
      <c r="D308" s="1" t="str">
        <f>IF(Goals!A257="","",Goals!D257)</f>
        <v/>
      </c>
      <c r="E308" s="1" t="str">
        <f>IF(Goals!A257="","",Goals!E257)</f>
        <v/>
      </c>
      <c r="F308" s="1" t="str">
        <f>IF(Goals!A257="","",Goals!F257)</f>
        <v/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 t="str">
        <f>IF(Goals!A258="","",Goals!A258)</f>
        <v/>
      </c>
      <c r="B309" s="1" t="str">
        <f>IF(Goals!A258="","",Goals!B258)</f>
        <v/>
      </c>
      <c r="C309" s="1" t="str">
        <f>IF(Goals!A258="","",Goals!C258)</f>
        <v/>
      </c>
      <c r="D309" s="1" t="str">
        <f>IF(Goals!A258="","",Goals!D258)</f>
        <v/>
      </c>
      <c r="E309" s="1" t="str">
        <f>IF(Goals!A258="","",Goals!E258)</f>
        <v/>
      </c>
      <c r="F309" s="1" t="str">
        <f>IF(Goals!A258="","",Goals!F258)</f>
        <v/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 t="str">
        <f>IF(Goals!A259="","",Goals!A259)</f>
        <v/>
      </c>
      <c r="B310" s="1" t="str">
        <f>IF(Goals!A259="","",Goals!B259)</f>
        <v/>
      </c>
      <c r="C310" s="1" t="str">
        <f>IF(Goals!A259="","",Goals!C259)</f>
        <v/>
      </c>
      <c r="D310" s="1" t="str">
        <f>IF(Goals!A259="","",Goals!D259)</f>
        <v/>
      </c>
      <c r="E310" s="1" t="str">
        <f>IF(Goals!A259="","",Goals!E259)</f>
        <v/>
      </c>
      <c r="F310" s="1" t="str">
        <f>IF(Goals!A259="","",Goals!F259)</f>
        <v/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 t="str">
        <f>IF(Goals!A260="","",Goals!A260)</f>
        <v/>
      </c>
      <c r="B311" s="1" t="str">
        <f>IF(Goals!A260="","",Goals!B260)</f>
        <v/>
      </c>
      <c r="C311" s="1" t="str">
        <f>IF(Goals!A260="","",Goals!C260)</f>
        <v/>
      </c>
      <c r="D311" s="1" t="str">
        <f>IF(Goals!A260="","",Goals!D260)</f>
        <v/>
      </c>
      <c r="E311" s="1" t="str">
        <f>IF(Goals!A260="","",Goals!E260)</f>
        <v/>
      </c>
      <c r="F311" s="1" t="str">
        <f>IF(Goals!A260="","",Goals!F260)</f>
        <v/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 t="str">
        <f>IF(Goals!A261="","",Goals!A261)</f>
        <v/>
      </c>
      <c r="B312" s="1" t="str">
        <f>IF(Goals!A261="","",Goals!B261)</f>
        <v/>
      </c>
      <c r="C312" s="1" t="str">
        <f>IF(Goals!A261="","",Goals!C261)</f>
        <v/>
      </c>
      <c r="D312" s="1" t="str">
        <f>IF(Goals!A261="","",Goals!D261)</f>
        <v/>
      </c>
      <c r="E312" s="1" t="str">
        <f>IF(Goals!A261="","",Goals!E261)</f>
        <v/>
      </c>
      <c r="F312" s="1" t="str">
        <f>IF(Goals!A261="","",Goals!F261)</f>
        <v/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 t="str">
        <f>IF(Goals!A262="","",Goals!A262)</f>
        <v/>
      </c>
      <c r="B313" s="1" t="str">
        <f>IF(Goals!A262="","",Goals!B262)</f>
        <v/>
      </c>
      <c r="C313" s="1" t="str">
        <f>IF(Goals!A262="","",Goals!C262)</f>
        <v/>
      </c>
      <c r="D313" s="1" t="str">
        <f>IF(Goals!A262="","",Goals!D262)</f>
        <v/>
      </c>
      <c r="E313" s="1" t="str">
        <f>IF(Goals!A262="","",Goals!E262)</f>
        <v/>
      </c>
      <c r="F313" s="1" t="str">
        <f>IF(Goals!A262="","",Goals!F262)</f>
        <v/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 t="str">
        <f>IF(Goals!A263="","",Goals!A263)</f>
        <v/>
      </c>
      <c r="B314" s="1" t="str">
        <f>IF(Goals!A263="","",Goals!B263)</f>
        <v/>
      </c>
      <c r="C314" s="1" t="str">
        <f>IF(Goals!A263="","",Goals!C263)</f>
        <v/>
      </c>
      <c r="D314" s="1" t="str">
        <f>IF(Goals!A263="","",Goals!D263)</f>
        <v/>
      </c>
      <c r="E314" s="1" t="str">
        <f>IF(Goals!A263="","",Goals!E263)</f>
        <v/>
      </c>
      <c r="F314" s="1" t="str">
        <f>IF(Goals!A263="","",Goals!F263)</f>
        <v/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 t="str">
        <f>IF(Goals!A264="","",Goals!A264)</f>
        <v/>
      </c>
      <c r="B315" s="1" t="str">
        <f>IF(Goals!A264="","",Goals!B264)</f>
        <v/>
      </c>
      <c r="C315" s="1" t="str">
        <f>IF(Goals!A264="","",Goals!C264)</f>
        <v/>
      </c>
      <c r="D315" s="1" t="str">
        <f>IF(Goals!A264="","",Goals!D264)</f>
        <v/>
      </c>
      <c r="E315" s="1" t="str">
        <f>IF(Goals!A264="","",Goals!E264)</f>
        <v/>
      </c>
      <c r="F315" s="1" t="str">
        <f>IF(Goals!A264="","",Goals!F264)</f>
        <v/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 t="str">
        <f>IF(Goals!A265="","",Goals!A265)</f>
        <v/>
      </c>
      <c r="B316" s="1" t="str">
        <f>IF(Goals!A265="","",Goals!B265)</f>
        <v/>
      </c>
      <c r="C316" s="1" t="str">
        <f>IF(Goals!A265="","",Goals!C265)</f>
        <v/>
      </c>
      <c r="D316" s="1" t="str">
        <f>IF(Goals!A265="","",Goals!D265)</f>
        <v/>
      </c>
      <c r="E316" s="1" t="str">
        <f>IF(Goals!A265="","",Goals!E265)</f>
        <v/>
      </c>
      <c r="F316" s="1" t="str">
        <f>IF(Goals!A265="","",Goals!F265)</f>
        <v/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 t="str">
        <f>IF(Goals!A266="","",Goals!A266)</f>
        <v/>
      </c>
      <c r="B317" s="1" t="str">
        <f>IF(Goals!A266="","",Goals!B266)</f>
        <v/>
      </c>
      <c r="C317" s="1" t="str">
        <f>IF(Goals!A266="","",Goals!C266)</f>
        <v/>
      </c>
      <c r="D317" s="1" t="str">
        <f>IF(Goals!A266="","",Goals!D266)</f>
        <v/>
      </c>
      <c r="E317" s="1" t="str">
        <f>IF(Goals!A266="","",Goals!E266)</f>
        <v/>
      </c>
      <c r="F317" s="1" t="str">
        <f>IF(Goals!A266="","",Goals!F266)</f>
        <v/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 t="str">
        <f>IF(Goals!A267="","",Goals!A267)</f>
        <v/>
      </c>
      <c r="B318" s="1" t="str">
        <f>IF(Goals!A267="","",Goals!B267)</f>
        <v/>
      </c>
      <c r="C318" s="1" t="str">
        <f>IF(Goals!A267="","",Goals!C267)</f>
        <v/>
      </c>
      <c r="D318" s="1" t="str">
        <f>IF(Goals!A267="","",Goals!D267)</f>
        <v/>
      </c>
      <c r="E318" s="1" t="str">
        <f>IF(Goals!A267="","",Goals!E267)</f>
        <v/>
      </c>
      <c r="F318" s="1" t="str">
        <f>IF(Goals!A267="","",Goals!F267)</f>
        <v/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 t="str">
        <f>IF(Goals!A268="","",Goals!A268)</f>
        <v/>
      </c>
      <c r="B319" s="1" t="str">
        <f>IF(Goals!A268="","",Goals!B268)</f>
        <v/>
      </c>
      <c r="C319" s="1" t="str">
        <f>IF(Goals!A268="","",Goals!C268)</f>
        <v/>
      </c>
      <c r="D319" s="1" t="str">
        <f>IF(Goals!A268="","",Goals!D268)</f>
        <v/>
      </c>
      <c r="E319" s="1" t="str">
        <f>IF(Goals!A268="","",Goals!E268)</f>
        <v/>
      </c>
      <c r="F319" s="1" t="str">
        <f>IF(Goals!A268="","",Goals!F268)</f>
        <v/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 t="str">
        <f>IF(Goals!A269="","",Goals!A269)</f>
        <v/>
      </c>
      <c r="B320" s="1" t="str">
        <f>IF(Goals!A269="","",Goals!B269)</f>
        <v/>
      </c>
      <c r="C320" s="1" t="str">
        <f>IF(Goals!A269="","",Goals!C269)</f>
        <v/>
      </c>
      <c r="D320" s="1" t="str">
        <f>IF(Goals!A269="","",Goals!D269)</f>
        <v/>
      </c>
      <c r="E320" s="1" t="str">
        <f>IF(Goals!A269="","",Goals!E269)</f>
        <v/>
      </c>
      <c r="F320" s="1" t="str">
        <f>IF(Goals!A269="","",Goals!F269)</f>
        <v/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 t="str">
        <f>IF(Goals!A270="","",Goals!A270)</f>
        <v/>
      </c>
      <c r="B321" s="1" t="str">
        <f>IF(Goals!A270="","",Goals!B270)</f>
        <v/>
      </c>
      <c r="C321" s="1" t="str">
        <f>IF(Goals!A270="","",Goals!C270)</f>
        <v/>
      </c>
      <c r="D321" s="1" t="str">
        <f>IF(Goals!A270="","",Goals!D270)</f>
        <v/>
      </c>
      <c r="E321" s="1" t="str">
        <f>IF(Goals!A270="","",Goals!E270)</f>
        <v/>
      </c>
      <c r="F321" s="1" t="str">
        <f>IF(Goals!A270="","",Goals!F270)</f>
        <v/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 t="str">
        <f>IF(Goals!A271="","",Goals!A271)</f>
        <v/>
      </c>
      <c r="B322" s="1" t="str">
        <f>IF(Goals!A271="","",Goals!B271)</f>
        <v/>
      </c>
      <c r="C322" s="1" t="str">
        <f>IF(Goals!A271="","",Goals!C271)</f>
        <v/>
      </c>
      <c r="D322" s="1" t="str">
        <f>IF(Goals!A271="","",Goals!D271)</f>
        <v/>
      </c>
      <c r="E322" s="1" t="str">
        <f>IF(Goals!A271="","",Goals!E271)</f>
        <v/>
      </c>
      <c r="F322" s="1" t="str">
        <f>IF(Goals!A271="","",Goals!F271)</f>
        <v/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 t="str">
        <f>IF(Goals!A272="","",Goals!A272)</f>
        <v/>
      </c>
      <c r="B323" s="1" t="str">
        <f>IF(Goals!A272="","",Goals!B272)</f>
        <v/>
      </c>
      <c r="C323" s="1" t="str">
        <f>IF(Goals!A272="","",Goals!C272)</f>
        <v/>
      </c>
      <c r="D323" s="1" t="str">
        <f>IF(Goals!A272="","",Goals!D272)</f>
        <v/>
      </c>
      <c r="E323" s="1" t="str">
        <f>IF(Goals!A272="","",Goals!E272)</f>
        <v/>
      </c>
      <c r="F323" s="1" t="str">
        <f>IF(Goals!A272="","",Goals!F272)</f>
        <v/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 t="str">
        <f>IF(Goals!A273="","",Goals!A273)</f>
        <v/>
      </c>
      <c r="B324" s="1" t="str">
        <f>IF(Goals!A273="","",Goals!B273)</f>
        <v/>
      </c>
      <c r="C324" s="1" t="str">
        <f>IF(Goals!A273="","",Goals!C273)</f>
        <v/>
      </c>
      <c r="D324" s="1" t="str">
        <f>IF(Goals!A273="","",Goals!D273)</f>
        <v/>
      </c>
      <c r="E324" s="1" t="str">
        <f>IF(Goals!A273="","",Goals!E273)</f>
        <v/>
      </c>
      <c r="F324" s="1" t="str">
        <f>IF(Goals!A273="","",Goals!F273)</f>
        <v/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 t="str">
        <f>IF(Goals!A274="","",Goals!A274)</f>
        <v/>
      </c>
      <c r="B325" s="1" t="str">
        <f>IF(Goals!A274="","",Goals!B274)</f>
        <v/>
      </c>
      <c r="C325" s="1" t="str">
        <f>IF(Goals!A274="","",Goals!C274)</f>
        <v/>
      </c>
      <c r="D325" s="1" t="str">
        <f>IF(Goals!A274="","",Goals!D274)</f>
        <v/>
      </c>
      <c r="E325" s="1" t="str">
        <f>IF(Goals!A274="","",Goals!E274)</f>
        <v/>
      </c>
      <c r="F325" s="1" t="str">
        <f>IF(Goals!A274="","",Goals!F274)</f>
        <v/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 t="str">
        <f>IF(Goals!A275="","",Goals!A275)</f>
        <v/>
      </c>
      <c r="B326" s="1" t="str">
        <f>IF(Goals!A275="","",Goals!B275)</f>
        <v/>
      </c>
      <c r="C326" s="1" t="str">
        <f>IF(Goals!A275="","",Goals!C275)</f>
        <v/>
      </c>
      <c r="D326" s="1" t="str">
        <f>IF(Goals!A275="","",Goals!D275)</f>
        <v/>
      </c>
      <c r="E326" s="1" t="str">
        <f>IF(Goals!A275="","",Goals!E275)</f>
        <v/>
      </c>
      <c r="F326" s="1" t="str">
        <f>IF(Goals!A275="","",Goals!F275)</f>
        <v/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 t="str">
        <f>IF(Goals!A276="","",Goals!A276)</f>
        <v/>
      </c>
      <c r="B327" s="1" t="str">
        <f>IF(Goals!A276="","",Goals!B276)</f>
        <v/>
      </c>
      <c r="C327" s="1" t="str">
        <f>IF(Goals!A276="","",Goals!C276)</f>
        <v/>
      </c>
      <c r="D327" s="1" t="str">
        <f>IF(Goals!A276="","",Goals!D276)</f>
        <v/>
      </c>
      <c r="E327" s="1" t="str">
        <f>IF(Goals!A276="","",Goals!E276)</f>
        <v/>
      </c>
      <c r="F327" s="1" t="str">
        <f>IF(Goals!A276="","",Goals!F276)</f>
        <v/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 t="str">
        <f>IF(Goals!A277="","",Goals!A277)</f>
        <v/>
      </c>
      <c r="B328" s="1" t="str">
        <f>IF(Goals!A277="","",Goals!B277)</f>
        <v/>
      </c>
      <c r="C328" s="1" t="str">
        <f>IF(Goals!A277="","",Goals!C277)</f>
        <v/>
      </c>
      <c r="D328" s="1" t="str">
        <f>IF(Goals!A277="","",Goals!D277)</f>
        <v/>
      </c>
      <c r="E328" s="1" t="str">
        <f>IF(Goals!A277="","",Goals!E277)</f>
        <v/>
      </c>
      <c r="F328" s="1" t="str">
        <f>IF(Goals!A277="","",Goals!F277)</f>
        <v/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 t="str">
        <f>IF(Goals!A278="","",Goals!A278)</f>
        <v/>
      </c>
      <c r="B329" s="1" t="str">
        <f>IF(Goals!A278="","",Goals!B278)</f>
        <v/>
      </c>
      <c r="C329" s="1" t="str">
        <f>IF(Goals!A278="","",Goals!C278)</f>
        <v/>
      </c>
      <c r="D329" s="1" t="str">
        <f>IF(Goals!A278="","",Goals!D278)</f>
        <v/>
      </c>
      <c r="E329" s="1" t="str">
        <f>IF(Goals!A278="","",Goals!E278)</f>
        <v/>
      </c>
      <c r="F329" s="1" t="str">
        <f>IF(Goals!A278="","",Goals!F278)</f>
        <v/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 t="str">
        <f>IF(Goals!A279="","",Goals!A279)</f>
        <v/>
      </c>
      <c r="B330" s="1" t="str">
        <f>IF(Goals!A279="","",Goals!B279)</f>
        <v/>
      </c>
      <c r="C330" s="1" t="str">
        <f>IF(Goals!A279="","",Goals!C279)</f>
        <v/>
      </c>
      <c r="D330" s="1" t="str">
        <f>IF(Goals!A279="","",Goals!D279)</f>
        <v/>
      </c>
      <c r="E330" s="1" t="str">
        <f>IF(Goals!A279="","",Goals!E279)</f>
        <v/>
      </c>
      <c r="F330" s="1" t="str">
        <f>IF(Goals!A279="","",Goals!F279)</f>
        <v/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 t="str">
        <f>IF(Goals!A280="","",Goals!A280)</f>
        <v/>
      </c>
      <c r="B331" s="1" t="str">
        <f>IF(Goals!A280="","",Goals!B280)</f>
        <v/>
      </c>
      <c r="C331" s="1" t="str">
        <f>IF(Goals!A280="","",Goals!C280)</f>
        <v/>
      </c>
      <c r="D331" s="1" t="str">
        <f>IF(Goals!A280="","",Goals!D280)</f>
        <v/>
      </c>
      <c r="E331" s="1" t="str">
        <f>IF(Goals!A280="","",Goals!E280)</f>
        <v/>
      </c>
      <c r="F331" s="1" t="str">
        <f>IF(Goals!A280="","",Goals!F280)</f>
        <v/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 t="str">
        <f>IF(Goals!A281="","",Goals!A281)</f>
        <v/>
      </c>
      <c r="B332" s="1" t="str">
        <f>IF(Goals!A281="","",Goals!B281)</f>
        <v/>
      </c>
      <c r="C332" s="1" t="str">
        <f>IF(Goals!A281="","",Goals!C281)</f>
        <v/>
      </c>
      <c r="D332" s="1" t="str">
        <f>IF(Goals!A281="","",Goals!D281)</f>
        <v/>
      </c>
      <c r="E332" s="1" t="str">
        <f>IF(Goals!A281="","",Goals!E281)</f>
        <v/>
      </c>
      <c r="F332" s="1" t="str">
        <f>IF(Goals!A281="","",Goals!F281)</f>
        <v/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 t="str">
        <f>IF(Goals!A282="","",Goals!A282)</f>
        <v/>
      </c>
      <c r="B333" s="1" t="str">
        <f>IF(Goals!A282="","",Goals!B282)</f>
        <v/>
      </c>
      <c r="C333" s="1" t="str">
        <f>IF(Goals!A282="","",Goals!C282)</f>
        <v/>
      </c>
      <c r="D333" s="1" t="str">
        <f>IF(Goals!A282="","",Goals!D282)</f>
        <v/>
      </c>
      <c r="E333" s="1" t="str">
        <f>IF(Goals!A282="","",Goals!E282)</f>
        <v/>
      </c>
      <c r="F333" s="1" t="str">
        <f>IF(Goals!A282="","",Goals!F282)</f>
        <v/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 t="str">
        <f>IF(Goals!A283="","",Goals!A283)</f>
        <v/>
      </c>
      <c r="B334" s="1" t="str">
        <f>IF(Goals!A283="","",Goals!B283)</f>
        <v/>
      </c>
      <c r="C334" s="1" t="str">
        <f>IF(Goals!A283="","",Goals!C283)</f>
        <v/>
      </c>
      <c r="D334" s="1" t="str">
        <f>IF(Goals!A283="","",Goals!D283)</f>
        <v/>
      </c>
      <c r="E334" s="1" t="str">
        <f>IF(Goals!A283="","",Goals!E283)</f>
        <v/>
      </c>
      <c r="F334" s="1" t="str">
        <f>IF(Goals!A283="","",Goals!F283)</f>
        <v/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 t="str">
        <f>IF(Goals!A284="","",Goals!A284)</f>
        <v/>
      </c>
      <c r="B335" s="1" t="str">
        <f>IF(Goals!A284="","",Goals!B284)</f>
        <v/>
      </c>
      <c r="C335" s="1" t="str">
        <f>IF(Goals!A284="","",Goals!C284)</f>
        <v/>
      </c>
      <c r="D335" s="1" t="str">
        <f>IF(Goals!A284="","",Goals!D284)</f>
        <v/>
      </c>
      <c r="E335" s="1" t="str">
        <f>IF(Goals!A284="","",Goals!E284)</f>
        <v/>
      </c>
      <c r="F335" s="1" t="str">
        <f>IF(Goals!A284="","",Goals!F284)</f>
        <v/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 t="str">
        <f>IF(Goals!A285="","",Goals!A285)</f>
        <v/>
      </c>
      <c r="B336" s="1" t="str">
        <f>IF(Goals!A285="","",Goals!B285)</f>
        <v/>
      </c>
      <c r="C336" s="1" t="str">
        <f>IF(Goals!A285="","",Goals!C285)</f>
        <v/>
      </c>
      <c r="D336" s="1" t="str">
        <f>IF(Goals!A285="","",Goals!D285)</f>
        <v/>
      </c>
      <c r="E336" s="1" t="str">
        <f>IF(Goals!A285="","",Goals!E285)</f>
        <v/>
      </c>
      <c r="F336" s="1" t="str">
        <f>IF(Goals!A285="","",Goals!F285)</f>
        <v/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 t="str">
        <f>IF(Goals!A286="","",Goals!A286)</f>
        <v/>
      </c>
      <c r="B337" s="1" t="str">
        <f>IF(Goals!A286="","",Goals!B286)</f>
        <v/>
      </c>
      <c r="C337" s="1" t="str">
        <f>IF(Goals!A286="","",Goals!C286)</f>
        <v/>
      </c>
      <c r="D337" s="1" t="str">
        <f>IF(Goals!A286="","",Goals!D286)</f>
        <v/>
      </c>
      <c r="E337" s="1" t="str">
        <f>IF(Goals!A286="","",Goals!E286)</f>
        <v/>
      </c>
      <c r="F337" s="1" t="str">
        <f>IF(Goals!A286="","",Goals!F286)</f>
        <v/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 t="str">
        <f>IF(Goals!A287="","",Goals!A287)</f>
        <v/>
      </c>
      <c r="B338" s="1" t="str">
        <f>IF(Goals!A287="","",Goals!B287)</f>
        <v/>
      </c>
      <c r="C338" s="1" t="str">
        <f>IF(Goals!A287="","",Goals!C287)</f>
        <v/>
      </c>
      <c r="D338" s="1" t="str">
        <f>IF(Goals!A287="","",Goals!D287)</f>
        <v/>
      </c>
      <c r="E338" s="1" t="str">
        <f>IF(Goals!A287="","",Goals!E287)</f>
        <v/>
      </c>
      <c r="F338" s="1" t="str">
        <f>IF(Goals!A287="","",Goals!F287)</f>
        <v/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 t="str">
        <f>IF(Goals!A288="","",Goals!A288)</f>
        <v/>
      </c>
      <c r="B339" s="1" t="str">
        <f>IF(Goals!A288="","",Goals!B288)</f>
        <v/>
      </c>
      <c r="C339" s="1" t="str">
        <f>IF(Goals!A288="","",Goals!C288)</f>
        <v/>
      </c>
      <c r="D339" s="1" t="str">
        <f>IF(Goals!A288="","",Goals!D288)</f>
        <v/>
      </c>
      <c r="E339" s="1" t="str">
        <f>IF(Goals!A288="","",Goals!E288)</f>
        <v/>
      </c>
      <c r="F339" s="1" t="str">
        <f>IF(Goals!A288="","",Goals!F288)</f>
        <v/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 t="str">
        <f>IF(Goals!A289="","",Goals!A289)</f>
        <v/>
      </c>
      <c r="B340" s="1" t="str">
        <f>IF(Goals!A289="","",Goals!B289)</f>
        <v/>
      </c>
      <c r="C340" s="1" t="str">
        <f>IF(Goals!A289="","",Goals!C289)</f>
        <v/>
      </c>
      <c r="D340" s="1" t="str">
        <f>IF(Goals!A289="","",Goals!D289)</f>
        <v/>
      </c>
      <c r="E340" s="1" t="str">
        <f>IF(Goals!A289="","",Goals!E289)</f>
        <v/>
      </c>
      <c r="F340" s="1" t="str">
        <f>IF(Goals!A289="","",Goals!F289)</f>
        <v/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 t="e">
        <f>IF(Goals!A290="","",Goals!A290)</f>
        <v>#REF!</v>
      </c>
      <c r="B341" s="1" t="e">
        <f>IF(Goals!A290="","",Goals!B290)</f>
        <v>#REF!</v>
      </c>
      <c r="C341" s="1" t="e">
        <f>IF(Goals!A290="","",Goals!C290)</f>
        <v>#REF!</v>
      </c>
      <c r="D341" s="1" t="e">
        <f>IF(Goals!A290="","",Goals!D290)</f>
        <v>#REF!</v>
      </c>
      <c r="E341" s="1" t="e">
        <f>IF(Goals!A290="","",Goals!E290)</f>
        <v>#REF!</v>
      </c>
      <c r="F341" s="1" t="e">
        <f>IF(Goals!A290="","",Goals!F290)</f>
        <v>#REF!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 t="e">
        <f>IF(Goals!A291="","",Goals!A291)</f>
        <v>#REF!</v>
      </c>
      <c r="B342" s="1" t="e">
        <f>IF(Goals!A291="","",Goals!B291)</f>
        <v>#REF!</v>
      </c>
      <c r="C342" s="1" t="e">
        <f>IF(Goals!A291="","",Goals!C291)</f>
        <v>#REF!</v>
      </c>
      <c r="D342" s="1" t="e">
        <f>IF(Goals!A291="","",Goals!D291)</f>
        <v>#REF!</v>
      </c>
      <c r="E342" s="1" t="e">
        <f>IF(Goals!A291="","",Goals!E291)</f>
        <v>#REF!</v>
      </c>
      <c r="F342" s="1" t="e">
        <f>IF(Goals!A291="","",Goals!F291)</f>
        <v>#REF!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 t="e">
        <f>IF(Goals!A292="","",Goals!A292)</f>
        <v>#REF!</v>
      </c>
      <c r="B343" s="1" t="e">
        <f>IF(Goals!A292="","",Goals!B292)</f>
        <v>#REF!</v>
      </c>
      <c r="C343" s="1" t="e">
        <f>IF(Goals!A292="","",Goals!C292)</f>
        <v>#REF!</v>
      </c>
      <c r="D343" s="1" t="e">
        <f>IF(Goals!A292="","",Goals!D292)</f>
        <v>#REF!</v>
      </c>
      <c r="E343" s="1" t="e">
        <f>IF(Goals!A292="","",Goals!E292)</f>
        <v>#REF!</v>
      </c>
      <c r="F343" s="1" t="e">
        <f>IF(Goals!A292="","",Goals!F292)</f>
        <v>#REF!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 t="e">
        <f>IF(Goals!A293="","",Goals!A293)</f>
        <v>#REF!</v>
      </c>
      <c r="B344" s="1" t="e">
        <f>IF(Goals!A293="","",Goals!B293)</f>
        <v>#REF!</v>
      </c>
      <c r="C344" s="1" t="e">
        <f>IF(Goals!A293="","",Goals!C293)</f>
        <v>#REF!</v>
      </c>
      <c r="D344" s="1" t="e">
        <f>IF(Goals!A293="","",Goals!D293)</f>
        <v>#REF!</v>
      </c>
      <c r="E344" s="1" t="e">
        <f>IF(Goals!A293="","",Goals!E293)</f>
        <v>#REF!</v>
      </c>
      <c r="F344" s="1" t="e">
        <f>IF(Goals!A293="","",Goals!F293)</f>
        <v>#REF!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 t="e">
        <f>IF(Goals!A294="","",Goals!A294)</f>
        <v>#REF!</v>
      </c>
      <c r="B345" s="1" t="e">
        <f>IF(Goals!A294="","",Goals!B294)</f>
        <v>#REF!</v>
      </c>
      <c r="C345" s="1" t="e">
        <f>IF(Goals!A294="","",Goals!C294)</f>
        <v>#REF!</v>
      </c>
      <c r="D345" s="1" t="e">
        <f>IF(Goals!A294="","",Goals!D294)</f>
        <v>#REF!</v>
      </c>
      <c r="E345" s="1" t="e">
        <f>IF(Goals!A294="","",Goals!E294)</f>
        <v>#REF!</v>
      </c>
      <c r="F345" s="1" t="e">
        <f>IF(Goals!A294="","",Goals!F294)</f>
        <v>#REF!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 t="e">
        <f>IF(Goals!A295="","",Goals!A295)</f>
        <v>#REF!</v>
      </c>
      <c r="B346" s="1" t="e">
        <f>IF(Goals!A295="","",Goals!B295)</f>
        <v>#REF!</v>
      </c>
      <c r="C346" s="1" t="e">
        <f>IF(Goals!A295="","",Goals!C295)</f>
        <v>#REF!</v>
      </c>
      <c r="D346" s="1" t="e">
        <f>IF(Goals!A295="","",Goals!D295)</f>
        <v>#REF!</v>
      </c>
      <c r="E346" s="1" t="e">
        <f>IF(Goals!A295="","",Goals!E295)</f>
        <v>#REF!</v>
      </c>
      <c r="F346" s="1" t="e">
        <f>IF(Goals!A295="","",Goals!F295)</f>
        <v>#REF!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 t="e">
        <f>IF(Goals!A296="","",Goals!A296)</f>
        <v>#REF!</v>
      </c>
      <c r="B347" s="1" t="e">
        <f>IF(Goals!A296="","",Goals!B296)</f>
        <v>#REF!</v>
      </c>
      <c r="C347" s="1" t="e">
        <f>IF(Goals!A296="","",Goals!C296)</f>
        <v>#REF!</v>
      </c>
      <c r="D347" s="1" t="e">
        <f>IF(Goals!A296="","",Goals!D296)</f>
        <v>#REF!</v>
      </c>
      <c r="E347" s="1" t="e">
        <f>IF(Goals!A296="","",Goals!E296)</f>
        <v>#REF!</v>
      </c>
      <c r="F347" s="1" t="e">
        <f>IF(Goals!A296="","",Goals!F296)</f>
        <v>#REF!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 t="e">
        <f>IF(Goals!A297="","",Goals!A297)</f>
        <v>#REF!</v>
      </c>
      <c r="B348" s="1" t="e">
        <f>IF(Goals!A297="","",Goals!B297)</f>
        <v>#REF!</v>
      </c>
      <c r="C348" s="1" t="e">
        <f>IF(Goals!A297="","",Goals!C297)</f>
        <v>#REF!</v>
      </c>
      <c r="D348" s="1" t="e">
        <f>IF(Goals!A297="","",Goals!D297)</f>
        <v>#REF!</v>
      </c>
      <c r="E348" s="1" t="e">
        <f>IF(Goals!A297="","",Goals!E297)</f>
        <v>#REF!</v>
      </c>
      <c r="F348" s="1" t="e">
        <f>IF(Goals!A297="","",Goals!F297)</f>
        <v>#REF!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 t="e">
        <f>IF(Goals!A298="","",Goals!A298)</f>
        <v>#REF!</v>
      </c>
      <c r="B349" s="1" t="e">
        <f>IF(Goals!A298="","",Goals!B298)</f>
        <v>#REF!</v>
      </c>
      <c r="C349" s="1" t="e">
        <f>IF(Goals!A298="","",Goals!C298)</f>
        <v>#REF!</v>
      </c>
      <c r="D349" s="1" t="e">
        <f>IF(Goals!A298="","",Goals!D298)</f>
        <v>#REF!</v>
      </c>
      <c r="E349" s="1" t="e">
        <f>IF(Goals!A298="","",Goals!E298)</f>
        <v>#REF!</v>
      </c>
      <c r="F349" s="1" t="e">
        <f>IF(Goals!A298="","",Goals!F298)</f>
        <v>#REF!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 t="e">
        <f>IF(Goals!A299="","",Goals!A299)</f>
        <v>#REF!</v>
      </c>
      <c r="B350" s="1" t="e">
        <f>IF(Goals!A299="","",Goals!B299)</f>
        <v>#REF!</v>
      </c>
      <c r="C350" s="1" t="e">
        <f>IF(Goals!A299="","",Goals!C299)</f>
        <v>#REF!</v>
      </c>
      <c r="D350" s="1" t="e">
        <f>IF(Goals!A299="","",Goals!D299)</f>
        <v>#REF!</v>
      </c>
      <c r="E350" s="1" t="e">
        <f>IF(Goals!A299="","",Goals!E299)</f>
        <v>#REF!</v>
      </c>
      <c r="F350" s="1" t="e">
        <f>IF(Goals!A299="","",Goals!F299)</f>
        <v>#REF!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 t="e">
        <f>IF(Goals!A300="","",Goals!A300)</f>
        <v>#REF!</v>
      </c>
      <c r="B351" s="1" t="e">
        <f>IF(Goals!A300="","",Goals!B300)</f>
        <v>#REF!</v>
      </c>
      <c r="C351" s="1" t="e">
        <f>IF(Goals!A300="","",Goals!C300)</f>
        <v>#REF!</v>
      </c>
      <c r="D351" s="1" t="e">
        <f>IF(Goals!A300="","",Goals!D300)</f>
        <v>#REF!</v>
      </c>
      <c r="E351" s="1" t="e">
        <f>IF(Goals!A300="","",Goals!E300)</f>
        <v>#REF!</v>
      </c>
      <c r="F351" s="1" t="e">
        <f>IF(Goals!A300="","",Goals!F300)</f>
        <v>#REF!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 t="e">
        <f>IF(Goals!A301="","",Goals!A301)</f>
        <v>#REF!</v>
      </c>
      <c r="B352" s="1" t="e">
        <f>IF(Goals!A301="","",Goals!B301)</f>
        <v>#REF!</v>
      </c>
      <c r="C352" s="1" t="e">
        <f>IF(Goals!A301="","",Goals!C301)</f>
        <v>#REF!</v>
      </c>
      <c r="D352" s="1" t="e">
        <f>IF(Goals!A301="","",Goals!D301)</f>
        <v>#REF!</v>
      </c>
      <c r="E352" s="1" t="e">
        <f>IF(Goals!A301="","",Goals!E301)</f>
        <v>#REF!</v>
      </c>
      <c r="F352" s="1" t="e">
        <f>IF(Goals!A301="","",Goals!F301)</f>
        <v>#REF!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 t="e">
        <f>IF(Goals!A302="","",Goals!A302)</f>
        <v>#REF!</v>
      </c>
      <c r="B353" s="1" t="e">
        <f>IF(Goals!A302="","",Goals!B302)</f>
        <v>#REF!</v>
      </c>
      <c r="C353" s="1" t="e">
        <f>IF(Goals!A302="","",Goals!C302)</f>
        <v>#REF!</v>
      </c>
      <c r="D353" s="1" t="e">
        <f>IF(Goals!A302="","",Goals!D302)</f>
        <v>#REF!</v>
      </c>
      <c r="E353" s="1" t="e">
        <f>IF(Goals!A302="","",Goals!E302)</f>
        <v>#REF!</v>
      </c>
      <c r="F353" s="1" t="e">
        <f>IF(Goals!A302="","",Goals!F302)</f>
        <v>#REF!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 t="e">
        <f>IF(Goals!A303="","",Goals!A303)</f>
        <v>#REF!</v>
      </c>
      <c r="B354" s="1" t="e">
        <f>IF(Goals!A303="","",Goals!B303)</f>
        <v>#REF!</v>
      </c>
      <c r="C354" s="1" t="e">
        <f>IF(Goals!A303="","",Goals!C303)</f>
        <v>#REF!</v>
      </c>
      <c r="D354" s="1" t="e">
        <f>IF(Goals!A303="","",Goals!D303)</f>
        <v>#REF!</v>
      </c>
      <c r="E354" s="1" t="e">
        <f>IF(Goals!A303="","",Goals!E303)</f>
        <v>#REF!</v>
      </c>
      <c r="F354" s="1" t="e">
        <f>IF(Goals!A303="","",Goals!F303)</f>
        <v>#REF!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 t="e">
        <f>IF(Goals!A304="","",Goals!A304)</f>
        <v>#REF!</v>
      </c>
      <c r="B355" s="1" t="e">
        <f>IF(Goals!A304="","",Goals!B304)</f>
        <v>#REF!</v>
      </c>
      <c r="C355" s="1" t="e">
        <f>IF(Goals!A304="","",Goals!C304)</f>
        <v>#REF!</v>
      </c>
      <c r="D355" s="1" t="e">
        <f>IF(Goals!A304="","",Goals!D304)</f>
        <v>#REF!</v>
      </c>
      <c r="E355" s="1" t="e">
        <f>IF(Goals!A304="","",Goals!E304)</f>
        <v>#REF!</v>
      </c>
      <c r="F355" s="1" t="e">
        <f>IF(Goals!A304="","",Goals!F304)</f>
        <v>#REF!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 t="e">
        <f>IF(Goals!A305="","",Goals!A305)</f>
        <v>#REF!</v>
      </c>
      <c r="B356" s="1" t="e">
        <f>IF(Goals!A305="","",Goals!B305)</f>
        <v>#REF!</v>
      </c>
      <c r="C356" s="1" t="e">
        <f>IF(Goals!A305="","",Goals!C305)</f>
        <v>#REF!</v>
      </c>
      <c r="D356" s="1" t="e">
        <f>IF(Goals!A305="","",Goals!D305)</f>
        <v>#REF!</v>
      </c>
      <c r="E356" s="1" t="e">
        <f>IF(Goals!A305="","",Goals!E305)</f>
        <v>#REF!</v>
      </c>
      <c r="F356" s="1" t="e">
        <f>IF(Goals!A305="","",Goals!F305)</f>
        <v>#REF!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 t="e">
        <f>IF(Goals!A306="","",Goals!A306)</f>
        <v>#REF!</v>
      </c>
      <c r="B357" s="1" t="e">
        <f>IF(Goals!A306="","",Goals!B306)</f>
        <v>#REF!</v>
      </c>
      <c r="C357" s="1" t="e">
        <f>IF(Goals!A306="","",Goals!C306)</f>
        <v>#REF!</v>
      </c>
      <c r="D357" s="1" t="e">
        <f>IF(Goals!A306="","",Goals!D306)</f>
        <v>#REF!</v>
      </c>
      <c r="E357" s="1" t="e">
        <f>IF(Goals!A306="","",Goals!E306)</f>
        <v>#REF!</v>
      </c>
      <c r="F357" s="1" t="e">
        <f>IF(Goals!A306="","",Goals!F306)</f>
        <v>#REF!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 t="e">
        <f>IF(Goals!A307="","",Goals!A307)</f>
        <v>#REF!</v>
      </c>
      <c r="B358" s="1" t="e">
        <f>IF(Goals!A307="","",Goals!B307)</f>
        <v>#REF!</v>
      </c>
      <c r="C358" s="1" t="e">
        <f>IF(Goals!A307="","",Goals!C307)</f>
        <v>#REF!</v>
      </c>
      <c r="D358" s="1" t="e">
        <f>IF(Goals!A307="","",Goals!D307)</f>
        <v>#REF!</v>
      </c>
      <c r="E358" s="1" t="e">
        <f>IF(Goals!A307="","",Goals!E307)</f>
        <v>#REF!</v>
      </c>
      <c r="F358" s="1" t="e">
        <f>IF(Goals!A307="","",Goals!F307)</f>
        <v>#REF!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 t="e">
        <f>IF(Goals!A308="","",Goals!A308)</f>
        <v>#REF!</v>
      </c>
      <c r="B359" s="1" t="e">
        <f>IF(Goals!A308="","",Goals!B308)</f>
        <v>#REF!</v>
      </c>
      <c r="C359" s="1" t="e">
        <f>IF(Goals!A308="","",Goals!C308)</f>
        <v>#REF!</v>
      </c>
      <c r="D359" s="1" t="e">
        <f>IF(Goals!A308="","",Goals!D308)</f>
        <v>#REF!</v>
      </c>
      <c r="E359" s="1" t="e">
        <f>IF(Goals!A308="","",Goals!E308)</f>
        <v>#REF!</v>
      </c>
      <c r="F359" s="1" t="e">
        <f>IF(Goals!A308="","",Goals!F308)</f>
        <v>#REF!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 t="e">
        <f>IF(Goals!A309="","",Goals!A309)</f>
        <v>#REF!</v>
      </c>
      <c r="B360" s="1" t="e">
        <f>IF(Goals!A309="","",Goals!B309)</f>
        <v>#REF!</v>
      </c>
      <c r="C360" s="1" t="e">
        <f>IF(Goals!A309="","",Goals!C309)</f>
        <v>#REF!</v>
      </c>
      <c r="D360" s="1" t="e">
        <f>IF(Goals!A309="","",Goals!D309)</f>
        <v>#REF!</v>
      </c>
      <c r="E360" s="1" t="e">
        <f>IF(Goals!A309="","",Goals!E309)</f>
        <v>#REF!</v>
      </c>
      <c r="F360" s="1" t="e">
        <f>IF(Goals!A309="","",Goals!F309)</f>
        <v>#REF!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 t="e">
        <f>IF(Goals!A310="","",Goals!A310)</f>
        <v>#REF!</v>
      </c>
      <c r="B361" s="1" t="e">
        <f>IF(Goals!A310="","",Goals!B310)</f>
        <v>#REF!</v>
      </c>
      <c r="C361" s="1" t="e">
        <f>IF(Goals!A310="","",Goals!C310)</f>
        <v>#REF!</v>
      </c>
      <c r="D361" s="1" t="e">
        <f>IF(Goals!A310="","",Goals!D310)</f>
        <v>#REF!</v>
      </c>
      <c r="E361" s="1" t="e">
        <f>IF(Goals!A310="","",Goals!E310)</f>
        <v>#REF!</v>
      </c>
      <c r="F361" s="1" t="e">
        <f>IF(Goals!A310="","",Goals!F310)</f>
        <v>#REF!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 t="e">
        <f>IF(Goals!A311="","",Goals!A311)</f>
        <v>#REF!</v>
      </c>
      <c r="B362" s="1" t="e">
        <f>IF(Goals!A311="","",Goals!B311)</f>
        <v>#REF!</v>
      </c>
      <c r="C362" s="1" t="e">
        <f>IF(Goals!A311="","",Goals!C311)</f>
        <v>#REF!</v>
      </c>
      <c r="D362" s="1" t="e">
        <f>IF(Goals!A311="","",Goals!D311)</f>
        <v>#REF!</v>
      </c>
      <c r="E362" s="1" t="e">
        <f>IF(Goals!A311="","",Goals!E311)</f>
        <v>#REF!</v>
      </c>
      <c r="F362" s="1" t="e">
        <f>IF(Goals!A311="","",Goals!F311)</f>
        <v>#REF!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 t="e">
        <f>IF(Goals!A312="","",Goals!A312)</f>
        <v>#REF!</v>
      </c>
      <c r="B363" s="1" t="e">
        <f>IF(Goals!A312="","",Goals!B312)</f>
        <v>#REF!</v>
      </c>
      <c r="C363" s="1" t="e">
        <f>IF(Goals!A312="","",Goals!C312)</f>
        <v>#REF!</v>
      </c>
      <c r="D363" s="1" t="e">
        <f>IF(Goals!A312="","",Goals!D312)</f>
        <v>#REF!</v>
      </c>
      <c r="E363" s="1" t="e">
        <f>IF(Goals!A312="","",Goals!E312)</f>
        <v>#REF!</v>
      </c>
      <c r="F363" s="1" t="e">
        <f>IF(Goals!A312="","",Goals!F312)</f>
        <v>#REF!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 t="e">
        <f>IF(Goals!A313="","",Goals!A313)</f>
        <v>#REF!</v>
      </c>
      <c r="B364" s="1" t="e">
        <f>IF(Goals!A313="","",Goals!B313)</f>
        <v>#REF!</v>
      </c>
      <c r="C364" s="1" t="e">
        <f>IF(Goals!A313="","",Goals!C313)</f>
        <v>#REF!</v>
      </c>
      <c r="D364" s="1" t="e">
        <f>IF(Goals!A313="","",Goals!D313)</f>
        <v>#REF!</v>
      </c>
      <c r="E364" s="1" t="e">
        <f>IF(Goals!A313="","",Goals!E313)</f>
        <v>#REF!</v>
      </c>
      <c r="F364" s="1" t="e">
        <f>IF(Goals!A313="","",Goals!F313)</f>
        <v>#REF!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 t="e">
        <f>IF(Goals!A314="","",Goals!A314)</f>
        <v>#REF!</v>
      </c>
      <c r="B365" s="1" t="e">
        <f>IF(Goals!A314="","",Goals!B314)</f>
        <v>#REF!</v>
      </c>
      <c r="C365" s="1" t="e">
        <f>IF(Goals!A314="","",Goals!C314)</f>
        <v>#REF!</v>
      </c>
      <c r="D365" s="1" t="e">
        <f>IF(Goals!A314="","",Goals!D314)</f>
        <v>#REF!</v>
      </c>
      <c r="E365" s="1" t="e">
        <f>IF(Goals!A314="","",Goals!E314)</f>
        <v>#REF!</v>
      </c>
      <c r="F365" s="1" t="e">
        <f>IF(Goals!A314="","",Goals!F314)</f>
        <v>#REF!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 t="e">
        <f>IF(Goals!A315="","",Goals!A315)</f>
        <v>#REF!</v>
      </c>
      <c r="B366" s="1" t="e">
        <f>IF(Goals!A315="","",Goals!B315)</f>
        <v>#REF!</v>
      </c>
      <c r="C366" s="1" t="e">
        <f>IF(Goals!A315="","",Goals!C315)</f>
        <v>#REF!</v>
      </c>
      <c r="D366" s="1" t="e">
        <f>IF(Goals!A315="","",Goals!D315)</f>
        <v>#REF!</v>
      </c>
      <c r="E366" s="1" t="e">
        <f>IF(Goals!A315="","",Goals!E315)</f>
        <v>#REF!</v>
      </c>
      <c r="F366" s="1" t="e">
        <f>IF(Goals!A315="","",Goals!F315)</f>
        <v>#REF!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 t="e">
        <f>IF(Goals!A316="","",Goals!A316)</f>
        <v>#REF!</v>
      </c>
      <c r="B367" s="1" t="e">
        <f>IF(Goals!A316="","",Goals!B316)</f>
        <v>#REF!</v>
      </c>
      <c r="C367" s="1" t="e">
        <f>IF(Goals!A316="","",Goals!C316)</f>
        <v>#REF!</v>
      </c>
      <c r="D367" s="1" t="e">
        <f>IF(Goals!A316="","",Goals!D316)</f>
        <v>#REF!</v>
      </c>
      <c r="E367" s="1" t="e">
        <f>IF(Goals!A316="","",Goals!E316)</f>
        <v>#REF!</v>
      </c>
      <c r="F367" s="1" t="e">
        <f>IF(Goals!A316="","",Goals!F316)</f>
        <v>#REF!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 t="e">
        <f>IF(Goals!A317="","",Goals!A317)</f>
        <v>#REF!</v>
      </c>
      <c r="B368" s="1" t="e">
        <f>IF(Goals!A317="","",Goals!B317)</f>
        <v>#REF!</v>
      </c>
      <c r="C368" s="1" t="e">
        <f>IF(Goals!A317="","",Goals!C317)</f>
        <v>#REF!</v>
      </c>
      <c r="D368" s="1" t="e">
        <f>IF(Goals!A317="","",Goals!D317)</f>
        <v>#REF!</v>
      </c>
      <c r="E368" s="1" t="e">
        <f>IF(Goals!A317="","",Goals!E317)</f>
        <v>#REF!</v>
      </c>
      <c r="F368" s="1" t="e">
        <f>IF(Goals!A317="","",Goals!F317)</f>
        <v>#REF!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 t="e">
        <f>IF(Goals!A318="","",Goals!A318)</f>
        <v>#REF!</v>
      </c>
      <c r="B369" s="1" t="e">
        <f>IF(Goals!A318="","",Goals!B318)</f>
        <v>#REF!</v>
      </c>
      <c r="C369" s="1" t="e">
        <f>IF(Goals!A318="","",Goals!C318)</f>
        <v>#REF!</v>
      </c>
      <c r="D369" s="1" t="e">
        <f>IF(Goals!A318="","",Goals!D318)</f>
        <v>#REF!</v>
      </c>
      <c r="E369" s="1" t="e">
        <f>IF(Goals!A318="","",Goals!E318)</f>
        <v>#REF!</v>
      </c>
      <c r="F369" s="1" t="e">
        <f>IF(Goals!A318="","",Goals!F318)</f>
        <v>#REF!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 t="e">
        <f>IF(Goals!A319="","",Goals!A319)</f>
        <v>#REF!</v>
      </c>
      <c r="B370" s="1" t="e">
        <f>IF(Goals!A319="","",Goals!B319)</f>
        <v>#REF!</v>
      </c>
      <c r="C370" s="1" t="e">
        <f>IF(Goals!A319="","",Goals!C319)</f>
        <v>#REF!</v>
      </c>
      <c r="D370" s="1" t="e">
        <f>IF(Goals!A319="","",Goals!D319)</f>
        <v>#REF!</v>
      </c>
      <c r="E370" s="1" t="e">
        <f>IF(Goals!A319="","",Goals!E319)</f>
        <v>#REF!</v>
      </c>
      <c r="F370" s="1" t="e">
        <f>IF(Goals!A319="","",Goals!F319)</f>
        <v>#REF!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 t="e">
        <f>IF(Goals!A320="","",Goals!A320)</f>
        <v>#REF!</v>
      </c>
      <c r="B371" s="1" t="e">
        <f>IF(Goals!A320="","",Goals!B320)</f>
        <v>#REF!</v>
      </c>
      <c r="C371" s="1" t="e">
        <f>IF(Goals!A320="","",Goals!C320)</f>
        <v>#REF!</v>
      </c>
      <c r="D371" s="1" t="e">
        <f>IF(Goals!A320="","",Goals!D320)</f>
        <v>#REF!</v>
      </c>
      <c r="E371" s="1" t="e">
        <f>IF(Goals!A320="","",Goals!E320)</f>
        <v>#REF!</v>
      </c>
      <c r="F371" s="1" t="e">
        <f>IF(Goals!A320="","",Goals!F320)</f>
        <v>#REF!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 t="e">
        <f>IF(Goals!A321="","",Goals!A321)</f>
        <v>#REF!</v>
      </c>
      <c r="B372" s="1" t="e">
        <f>IF(Goals!A321="","",Goals!B321)</f>
        <v>#REF!</v>
      </c>
      <c r="C372" s="1" t="e">
        <f>IF(Goals!A321="","",Goals!C321)</f>
        <v>#REF!</v>
      </c>
      <c r="D372" s="1" t="e">
        <f>IF(Goals!A321="","",Goals!D321)</f>
        <v>#REF!</v>
      </c>
      <c r="E372" s="1" t="e">
        <f>IF(Goals!A321="","",Goals!E321)</f>
        <v>#REF!</v>
      </c>
      <c r="F372" s="1" t="e">
        <f>IF(Goals!A321="","",Goals!F321)</f>
        <v>#REF!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 t="e">
        <f>IF(Goals!A322="","",Goals!A322)</f>
        <v>#REF!</v>
      </c>
      <c r="B373" s="1" t="e">
        <f>IF(Goals!A322="","",Goals!B322)</f>
        <v>#REF!</v>
      </c>
      <c r="C373" s="1" t="e">
        <f>IF(Goals!A322="","",Goals!C322)</f>
        <v>#REF!</v>
      </c>
      <c r="D373" s="1" t="e">
        <f>IF(Goals!A322="","",Goals!D322)</f>
        <v>#REF!</v>
      </c>
      <c r="E373" s="1" t="e">
        <f>IF(Goals!A322="","",Goals!E322)</f>
        <v>#REF!</v>
      </c>
      <c r="F373" s="1" t="e">
        <f>IF(Goals!A322="","",Goals!F322)</f>
        <v>#REF!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 t="e">
        <f>IF(Goals!A323="","",Goals!A323)</f>
        <v>#REF!</v>
      </c>
      <c r="B374" s="1" t="e">
        <f>IF(Goals!A323="","",Goals!B323)</f>
        <v>#REF!</v>
      </c>
      <c r="C374" s="1" t="e">
        <f>IF(Goals!A323="","",Goals!C323)</f>
        <v>#REF!</v>
      </c>
      <c r="D374" s="1" t="e">
        <f>IF(Goals!A323="","",Goals!D323)</f>
        <v>#REF!</v>
      </c>
      <c r="E374" s="1" t="e">
        <f>IF(Goals!A323="","",Goals!E323)</f>
        <v>#REF!</v>
      </c>
      <c r="F374" s="1" t="e">
        <f>IF(Goals!A323="","",Goals!F323)</f>
        <v>#REF!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 t="e">
        <f>IF(Goals!A324="","",Goals!A324)</f>
        <v>#REF!</v>
      </c>
      <c r="B375" s="1" t="e">
        <f>IF(Goals!A324="","",Goals!B324)</f>
        <v>#REF!</v>
      </c>
      <c r="C375" s="1" t="e">
        <f>IF(Goals!A324="","",Goals!C324)</f>
        <v>#REF!</v>
      </c>
      <c r="D375" s="1" t="e">
        <f>IF(Goals!A324="","",Goals!D324)</f>
        <v>#REF!</v>
      </c>
      <c r="E375" s="1" t="e">
        <f>IF(Goals!A324="","",Goals!E324)</f>
        <v>#REF!</v>
      </c>
      <c r="F375" s="1" t="e">
        <f>IF(Goals!A324="","",Goals!F324)</f>
        <v>#REF!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 t="e">
        <f>IF(Goals!A325="","",Goals!A325)</f>
        <v>#REF!</v>
      </c>
      <c r="B376" s="1" t="e">
        <f>IF(Goals!A325="","",Goals!B325)</f>
        <v>#REF!</v>
      </c>
      <c r="C376" s="1" t="e">
        <f>IF(Goals!A325="","",Goals!C325)</f>
        <v>#REF!</v>
      </c>
      <c r="D376" s="1" t="e">
        <f>IF(Goals!A325="","",Goals!D325)</f>
        <v>#REF!</v>
      </c>
      <c r="E376" s="1" t="e">
        <f>IF(Goals!A325="","",Goals!E325)</f>
        <v>#REF!</v>
      </c>
      <c r="F376" s="1" t="e">
        <f>IF(Goals!A325="","",Goals!F325)</f>
        <v>#REF!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 t="e">
        <f>IF(Goals!A326="","",Goals!A326)</f>
        <v>#REF!</v>
      </c>
      <c r="B377" s="1" t="e">
        <f>IF(Goals!A326="","",Goals!B326)</f>
        <v>#REF!</v>
      </c>
      <c r="C377" s="1" t="e">
        <f>IF(Goals!A326="","",Goals!C326)</f>
        <v>#REF!</v>
      </c>
      <c r="D377" s="1" t="e">
        <f>IF(Goals!A326="","",Goals!D326)</f>
        <v>#REF!</v>
      </c>
      <c r="E377" s="1" t="e">
        <f>IF(Goals!A326="","",Goals!E326)</f>
        <v>#REF!</v>
      </c>
      <c r="F377" s="1" t="e">
        <f>IF(Goals!A326="","",Goals!F326)</f>
        <v>#REF!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 t="e">
        <f>IF(Goals!A327="","",Goals!A327)</f>
        <v>#REF!</v>
      </c>
      <c r="B378" s="1" t="e">
        <f>IF(Goals!A327="","",Goals!B327)</f>
        <v>#REF!</v>
      </c>
      <c r="C378" s="1" t="e">
        <f>IF(Goals!A327="","",Goals!C327)</f>
        <v>#REF!</v>
      </c>
      <c r="D378" s="1" t="e">
        <f>IF(Goals!A327="","",Goals!D327)</f>
        <v>#REF!</v>
      </c>
      <c r="E378" s="1" t="e">
        <f>IF(Goals!A327="","",Goals!E327)</f>
        <v>#REF!</v>
      </c>
      <c r="F378" s="1" t="e">
        <f>IF(Goals!A327="","",Goals!F327)</f>
        <v>#REF!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 t="e">
        <f>IF(Goals!A328="","",Goals!A328)</f>
        <v>#REF!</v>
      </c>
      <c r="B379" s="1" t="e">
        <f>IF(Goals!A328="","",Goals!B328)</f>
        <v>#REF!</v>
      </c>
      <c r="C379" s="1" t="e">
        <f>IF(Goals!A328="","",Goals!C328)</f>
        <v>#REF!</v>
      </c>
      <c r="D379" s="1" t="e">
        <f>IF(Goals!A328="","",Goals!D328)</f>
        <v>#REF!</v>
      </c>
      <c r="E379" s="1" t="e">
        <f>IF(Goals!A328="","",Goals!E328)</f>
        <v>#REF!</v>
      </c>
      <c r="F379" s="1" t="e">
        <f>IF(Goals!A328="","",Goals!F328)</f>
        <v>#REF!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 t="e">
        <f>IF(Goals!A329="","",Goals!A329)</f>
        <v>#REF!</v>
      </c>
      <c r="B380" s="1" t="e">
        <f>IF(Goals!A329="","",Goals!B329)</f>
        <v>#REF!</v>
      </c>
      <c r="C380" s="1" t="e">
        <f>IF(Goals!A329="","",Goals!C329)</f>
        <v>#REF!</v>
      </c>
      <c r="D380" s="1" t="e">
        <f>IF(Goals!A329="","",Goals!D329)</f>
        <v>#REF!</v>
      </c>
      <c r="E380" s="1" t="e">
        <f>IF(Goals!A329="","",Goals!E329)</f>
        <v>#REF!</v>
      </c>
      <c r="F380" s="1" t="e">
        <f>IF(Goals!A329="","",Goals!F329)</f>
        <v>#REF!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 t="e">
        <f>IF(Goals!A330="","",Goals!A330)</f>
        <v>#REF!</v>
      </c>
      <c r="B381" s="1" t="e">
        <f>IF(Goals!A330="","",Goals!B330)</f>
        <v>#REF!</v>
      </c>
      <c r="C381" s="1" t="e">
        <f>IF(Goals!A330="","",Goals!C330)</f>
        <v>#REF!</v>
      </c>
      <c r="D381" s="1" t="e">
        <f>IF(Goals!A330="","",Goals!D330)</f>
        <v>#REF!</v>
      </c>
      <c r="E381" s="1" t="e">
        <f>IF(Goals!A330="","",Goals!E330)</f>
        <v>#REF!</v>
      </c>
      <c r="F381" s="1" t="e">
        <f>IF(Goals!A330="","",Goals!F330)</f>
        <v>#REF!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 t="e">
        <f>IF(Goals!A331="","",Goals!A331)</f>
        <v>#REF!</v>
      </c>
      <c r="B382" s="1" t="e">
        <f>IF(Goals!A331="","",Goals!B331)</f>
        <v>#REF!</v>
      </c>
      <c r="C382" s="1" t="e">
        <f>IF(Goals!A331="","",Goals!C331)</f>
        <v>#REF!</v>
      </c>
      <c r="D382" s="1" t="e">
        <f>IF(Goals!A331="","",Goals!D331)</f>
        <v>#REF!</v>
      </c>
      <c r="E382" s="1" t="e">
        <f>IF(Goals!A331="","",Goals!E331)</f>
        <v>#REF!</v>
      </c>
      <c r="F382" s="1" t="e">
        <f>IF(Goals!A331="","",Goals!F331)</f>
        <v>#REF!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 t="e">
        <f>IF(Goals!A332="","",Goals!A332)</f>
        <v>#REF!</v>
      </c>
      <c r="B383" s="1" t="e">
        <f>IF(Goals!A332="","",Goals!B332)</f>
        <v>#REF!</v>
      </c>
      <c r="C383" s="1" t="e">
        <f>IF(Goals!A332="","",Goals!C332)</f>
        <v>#REF!</v>
      </c>
      <c r="D383" s="1" t="e">
        <f>IF(Goals!A332="","",Goals!D332)</f>
        <v>#REF!</v>
      </c>
      <c r="E383" s="1" t="e">
        <f>IF(Goals!A332="","",Goals!E332)</f>
        <v>#REF!</v>
      </c>
      <c r="F383" s="1" t="e">
        <f>IF(Goals!A332="","",Goals!F332)</f>
        <v>#REF!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 t="e">
        <f>IF(Goals!A333="","",Goals!A333)</f>
        <v>#REF!</v>
      </c>
      <c r="B384" s="1" t="e">
        <f>IF(Goals!A333="","",Goals!B333)</f>
        <v>#REF!</v>
      </c>
      <c r="C384" s="1" t="e">
        <f>IF(Goals!A333="","",Goals!C333)</f>
        <v>#REF!</v>
      </c>
      <c r="D384" s="1" t="e">
        <f>IF(Goals!A333="","",Goals!D333)</f>
        <v>#REF!</v>
      </c>
      <c r="E384" s="1" t="e">
        <f>IF(Goals!A333="","",Goals!E333)</f>
        <v>#REF!</v>
      </c>
      <c r="F384" s="1" t="e">
        <f>IF(Goals!A333="","",Goals!F333)</f>
        <v>#REF!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 t="e">
        <f>IF(Goals!A334="","",Goals!A334)</f>
        <v>#REF!</v>
      </c>
      <c r="B385" s="1" t="e">
        <f>IF(Goals!A334="","",Goals!B334)</f>
        <v>#REF!</v>
      </c>
      <c r="C385" s="1" t="e">
        <f>IF(Goals!A334="","",Goals!C334)</f>
        <v>#REF!</v>
      </c>
      <c r="D385" s="1" t="e">
        <f>IF(Goals!A334="","",Goals!D334)</f>
        <v>#REF!</v>
      </c>
      <c r="E385" s="1" t="e">
        <f>IF(Goals!A334="","",Goals!E334)</f>
        <v>#REF!</v>
      </c>
      <c r="F385" s="1" t="e">
        <f>IF(Goals!A334="","",Goals!F334)</f>
        <v>#REF!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 t="e">
        <f>IF(Goals!A335="","",Goals!A335)</f>
        <v>#REF!</v>
      </c>
      <c r="B386" s="1" t="e">
        <f>IF(Goals!A335="","",Goals!B335)</f>
        <v>#REF!</v>
      </c>
      <c r="C386" s="1" t="e">
        <f>IF(Goals!A335="","",Goals!C335)</f>
        <v>#REF!</v>
      </c>
      <c r="D386" s="1" t="e">
        <f>IF(Goals!A335="","",Goals!D335)</f>
        <v>#REF!</v>
      </c>
      <c r="E386" s="1" t="e">
        <f>IF(Goals!A335="","",Goals!E335)</f>
        <v>#REF!</v>
      </c>
      <c r="F386" s="1" t="e">
        <f>IF(Goals!A335="","",Goals!F335)</f>
        <v>#REF!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 t="e">
        <f>IF(Goals!A336="","",Goals!A336)</f>
        <v>#REF!</v>
      </c>
      <c r="B387" s="1" t="e">
        <f>IF(Goals!A336="","",Goals!B336)</f>
        <v>#REF!</v>
      </c>
      <c r="C387" s="1" t="e">
        <f>IF(Goals!A336="","",Goals!C336)</f>
        <v>#REF!</v>
      </c>
      <c r="D387" s="1" t="e">
        <f>IF(Goals!A336="","",Goals!D336)</f>
        <v>#REF!</v>
      </c>
      <c r="E387" s="1" t="e">
        <f>IF(Goals!A336="","",Goals!E336)</f>
        <v>#REF!</v>
      </c>
      <c r="F387" s="1" t="e">
        <f>IF(Goals!A336="","",Goals!F336)</f>
        <v>#REF!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 t="e">
        <f>IF(Goals!A337="","",Goals!A337)</f>
        <v>#REF!</v>
      </c>
      <c r="B388" s="1" t="e">
        <f>IF(Goals!A337="","",Goals!B337)</f>
        <v>#REF!</v>
      </c>
      <c r="C388" s="1" t="e">
        <f>IF(Goals!A337="","",Goals!C337)</f>
        <v>#REF!</v>
      </c>
      <c r="D388" s="1" t="e">
        <f>IF(Goals!A337="","",Goals!D337)</f>
        <v>#REF!</v>
      </c>
      <c r="E388" s="1" t="e">
        <f>IF(Goals!A337="","",Goals!E337)</f>
        <v>#REF!</v>
      </c>
      <c r="F388" s="1" t="e">
        <f>IF(Goals!A337="","",Goals!F337)</f>
        <v>#REF!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 t="e">
        <f>IF(Goals!A338="","",Goals!A338)</f>
        <v>#REF!</v>
      </c>
      <c r="B389" s="1" t="e">
        <f>IF(Goals!A338="","",Goals!B338)</f>
        <v>#REF!</v>
      </c>
      <c r="C389" s="1" t="e">
        <f>IF(Goals!A338="","",Goals!C338)</f>
        <v>#REF!</v>
      </c>
      <c r="D389" s="1" t="e">
        <f>IF(Goals!A338="","",Goals!D338)</f>
        <v>#REF!</v>
      </c>
      <c r="E389" s="1" t="e">
        <f>IF(Goals!A338="","",Goals!E338)</f>
        <v>#REF!</v>
      </c>
      <c r="F389" s="1" t="e">
        <f>IF(Goals!A338="","",Goals!F338)</f>
        <v>#REF!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 t="e">
        <f>IF(Goals!A339="","",Goals!A339)</f>
        <v>#REF!</v>
      </c>
      <c r="B390" s="1" t="e">
        <f>IF(Goals!A339="","",Goals!B339)</f>
        <v>#REF!</v>
      </c>
      <c r="C390" s="1" t="e">
        <f>IF(Goals!A339="","",Goals!C339)</f>
        <v>#REF!</v>
      </c>
      <c r="D390" s="1" t="e">
        <f>IF(Goals!A339="","",Goals!D339)</f>
        <v>#REF!</v>
      </c>
      <c r="E390" s="1" t="e">
        <f>IF(Goals!A339="","",Goals!E339)</f>
        <v>#REF!</v>
      </c>
      <c r="F390" s="1" t="e">
        <f>IF(Goals!A339="","",Goals!F339)</f>
        <v>#REF!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 t="e">
        <f>IF(Goals!A340="","",Goals!A340)</f>
        <v>#REF!</v>
      </c>
      <c r="B391" s="1" t="e">
        <f>IF(Goals!A340="","",Goals!B340)</f>
        <v>#REF!</v>
      </c>
      <c r="C391" s="1" t="e">
        <f>IF(Goals!A340="","",Goals!C340)</f>
        <v>#REF!</v>
      </c>
      <c r="D391" s="1" t="e">
        <f>IF(Goals!A340="","",Goals!D340)</f>
        <v>#REF!</v>
      </c>
      <c r="E391" s="1" t="e">
        <f>IF(Goals!A340="","",Goals!E340)</f>
        <v>#REF!</v>
      </c>
      <c r="F391" s="1" t="e">
        <f>IF(Goals!A340="","",Goals!F340)</f>
        <v>#REF!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 t="e">
        <f>IF(Goals!A341="","",Goals!A341)</f>
        <v>#REF!</v>
      </c>
      <c r="B392" s="1" t="e">
        <f>IF(Goals!A341="","",Goals!B341)</f>
        <v>#REF!</v>
      </c>
      <c r="C392" s="1" t="e">
        <f>IF(Goals!A341="","",Goals!C341)</f>
        <v>#REF!</v>
      </c>
      <c r="D392" s="1" t="e">
        <f>IF(Goals!A341="","",Goals!D341)</f>
        <v>#REF!</v>
      </c>
      <c r="E392" s="1" t="e">
        <f>IF(Goals!A341="","",Goals!E341)</f>
        <v>#REF!</v>
      </c>
      <c r="F392" s="1" t="e">
        <f>IF(Goals!A341="","",Goals!F341)</f>
        <v>#REF!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 t="e">
        <f>IF(Goals!A342="","",Goals!A342)</f>
        <v>#REF!</v>
      </c>
      <c r="B393" s="1" t="e">
        <f>IF(Goals!A342="","",Goals!B342)</f>
        <v>#REF!</v>
      </c>
      <c r="C393" s="1" t="e">
        <f>IF(Goals!A342="","",Goals!C342)</f>
        <v>#REF!</v>
      </c>
      <c r="D393" s="1" t="e">
        <f>IF(Goals!A342="","",Goals!D342)</f>
        <v>#REF!</v>
      </c>
      <c r="E393" s="1" t="e">
        <f>IF(Goals!A342="","",Goals!E342)</f>
        <v>#REF!</v>
      </c>
      <c r="F393" s="1" t="e">
        <f>IF(Goals!A342="","",Goals!F342)</f>
        <v>#REF!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 t="e">
        <f>IF(Goals!A343="","",Goals!A343)</f>
        <v>#REF!</v>
      </c>
      <c r="B394" s="1" t="e">
        <f>IF(Goals!A343="","",Goals!B343)</f>
        <v>#REF!</v>
      </c>
      <c r="C394" s="1" t="e">
        <f>IF(Goals!A343="","",Goals!C343)</f>
        <v>#REF!</v>
      </c>
      <c r="D394" s="1" t="e">
        <f>IF(Goals!A343="","",Goals!D343)</f>
        <v>#REF!</v>
      </c>
      <c r="E394" s="1" t="e">
        <f>IF(Goals!A343="","",Goals!E343)</f>
        <v>#REF!</v>
      </c>
      <c r="F394" s="1" t="e">
        <f>IF(Goals!A343="","",Goals!F343)</f>
        <v>#REF!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 t="e">
        <f>IF(Goals!A344="","",Goals!A344)</f>
        <v>#REF!</v>
      </c>
      <c r="B395" s="1" t="e">
        <f>IF(Goals!A344="","",Goals!B344)</f>
        <v>#REF!</v>
      </c>
      <c r="C395" s="1" t="e">
        <f>IF(Goals!A344="","",Goals!C344)</f>
        <v>#REF!</v>
      </c>
      <c r="D395" s="1" t="e">
        <f>IF(Goals!A344="","",Goals!D344)</f>
        <v>#REF!</v>
      </c>
      <c r="E395" s="1" t="e">
        <f>IF(Goals!A344="","",Goals!E344)</f>
        <v>#REF!</v>
      </c>
      <c r="F395" s="1" t="e">
        <f>IF(Goals!A344="","",Goals!F344)</f>
        <v>#REF!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 t="e">
        <f>IF(Goals!A345="","",Goals!A345)</f>
        <v>#REF!</v>
      </c>
      <c r="B396" s="1" t="e">
        <f>IF(Goals!A345="","",Goals!B345)</f>
        <v>#REF!</v>
      </c>
      <c r="C396" s="1" t="e">
        <f>IF(Goals!A345="","",Goals!C345)</f>
        <v>#REF!</v>
      </c>
      <c r="D396" s="1" t="e">
        <f>IF(Goals!A345="","",Goals!D345)</f>
        <v>#REF!</v>
      </c>
      <c r="E396" s="1" t="e">
        <f>IF(Goals!A345="","",Goals!E345)</f>
        <v>#REF!</v>
      </c>
      <c r="F396" s="1" t="e">
        <f>IF(Goals!A345="","",Goals!F345)</f>
        <v>#REF!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 t="e">
        <f>IF(Goals!A346="","",Goals!A346)</f>
        <v>#REF!</v>
      </c>
      <c r="B397" s="1" t="e">
        <f>IF(Goals!A346="","",Goals!B346)</f>
        <v>#REF!</v>
      </c>
      <c r="C397" s="1" t="e">
        <f>IF(Goals!A346="","",Goals!C346)</f>
        <v>#REF!</v>
      </c>
      <c r="D397" s="1" t="e">
        <f>IF(Goals!A346="","",Goals!D346)</f>
        <v>#REF!</v>
      </c>
      <c r="E397" s="1" t="e">
        <f>IF(Goals!A346="","",Goals!E346)</f>
        <v>#REF!</v>
      </c>
      <c r="F397" s="1" t="e">
        <f>IF(Goals!A346="","",Goals!F346)</f>
        <v>#REF!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 t="e">
        <f>IF(Goals!A347="","",Goals!A347)</f>
        <v>#REF!</v>
      </c>
      <c r="B398" s="1" t="e">
        <f>IF(Goals!A347="","",Goals!B347)</f>
        <v>#REF!</v>
      </c>
      <c r="C398" s="1" t="e">
        <f>IF(Goals!A347="","",Goals!C347)</f>
        <v>#REF!</v>
      </c>
      <c r="D398" s="1" t="e">
        <f>IF(Goals!A347="","",Goals!D347)</f>
        <v>#REF!</v>
      </c>
      <c r="E398" s="1" t="e">
        <f>IF(Goals!A347="","",Goals!E347)</f>
        <v>#REF!</v>
      </c>
      <c r="F398" s="1" t="e">
        <f>IF(Goals!A347="","",Goals!F347)</f>
        <v>#REF!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 t="e">
        <f>IF(Goals!A348="","",Goals!A348)</f>
        <v>#REF!</v>
      </c>
      <c r="B399" s="1" t="e">
        <f>IF(Goals!A348="","",Goals!B348)</f>
        <v>#REF!</v>
      </c>
      <c r="C399" s="1" t="e">
        <f>IF(Goals!A348="","",Goals!C348)</f>
        <v>#REF!</v>
      </c>
      <c r="D399" s="1" t="e">
        <f>IF(Goals!A348="","",Goals!D348)</f>
        <v>#REF!</v>
      </c>
      <c r="E399" s="1" t="e">
        <f>IF(Goals!A348="","",Goals!E348)</f>
        <v>#REF!</v>
      </c>
      <c r="F399" s="1" t="e">
        <f>IF(Goals!A348="","",Goals!F348)</f>
        <v>#REF!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 t="e">
        <f>IF(Goals!A349="","",Goals!A349)</f>
        <v>#REF!</v>
      </c>
      <c r="B400" s="1" t="e">
        <f>IF(Goals!A349="","",Goals!B349)</f>
        <v>#REF!</v>
      </c>
      <c r="C400" s="1" t="e">
        <f>IF(Goals!A349="","",Goals!C349)</f>
        <v>#REF!</v>
      </c>
      <c r="D400" s="1" t="e">
        <f>IF(Goals!A349="","",Goals!D349)</f>
        <v>#REF!</v>
      </c>
      <c r="E400" s="1" t="e">
        <f>IF(Goals!A349="","",Goals!E349)</f>
        <v>#REF!</v>
      </c>
      <c r="F400" s="1" t="e">
        <f>IF(Goals!A349="","",Goals!F349)</f>
        <v>#REF!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 t="e">
        <f>IF(Goals!A350="","",Goals!A350)</f>
        <v>#REF!</v>
      </c>
      <c r="B401" s="1" t="e">
        <f>IF(Goals!A350="","",Goals!B350)</f>
        <v>#REF!</v>
      </c>
      <c r="C401" s="1" t="e">
        <f>IF(Goals!A350="","",Goals!C350)</f>
        <v>#REF!</v>
      </c>
      <c r="D401" s="1" t="e">
        <f>IF(Goals!A350="","",Goals!D350)</f>
        <v>#REF!</v>
      </c>
      <c r="E401" s="1" t="e">
        <f>IF(Goals!A350="","",Goals!E350)</f>
        <v>#REF!</v>
      </c>
      <c r="F401" s="1" t="e">
        <f>IF(Goals!A350="","",Goals!F350)</f>
        <v>#REF!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 t="e">
        <f>IF(Goals!A351="","",Goals!A351)</f>
        <v>#REF!</v>
      </c>
      <c r="B402" s="1" t="e">
        <f>IF(Goals!A351="","",Goals!B351)</f>
        <v>#REF!</v>
      </c>
      <c r="C402" s="1" t="e">
        <f>IF(Goals!A351="","",Goals!C351)</f>
        <v>#REF!</v>
      </c>
      <c r="D402" s="1" t="e">
        <f>IF(Goals!A351="","",Goals!D351)</f>
        <v>#REF!</v>
      </c>
      <c r="E402" s="1" t="e">
        <f>IF(Goals!A351="","",Goals!E351)</f>
        <v>#REF!</v>
      </c>
      <c r="F402" s="1" t="e">
        <f>IF(Goals!A351="","",Goals!F351)</f>
        <v>#REF!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 t="e">
        <f>IF(Goals!A352="","",Goals!A352)</f>
        <v>#REF!</v>
      </c>
      <c r="B403" s="1" t="e">
        <f>IF(Goals!A352="","",Goals!B352)</f>
        <v>#REF!</v>
      </c>
      <c r="C403" s="1" t="e">
        <f>IF(Goals!A352="","",Goals!C352)</f>
        <v>#REF!</v>
      </c>
      <c r="D403" s="1" t="e">
        <f>IF(Goals!A352="","",Goals!D352)</f>
        <v>#REF!</v>
      </c>
      <c r="E403" s="1" t="e">
        <f>IF(Goals!A352="","",Goals!E352)</f>
        <v>#REF!</v>
      </c>
      <c r="F403" s="1" t="e">
        <f>IF(Goals!A352="","",Goals!F352)</f>
        <v>#REF!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 t="e">
        <f>IF(Goals!A353="","",Goals!A353)</f>
        <v>#REF!</v>
      </c>
      <c r="B404" s="1" t="e">
        <f>IF(Goals!A353="","",Goals!B353)</f>
        <v>#REF!</v>
      </c>
      <c r="C404" s="1" t="e">
        <f>IF(Goals!A353="","",Goals!C353)</f>
        <v>#REF!</v>
      </c>
      <c r="D404" s="1" t="e">
        <f>IF(Goals!A353="","",Goals!D353)</f>
        <v>#REF!</v>
      </c>
      <c r="E404" s="1" t="e">
        <f>IF(Goals!A353="","",Goals!E353)</f>
        <v>#REF!</v>
      </c>
      <c r="F404" s="1" t="e">
        <f>IF(Goals!A353="","",Goals!F353)</f>
        <v>#REF!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 t="e">
        <f>IF(Goals!A354="","",Goals!A354)</f>
        <v>#REF!</v>
      </c>
      <c r="B405" s="1" t="e">
        <f>IF(Goals!A354="","",Goals!B354)</f>
        <v>#REF!</v>
      </c>
      <c r="C405" s="1" t="e">
        <f>IF(Goals!A354="","",Goals!C354)</f>
        <v>#REF!</v>
      </c>
      <c r="D405" s="1" t="e">
        <f>IF(Goals!A354="","",Goals!D354)</f>
        <v>#REF!</v>
      </c>
      <c r="E405" s="1" t="e">
        <f>IF(Goals!A354="","",Goals!E354)</f>
        <v>#REF!</v>
      </c>
      <c r="F405" s="1" t="e">
        <f>IF(Goals!A354="","",Goals!F354)</f>
        <v>#REF!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 t="e">
        <f>IF(Goals!A355="","",Goals!A355)</f>
        <v>#REF!</v>
      </c>
      <c r="B406" s="1" t="e">
        <f>IF(Goals!A355="","",Goals!B355)</f>
        <v>#REF!</v>
      </c>
      <c r="C406" s="1" t="e">
        <f>IF(Goals!A355="","",Goals!C355)</f>
        <v>#REF!</v>
      </c>
      <c r="D406" s="1" t="e">
        <f>IF(Goals!A355="","",Goals!D355)</f>
        <v>#REF!</v>
      </c>
      <c r="E406" s="1" t="e">
        <f>IF(Goals!A355="","",Goals!E355)</f>
        <v>#REF!</v>
      </c>
      <c r="F406" s="1" t="e">
        <f>IF(Goals!A355="","",Goals!F355)</f>
        <v>#REF!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 t="e">
        <f>IF(Goals!A356="","",Goals!A356)</f>
        <v>#REF!</v>
      </c>
      <c r="B407" s="1" t="e">
        <f>IF(Goals!A356="","",Goals!B356)</f>
        <v>#REF!</v>
      </c>
      <c r="C407" s="1" t="e">
        <f>IF(Goals!A356="","",Goals!C356)</f>
        <v>#REF!</v>
      </c>
      <c r="D407" s="1" t="e">
        <f>IF(Goals!A356="","",Goals!D356)</f>
        <v>#REF!</v>
      </c>
      <c r="E407" s="1" t="e">
        <f>IF(Goals!A356="","",Goals!E356)</f>
        <v>#REF!</v>
      </c>
      <c r="F407" s="1" t="e">
        <f>IF(Goals!A356="","",Goals!F356)</f>
        <v>#REF!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 t="e">
        <f>IF(Goals!A357="","",Goals!A357)</f>
        <v>#REF!</v>
      </c>
      <c r="B408" s="1" t="e">
        <f>IF(Goals!A357="","",Goals!B357)</f>
        <v>#REF!</v>
      </c>
      <c r="C408" s="1" t="e">
        <f>IF(Goals!A357="","",Goals!C357)</f>
        <v>#REF!</v>
      </c>
      <c r="D408" s="1" t="e">
        <f>IF(Goals!A357="","",Goals!D357)</f>
        <v>#REF!</v>
      </c>
      <c r="E408" s="1" t="e">
        <f>IF(Goals!A357="","",Goals!E357)</f>
        <v>#REF!</v>
      </c>
      <c r="F408" s="1" t="e">
        <f>IF(Goals!A357="","",Goals!F357)</f>
        <v>#REF!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 t="e">
        <f>IF(Goals!A358="","",Goals!A358)</f>
        <v>#REF!</v>
      </c>
      <c r="B409" s="1" t="e">
        <f>IF(Goals!A358="","",Goals!B358)</f>
        <v>#REF!</v>
      </c>
      <c r="C409" s="1" t="e">
        <f>IF(Goals!A358="","",Goals!C358)</f>
        <v>#REF!</v>
      </c>
      <c r="D409" s="1" t="e">
        <f>IF(Goals!A358="","",Goals!D358)</f>
        <v>#REF!</v>
      </c>
      <c r="E409" s="1" t="e">
        <f>IF(Goals!A358="","",Goals!E358)</f>
        <v>#REF!</v>
      </c>
      <c r="F409" s="1" t="e">
        <f>IF(Goals!A358="","",Goals!F358)</f>
        <v>#REF!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 t="e">
        <f>IF(Goals!A359="","",Goals!A359)</f>
        <v>#REF!</v>
      </c>
      <c r="B410" s="1" t="e">
        <f>IF(Goals!A359="","",Goals!B359)</f>
        <v>#REF!</v>
      </c>
      <c r="C410" s="1" t="e">
        <f>IF(Goals!A359="","",Goals!C359)</f>
        <v>#REF!</v>
      </c>
      <c r="D410" s="1" t="e">
        <f>IF(Goals!A359="","",Goals!D359)</f>
        <v>#REF!</v>
      </c>
      <c r="E410" s="1" t="e">
        <f>IF(Goals!A359="","",Goals!E359)</f>
        <v>#REF!</v>
      </c>
      <c r="F410" s="1" t="e">
        <f>IF(Goals!A359="","",Goals!F359)</f>
        <v>#REF!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 t="e">
        <f>IF(Goals!A360="","",Goals!A360)</f>
        <v>#REF!</v>
      </c>
      <c r="B411" s="1" t="e">
        <f>IF(Goals!A360="","",Goals!B360)</f>
        <v>#REF!</v>
      </c>
      <c r="C411" s="1" t="e">
        <f>IF(Goals!A360="","",Goals!C360)</f>
        <v>#REF!</v>
      </c>
      <c r="D411" s="1" t="e">
        <f>IF(Goals!A360="","",Goals!D360)</f>
        <v>#REF!</v>
      </c>
      <c r="E411" s="1" t="e">
        <f>IF(Goals!A360="","",Goals!E360)</f>
        <v>#REF!</v>
      </c>
      <c r="F411" s="1" t="e">
        <f>IF(Goals!A360="","",Goals!F360)</f>
        <v>#REF!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 t="e">
        <f>IF(Goals!A361="","",Goals!A361)</f>
        <v>#REF!</v>
      </c>
      <c r="B412" s="1" t="e">
        <f>IF(Goals!A361="","",Goals!B361)</f>
        <v>#REF!</v>
      </c>
      <c r="C412" s="1" t="e">
        <f>IF(Goals!A361="","",Goals!C361)</f>
        <v>#REF!</v>
      </c>
      <c r="D412" s="1" t="e">
        <f>IF(Goals!A361="","",Goals!D361)</f>
        <v>#REF!</v>
      </c>
      <c r="E412" s="1" t="e">
        <f>IF(Goals!A361="","",Goals!E361)</f>
        <v>#REF!</v>
      </c>
      <c r="F412" s="1" t="e">
        <f>IF(Goals!A361="","",Goals!F361)</f>
        <v>#REF!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</sheetData>
  <mergeCells count="4">
    <mergeCell ref="A3:L3"/>
    <mergeCell ref="N3:Q3"/>
    <mergeCell ref="A23:S23"/>
    <mergeCell ref="A51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Settings</vt:lpstr>
      <vt:lpstr>Teams</vt:lpstr>
      <vt:lpstr>Players</vt:lpstr>
      <vt:lpstr>Matches</vt:lpstr>
      <vt:lpstr>Goals</vt:lpstr>
      <vt:lpstr>ScorerData</vt:lpstr>
      <vt:lpstr>TopScorers</vt:lpstr>
      <vt:lpstr>StandingsData</vt:lpstr>
      <vt:lpstr>Standings</vt:lpstr>
      <vt:lpstr>Knockout</vt:lpstr>
      <vt:lpstr>Validation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Moretto</dc:creator>
  <cp:lastModifiedBy>Daniele Moretto</cp:lastModifiedBy>
  <dcterms:created xsi:type="dcterms:W3CDTF">2026-06-27T07:20:54Z</dcterms:created>
  <dcterms:modified xsi:type="dcterms:W3CDTF">2026-06-27T12:02:16Z</dcterms:modified>
</cp:coreProperties>
</file>